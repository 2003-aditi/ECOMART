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962396980548b0/ドキュメント/"/>
    </mc:Choice>
  </mc:AlternateContent>
  <xr:revisionPtr revIDLastSave="781" documentId="8_{DE67EABE-3BBF-4323-8EBC-E8DAFF84EE81}" xr6:coauthVersionLast="47" xr6:coauthVersionMax="47" xr10:uidLastSave="{90E3786F-EB4F-46D4-B811-C168818457C8}"/>
  <bookViews>
    <workbookView xWindow="-108" yWindow="-108" windowWidth="23256" windowHeight="12456" activeTab="3" xr2:uid="{D9D23DC9-C1AD-4333-9A0D-E19A26114EF0}"/>
  </bookViews>
  <sheets>
    <sheet name="Financial_Analysis" sheetId="7" r:id="rId1"/>
    <sheet name="ROI_Calculator" sheetId="8" r:id="rId2"/>
    <sheet name="sales_Data" sheetId="12" r:id="rId3"/>
    <sheet name="inventory_Data" sheetId="11" r:id="rId4"/>
  </sheets>
  <definedNames>
    <definedName name="ExternalData_4" localSheetId="3" hidden="1">inventory_Data!$A$1:$G$1826</definedName>
    <definedName name="ExternalData_5" localSheetId="2" hidden="1">sales_Data!$A$1:$H$1826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26" i="11" l="1"/>
  <c r="I12" i="11"/>
  <c r="I13" i="11"/>
  <c r="I15" i="11"/>
  <c r="I16" i="11"/>
  <c r="I17" i="11"/>
  <c r="I18" i="11"/>
  <c r="I20" i="11"/>
  <c r="I21" i="11"/>
  <c r="I22" i="11"/>
  <c r="I23" i="11"/>
  <c r="I25" i="11"/>
  <c r="I26" i="11"/>
  <c r="I27" i="11"/>
  <c r="I28" i="11"/>
  <c r="I30" i="11"/>
  <c r="I31" i="11"/>
  <c r="I32" i="11"/>
  <c r="I33" i="11"/>
  <c r="I35" i="11"/>
  <c r="I36" i="11"/>
  <c r="I37" i="11"/>
  <c r="I38" i="11"/>
  <c r="I40" i="11"/>
  <c r="I41" i="11"/>
  <c r="I42" i="11"/>
  <c r="I43" i="11"/>
  <c r="I45" i="11"/>
  <c r="I46" i="11"/>
  <c r="I47" i="11"/>
  <c r="I48" i="11"/>
  <c r="I50" i="11"/>
  <c r="I51" i="11"/>
  <c r="I52" i="11"/>
  <c r="I53" i="11"/>
  <c r="I55" i="11"/>
  <c r="I56" i="11"/>
  <c r="I57" i="11"/>
  <c r="I58" i="11"/>
  <c r="I60" i="11"/>
  <c r="I61" i="11"/>
  <c r="I62" i="11"/>
  <c r="I63" i="11"/>
  <c r="I65" i="11"/>
  <c r="I66" i="11"/>
  <c r="I67" i="11"/>
  <c r="I68" i="11"/>
  <c r="I70" i="11"/>
  <c r="I71" i="11"/>
  <c r="I72" i="11"/>
  <c r="I73" i="11"/>
  <c r="I75" i="11"/>
  <c r="I76" i="11"/>
  <c r="I77" i="11"/>
  <c r="I78" i="11"/>
  <c r="I80" i="11"/>
  <c r="I81" i="11"/>
  <c r="I82" i="11"/>
  <c r="I83" i="11"/>
  <c r="I85" i="11"/>
  <c r="I86" i="11"/>
  <c r="I87" i="11"/>
  <c r="I88" i="11"/>
  <c r="I90" i="11"/>
  <c r="I91" i="11"/>
  <c r="I92" i="11"/>
  <c r="I93" i="11"/>
  <c r="I95" i="11"/>
  <c r="I96" i="11"/>
  <c r="I97" i="11"/>
  <c r="I98" i="11"/>
  <c r="I100" i="11"/>
  <c r="I101" i="11"/>
  <c r="I102" i="11"/>
  <c r="I103" i="11"/>
  <c r="I105" i="11"/>
  <c r="I106" i="11"/>
  <c r="I107" i="11"/>
  <c r="I108" i="11"/>
  <c r="I110" i="11"/>
  <c r="I111" i="11"/>
  <c r="I112" i="11"/>
  <c r="I113" i="11"/>
  <c r="I115" i="11"/>
  <c r="I116" i="11"/>
  <c r="I117" i="11"/>
  <c r="I118" i="11"/>
  <c r="I120" i="11"/>
  <c r="I121" i="11"/>
  <c r="I122" i="11"/>
  <c r="I123" i="11"/>
  <c r="I125" i="11"/>
  <c r="I126" i="11"/>
  <c r="I127" i="11"/>
  <c r="I128" i="11"/>
  <c r="I130" i="11"/>
  <c r="I131" i="11"/>
  <c r="I132" i="11"/>
  <c r="I133" i="11"/>
  <c r="I135" i="11"/>
  <c r="I136" i="11"/>
  <c r="I137" i="11"/>
  <c r="I138" i="11"/>
  <c r="I140" i="11"/>
  <c r="I141" i="11"/>
  <c r="I142" i="11"/>
  <c r="I143" i="11"/>
  <c r="I145" i="11"/>
  <c r="I146" i="11"/>
  <c r="I147" i="11"/>
  <c r="I148" i="11"/>
  <c r="I150" i="11"/>
  <c r="I151" i="11"/>
  <c r="I152" i="11"/>
  <c r="I153" i="11"/>
  <c r="I155" i="11"/>
  <c r="I156" i="11"/>
  <c r="I157" i="11"/>
  <c r="I158" i="11"/>
  <c r="I160" i="11"/>
  <c r="I161" i="11"/>
  <c r="I162" i="11"/>
  <c r="I163" i="11"/>
  <c r="I165" i="11"/>
  <c r="I166" i="11"/>
  <c r="I167" i="11"/>
  <c r="I168" i="11"/>
  <c r="I170" i="11"/>
  <c r="I171" i="11"/>
  <c r="I172" i="11"/>
  <c r="I173" i="11"/>
  <c r="I175" i="11"/>
  <c r="I176" i="11"/>
  <c r="I177" i="11"/>
  <c r="I178" i="11"/>
  <c r="I180" i="11"/>
  <c r="I181" i="11"/>
  <c r="I182" i="11"/>
  <c r="I183" i="11"/>
  <c r="I185" i="11"/>
  <c r="I186" i="11"/>
  <c r="I187" i="11"/>
  <c r="I188" i="11"/>
  <c r="I190" i="11"/>
  <c r="I191" i="11"/>
  <c r="I192" i="11"/>
  <c r="I193" i="11"/>
  <c r="I195" i="11"/>
  <c r="I196" i="11"/>
  <c r="I197" i="11"/>
  <c r="I198" i="11"/>
  <c r="I200" i="11"/>
  <c r="I201" i="11"/>
  <c r="I202" i="11"/>
  <c r="I203" i="11"/>
  <c r="I205" i="11"/>
  <c r="I206" i="11"/>
  <c r="I207" i="11"/>
  <c r="I208" i="11"/>
  <c r="I210" i="11"/>
  <c r="I211" i="11"/>
  <c r="I212" i="11"/>
  <c r="I213" i="11"/>
  <c r="I215" i="11"/>
  <c r="I216" i="11"/>
  <c r="I217" i="11"/>
  <c r="I218" i="11"/>
  <c r="I220" i="11"/>
  <c r="I221" i="11"/>
  <c r="I222" i="11"/>
  <c r="I223" i="11"/>
  <c r="I225" i="11"/>
  <c r="I226" i="11"/>
  <c r="I227" i="11"/>
  <c r="I228" i="11"/>
  <c r="I230" i="11"/>
  <c r="I231" i="11"/>
  <c r="I232" i="11"/>
  <c r="I233" i="11"/>
  <c r="I235" i="11"/>
  <c r="I236" i="11"/>
  <c r="I237" i="11"/>
  <c r="I238" i="11"/>
  <c r="I240" i="11"/>
  <c r="I241" i="11"/>
  <c r="I242" i="11"/>
  <c r="I243" i="11"/>
  <c r="I245" i="11"/>
  <c r="I246" i="11"/>
  <c r="I247" i="11"/>
  <c r="I248" i="11"/>
  <c r="I250" i="11"/>
  <c r="I251" i="11"/>
  <c r="I252" i="11"/>
  <c r="I253" i="11"/>
  <c r="I255" i="11"/>
  <c r="I256" i="11"/>
  <c r="I257" i="11"/>
  <c r="I258" i="11"/>
  <c r="I260" i="11"/>
  <c r="I261" i="11"/>
  <c r="I262" i="11"/>
  <c r="I263" i="11"/>
  <c r="I265" i="11"/>
  <c r="I266" i="11"/>
  <c r="I267" i="11"/>
  <c r="I268" i="11"/>
  <c r="I270" i="11"/>
  <c r="I271" i="11"/>
  <c r="I272" i="11"/>
  <c r="I273" i="11"/>
  <c r="I275" i="11"/>
  <c r="I276" i="11"/>
  <c r="I277" i="11"/>
  <c r="I278" i="11"/>
  <c r="I280" i="11"/>
  <c r="I281" i="11"/>
  <c r="I282" i="11"/>
  <c r="I283" i="11"/>
  <c r="I285" i="11"/>
  <c r="I286" i="11"/>
  <c r="I287" i="11"/>
  <c r="I288" i="11"/>
  <c r="I290" i="11"/>
  <c r="I291" i="11"/>
  <c r="I292" i="11"/>
  <c r="I293" i="11"/>
  <c r="I295" i="11"/>
  <c r="I296" i="11"/>
  <c r="I297" i="11"/>
  <c r="I298" i="11"/>
  <c r="I300" i="11"/>
  <c r="I301" i="11"/>
  <c r="I302" i="11"/>
  <c r="I303" i="11"/>
  <c r="I305" i="11"/>
  <c r="I306" i="11"/>
  <c r="I307" i="11"/>
  <c r="I308" i="11"/>
  <c r="I310" i="11"/>
  <c r="I311" i="11"/>
  <c r="I312" i="11"/>
  <c r="I313" i="11"/>
  <c r="I315" i="11"/>
  <c r="I316" i="11"/>
  <c r="I317" i="11"/>
  <c r="I318" i="11"/>
  <c r="I320" i="11"/>
  <c r="I321" i="11"/>
  <c r="I322" i="11"/>
  <c r="I323" i="11"/>
  <c r="I325" i="11"/>
  <c r="I326" i="11"/>
  <c r="I327" i="11"/>
  <c r="I328" i="11"/>
  <c r="I330" i="11"/>
  <c r="I331" i="11"/>
  <c r="I332" i="11"/>
  <c r="I333" i="11"/>
  <c r="I335" i="11"/>
  <c r="I336" i="11"/>
  <c r="I337" i="11"/>
  <c r="I338" i="11"/>
  <c r="I340" i="11"/>
  <c r="I341" i="11"/>
  <c r="I342" i="11"/>
  <c r="I343" i="11"/>
  <c r="I345" i="11"/>
  <c r="I346" i="11"/>
  <c r="I347" i="11"/>
  <c r="I348" i="11"/>
  <c r="I350" i="11"/>
  <c r="I351" i="11"/>
  <c r="I352" i="11"/>
  <c r="I353" i="11"/>
  <c r="I355" i="11"/>
  <c r="I356" i="11"/>
  <c r="I357" i="11"/>
  <c r="I358" i="11"/>
  <c r="I360" i="11"/>
  <c r="I361" i="11"/>
  <c r="I362" i="11"/>
  <c r="I363" i="11"/>
  <c r="I365" i="11"/>
  <c r="I366" i="11"/>
  <c r="I367" i="11"/>
  <c r="I368" i="11"/>
  <c r="I370" i="11"/>
  <c r="I371" i="11"/>
  <c r="I372" i="11"/>
  <c r="I373" i="11"/>
  <c r="I375" i="11"/>
  <c r="I376" i="11"/>
  <c r="I377" i="11"/>
  <c r="I378" i="11"/>
  <c r="I380" i="11"/>
  <c r="I381" i="11"/>
  <c r="I382" i="11"/>
  <c r="I383" i="11"/>
  <c r="I385" i="11"/>
  <c r="I386" i="11"/>
  <c r="I387" i="11"/>
  <c r="I388" i="11"/>
  <c r="I390" i="11"/>
  <c r="I391" i="11"/>
  <c r="I392" i="11"/>
  <c r="I393" i="11"/>
  <c r="I395" i="11"/>
  <c r="I396" i="11"/>
  <c r="I397" i="11"/>
  <c r="I398" i="11"/>
  <c r="I400" i="11"/>
  <c r="I401" i="11"/>
  <c r="I402" i="11"/>
  <c r="I403" i="11"/>
  <c r="I405" i="11"/>
  <c r="I406" i="11"/>
  <c r="I407" i="11"/>
  <c r="I408" i="11"/>
  <c r="I410" i="11"/>
  <c r="I411" i="11"/>
  <c r="I412" i="11"/>
  <c r="I413" i="11"/>
  <c r="I415" i="11"/>
  <c r="I416" i="11"/>
  <c r="I417" i="11"/>
  <c r="I418" i="11"/>
  <c r="I420" i="11"/>
  <c r="I421" i="11"/>
  <c r="I422" i="11"/>
  <c r="I423" i="11"/>
  <c r="I425" i="11"/>
  <c r="I426" i="11"/>
  <c r="I427" i="11"/>
  <c r="I428" i="11"/>
  <c r="I430" i="11"/>
  <c r="I431" i="11"/>
  <c r="I432" i="11"/>
  <c r="I433" i="11"/>
  <c r="I435" i="11"/>
  <c r="I436" i="11"/>
  <c r="I437" i="11"/>
  <c r="I438" i="11"/>
  <c r="I440" i="11"/>
  <c r="I441" i="11"/>
  <c r="I442" i="11"/>
  <c r="I443" i="11"/>
  <c r="I445" i="11"/>
  <c r="I446" i="11"/>
  <c r="I447" i="11"/>
  <c r="I448" i="11"/>
  <c r="I450" i="11"/>
  <c r="I451" i="11"/>
  <c r="I452" i="11"/>
  <c r="I453" i="11"/>
  <c r="I455" i="11"/>
  <c r="I456" i="11"/>
  <c r="I457" i="11"/>
  <c r="I458" i="11"/>
  <c r="I460" i="11"/>
  <c r="I461" i="11"/>
  <c r="I462" i="11"/>
  <c r="I463" i="11"/>
  <c r="I465" i="11"/>
  <c r="I466" i="11"/>
  <c r="I467" i="11"/>
  <c r="I468" i="11"/>
  <c r="I470" i="11"/>
  <c r="I471" i="11"/>
  <c r="I472" i="11"/>
  <c r="I473" i="11"/>
  <c r="I475" i="11"/>
  <c r="I476" i="11"/>
  <c r="I477" i="11"/>
  <c r="I478" i="11"/>
  <c r="I480" i="11"/>
  <c r="I481" i="11"/>
  <c r="I482" i="11"/>
  <c r="I483" i="11"/>
  <c r="I485" i="11"/>
  <c r="I486" i="11"/>
  <c r="I487" i="11"/>
  <c r="I488" i="11"/>
  <c r="I490" i="11"/>
  <c r="I491" i="11"/>
  <c r="I492" i="11"/>
  <c r="I493" i="11"/>
  <c r="I495" i="11"/>
  <c r="I496" i="11"/>
  <c r="I497" i="11"/>
  <c r="I498" i="11"/>
  <c r="I500" i="11"/>
  <c r="I501" i="11"/>
  <c r="I502" i="11"/>
  <c r="I503" i="11"/>
  <c r="I505" i="11"/>
  <c r="I506" i="11"/>
  <c r="I507" i="11"/>
  <c r="I508" i="11"/>
  <c r="I510" i="11"/>
  <c r="I511" i="11"/>
  <c r="I512" i="11"/>
  <c r="I513" i="11"/>
  <c r="I515" i="11"/>
  <c r="I516" i="11"/>
  <c r="I517" i="11"/>
  <c r="I518" i="11"/>
  <c r="I520" i="11"/>
  <c r="I521" i="11"/>
  <c r="I522" i="11"/>
  <c r="I523" i="11"/>
  <c r="I525" i="11"/>
  <c r="I526" i="11"/>
  <c r="I527" i="11"/>
  <c r="I528" i="11"/>
  <c r="I530" i="11"/>
  <c r="I531" i="11"/>
  <c r="I532" i="11"/>
  <c r="I533" i="11"/>
  <c r="I535" i="11"/>
  <c r="I536" i="11"/>
  <c r="I537" i="11"/>
  <c r="I538" i="11"/>
  <c r="I540" i="11"/>
  <c r="I541" i="11"/>
  <c r="I542" i="11"/>
  <c r="I543" i="11"/>
  <c r="I545" i="11"/>
  <c r="I546" i="11"/>
  <c r="I547" i="11"/>
  <c r="I548" i="11"/>
  <c r="I550" i="11"/>
  <c r="I551" i="11"/>
  <c r="I552" i="11"/>
  <c r="I553" i="11"/>
  <c r="I555" i="11"/>
  <c r="I556" i="11"/>
  <c r="I557" i="11"/>
  <c r="I558" i="11"/>
  <c r="I560" i="11"/>
  <c r="I561" i="11"/>
  <c r="I562" i="11"/>
  <c r="I563" i="11"/>
  <c r="I565" i="11"/>
  <c r="I566" i="11"/>
  <c r="I567" i="11"/>
  <c r="I568" i="11"/>
  <c r="I570" i="11"/>
  <c r="I571" i="11"/>
  <c r="I572" i="11"/>
  <c r="I573" i="11"/>
  <c r="I575" i="11"/>
  <c r="I576" i="11"/>
  <c r="I577" i="11"/>
  <c r="I578" i="11"/>
  <c r="I580" i="11"/>
  <c r="I581" i="11"/>
  <c r="I582" i="11"/>
  <c r="I583" i="11"/>
  <c r="I585" i="11"/>
  <c r="I586" i="11"/>
  <c r="I587" i="11"/>
  <c r="I588" i="11"/>
  <c r="I590" i="11"/>
  <c r="I591" i="11"/>
  <c r="I592" i="11"/>
  <c r="I593" i="11"/>
  <c r="I595" i="11"/>
  <c r="I596" i="11"/>
  <c r="I597" i="11"/>
  <c r="I598" i="11"/>
  <c r="I600" i="11"/>
  <c r="I601" i="11"/>
  <c r="I602" i="11"/>
  <c r="I603" i="11"/>
  <c r="I605" i="11"/>
  <c r="I606" i="11"/>
  <c r="I607" i="11"/>
  <c r="I608" i="11"/>
  <c r="I610" i="11"/>
  <c r="I611" i="11"/>
  <c r="I612" i="11"/>
  <c r="I613" i="11"/>
  <c r="I615" i="11"/>
  <c r="I616" i="11"/>
  <c r="I617" i="11"/>
  <c r="I618" i="11"/>
  <c r="I620" i="11"/>
  <c r="I621" i="11"/>
  <c r="I622" i="11"/>
  <c r="I623" i="11"/>
  <c r="I625" i="11"/>
  <c r="I626" i="11"/>
  <c r="I627" i="11"/>
  <c r="I628" i="11"/>
  <c r="I630" i="11"/>
  <c r="I631" i="11"/>
  <c r="I632" i="11"/>
  <c r="I633" i="11"/>
  <c r="I635" i="11"/>
  <c r="I636" i="11"/>
  <c r="I637" i="11"/>
  <c r="I638" i="11"/>
  <c r="I640" i="11"/>
  <c r="I641" i="11"/>
  <c r="I642" i="11"/>
  <c r="I643" i="11"/>
  <c r="I645" i="11"/>
  <c r="I646" i="11"/>
  <c r="I647" i="11"/>
  <c r="I648" i="11"/>
  <c r="I650" i="11"/>
  <c r="I651" i="11"/>
  <c r="I652" i="11"/>
  <c r="I653" i="11"/>
  <c r="I655" i="11"/>
  <c r="I656" i="11"/>
  <c r="I657" i="11"/>
  <c r="I658" i="11"/>
  <c r="I660" i="11"/>
  <c r="I661" i="11"/>
  <c r="I662" i="11"/>
  <c r="I663" i="11"/>
  <c r="I665" i="11"/>
  <c r="I666" i="11"/>
  <c r="I667" i="11"/>
  <c r="I668" i="11"/>
  <c r="I670" i="11"/>
  <c r="I671" i="11"/>
  <c r="I672" i="11"/>
  <c r="I673" i="11"/>
  <c r="I675" i="11"/>
  <c r="I676" i="11"/>
  <c r="I677" i="11"/>
  <c r="I678" i="11"/>
  <c r="I680" i="11"/>
  <c r="I681" i="11"/>
  <c r="I682" i="11"/>
  <c r="I683" i="11"/>
  <c r="I685" i="11"/>
  <c r="I686" i="11"/>
  <c r="I687" i="11"/>
  <c r="I688" i="11"/>
  <c r="I690" i="11"/>
  <c r="I691" i="11"/>
  <c r="I692" i="11"/>
  <c r="I693" i="11"/>
  <c r="I695" i="11"/>
  <c r="I696" i="11"/>
  <c r="I697" i="11"/>
  <c r="I698" i="11"/>
  <c r="I700" i="11"/>
  <c r="I701" i="11"/>
  <c r="I702" i="11"/>
  <c r="I703" i="11"/>
  <c r="I705" i="11"/>
  <c r="I706" i="11"/>
  <c r="I707" i="11"/>
  <c r="I708" i="11"/>
  <c r="I710" i="11"/>
  <c r="I711" i="11"/>
  <c r="I712" i="11"/>
  <c r="I713" i="11"/>
  <c r="I715" i="11"/>
  <c r="I716" i="11"/>
  <c r="I717" i="11"/>
  <c r="I718" i="11"/>
  <c r="I720" i="11"/>
  <c r="I721" i="11"/>
  <c r="I722" i="11"/>
  <c r="I723" i="11"/>
  <c r="I725" i="11"/>
  <c r="I726" i="11"/>
  <c r="I727" i="11"/>
  <c r="I728" i="11"/>
  <c r="I730" i="11"/>
  <c r="I731" i="11"/>
  <c r="I732" i="11"/>
  <c r="I733" i="11"/>
  <c r="I735" i="11"/>
  <c r="I736" i="11"/>
  <c r="I737" i="11"/>
  <c r="I738" i="11"/>
  <c r="I740" i="11"/>
  <c r="I741" i="11"/>
  <c r="I742" i="11"/>
  <c r="I743" i="11"/>
  <c r="I745" i="11"/>
  <c r="I746" i="11"/>
  <c r="I747" i="11"/>
  <c r="I748" i="11"/>
  <c r="I750" i="11"/>
  <c r="I751" i="11"/>
  <c r="I752" i="11"/>
  <c r="I753" i="11"/>
  <c r="I755" i="11"/>
  <c r="I756" i="11"/>
  <c r="I757" i="11"/>
  <c r="I758" i="11"/>
  <c r="I760" i="11"/>
  <c r="I761" i="11"/>
  <c r="I762" i="11"/>
  <c r="I763" i="11"/>
  <c r="I765" i="11"/>
  <c r="I766" i="11"/>
  <c r="I767" i="11"/>
  <c r="I768" i="11"/>
  <c r="I770" i="11"/>
  <c r="I771" i="11"/>
  <c r="I772" i="11"/>
  <c r="I773" i="11"/>
  <c r="I775" i="11"/>
  <c r="I776" i="11"/>
  <c r="I777" i="11"/>
  <c r="I778" i="11"/>
  <c r="I780" i="11"/>
  <c r="I781" i="11"/>
  <c r="I782" i="11"/>
  <c r="I783" i="11"/>
  <c r="I785" i="11"/>
  <c r="I786" i="11"/>
  <c r="I787" i="11"/>
  <c r="I788" i="11"/>
  <c r="I790" i="11"/>
  <c r="I791" i="11"/>
  <c r="I792" i="11"/>
  <c r="I793" i="11"/>
  <c r="I795" i="11"/>
  <c r="I796" i="11"/>
  <c r="I797" i="11"/>
  <c r="I798" i="11"/>
  <c r="I800" i="11"/>
  <c r="I801" i="11"/>
  <c r="I802" i="11"/>
  <c r="I803" i="11"/>
  <c r="I805" i="11"/>
  <c r="I806" i="11"/>
  <c r="I807" i="11"/>
  <c r="I808" i="11"/>
  <c r="I810" i="11"/>
  <c r="I811" i="11"/>
  <c r="I812" i="11"/>
  <c r="I813" i="11"/>
  <c r="I815" i="11"/>
  <c r="I816" i="11"/>
  <c r="I817" i="11"/>
  <c r="I818" i="11"/>
  <c r="I820" i="11"/>
  <c r="I821" i="11"/>
  <c r="I822" i="11"/>
  <c r="I823" i="11"/>
  <c r="I825" i="11"/>
  <c r="I826" i="11"/>
  <c r="I835" i="11"/>
  <c r="I836" i="11"/>
  <c r="I837" i="11"/>
  <c r="I838" i="11"/>
  <c r="I840" i="11"/>
  <c r="I841" i="11"/>
  <c r="I842" i="11"/>
  <c r="I843" i="11"/>
  <c r="I845" i="11"/>
  <c r="I846" i="11"/>
  <c r="I847" i="11"/>
  <c r="I848" i="11"/>
  <c r="I850" i="11"/>
  <c r="I851" i="11"/>
  <c r="I852" i="11"/>
  <c r="I853" i="11"/>
  <c r="I855" i="11"/>
  <c r="I856" i="11"/>
  <c r="I857" i="11"/>
  <c r="I858" i="11"/>
  <c r="I860" i="11"/>
  <c r="I861" i="11"/>
  <c r="I862" i="11"/>
  <c r="I863" i="11"/>
  <c r="I865" i="11"/>
  <c r="I866" i="11"/>
  <c r="I867" i="11"/>
  <c r="I868" i="11"/>
  <c r="I870" i="11"/>
  <c r="I871" i="11"/>
  <c r="I872" i="11"/>
  <c r="I873" i="11"/>
  <c r="I875" i="11"/>
  <c r="I876" i="11"/>
  <c r="I877" i="11"/>
  <c r="I878" i="11"/>
  <c r="I880" i="11"/>
  <c r="I881" i="11"/>
  <c r="I882" i="11"/>
  <c r="I883" i="11"/>
  <c r="I885" i="11"/>
  <c r="I886" i="11"/>
  <c r="I887" i="11"/>
  <c r="I888" i="11"/>
  <c r="I890" i="11"/>
  <c r="I891" i="11"/>
  <c r="I892" i="11"/>
  <c r="I893" i="11"/>
  <c r="I895" i="11"/>
  <c r="I896" i="11"/>
  <c r="I897" i="11"/>
  <c r="I898" i="11"/>
  <c r="I900" i="11"/>
  <c r="I901" i="11"/>
  <c r="I902" i="11"/>
  <c r="I903" i="11"/>
  <c r="I905" i="11"/>
  <c r="I906" i="11"/>
  <c r="I907" i="11"/>
  <c r="I908" i="11"/>
  <c r="I910" i="11"/>
  <c r="I911" i="11"/>
  <c r="I912" i="11"/>
  <c r="I913" i="11"/>
  <c r="I915" i="11"/>
  <c r="I916" i="11"/>
  <c r="I917" i="11"/>
  <c r="I918" i="11"/>
  <c r="I920" i="11"/>
  <c r="I921" i="11"/>
  <c r="I922" i="11"/>
  <c r="I923" i="11"/>
  <c r="I925" i="11"/>
  <c r="I926" i="11"/>
  <c r="I927" i="11"/>
  <c r="I928" i="11"/>
  <c r="I930" i="11"/>
  <c r="I931" i="11"/>
  <c r="I932" i="11"/>
  <c r="I933" i="11"/>
  <c r="I935" i="11"/>
  <c r="I936" i="11"/>
  <c r="I937" i="11"/>
  <c r="I938" i="11"/>
  <c r="I940" i="11"/>
  <c r="I941" i="11"/>
  <c r="I942" i="11"/>
  <c r="I943" i="11"/>
  <c r="I945" i="11"/>
  <c r="I946" i="11"/>
  <c r="I947" i="11"/>
  <c r="I948" i="11"/>
  <c r="I950" i="11"/>
  <c r="I951" i="11"/>
  <c r="I952" i="11"/>
  <c r="I953" i="11"/>
  <c r="I955" i="11"/>
  <c r="I956" i="11"/>
  <c r="I957" i="11"/>
  <c r="I958" i="11"/>
  <c r="I960" i="11"/>
  <c r="I961" i="11"/>
  <c r="I962" i="11"/>
  <c r="I963" i="11"/>
  <c r="I965" i="11"/>
  <c r="I966" i="11"/>
  <c r="I967" i="11"/>
  <c r="I968" i="11"/>
  <c r="I970" i="11"/>
  <c r="I971" i="11"/>
  <c r="I972" i="11"/>
  <c r="I973" i="11"/>
  <c r="I975" i="11"/>
  <c r="I976" i="11"/>
  <c r="I977" i="11"/>
  <c r="I978" i="11"/>
  <c r="I980" i="11"/>
  <c r="I981" i="11"/>
  <c r="I982" i="11"/>
  <c r="I983" i="11"/>
  <c r="I985" i="11"/>
  <c r="I986" i="11"/>
  <c r="I987" i="11"/>
  <c r="I988" i="11"/>
  <c r="I990" i="11"/>
  <c r="I991" i="11"/>
  <c r="I992" i="11"/>
  <c r="I993" i="11"/>
  <c r="I995" i="11"/>
  <c r="I996" i="11"/>
  <c r="I997" i="11"/>
  <c r="I998" i="11"/>
  <c r="I1000" i="11"/>
  <c r="I1001" i="11"/>
  <c r="I1002" i="11"/>
  <c r="I1003" i="11"/>
  <c r="I1005" i="11"/>
  <c r="I1006" i="11"/>
  <c r="I1007" i="11"/>
  <c r="I1008" i="11"/>
  <c r="I1010" i="11"/>
  <c r="I1011" i="11"/>
  <c r="I1012" i="11"/>
  <c r="I1013" i="11"/>
  <c r="I1015" i="11"/>
  <c r="I1016" i="11"/>
  <c r="I1017" i="11"/>
  <c r="I1018" i="11"/>
  <c r="I1020" i="11"/>
  <c r="I1021" i="11"/>
  <c r="I1022" i="11"/>
  <c r="I1023" i="11"/>
  <c r="I1025" i="11"/>
  <c r="I1026" i="11"/>
  <c r="I1027" i="11"/>
  <c r="I1028" i="11"/>
  <c r="I1030" i="11"/>
  <c r="I1031" i="11"/>
  <c r="I1032" i="11"/>
  <c r="I1033" i="11"/>
  <c r="I1035" i="11"/>
  <c r="I1036" i="11"/>
  <c r="I1037" i="11"/>
  <c r="I1038" i="11"/>
  <c r="I1040" i="11"/>
  <c r="I1041" i="11"/>
  <c r="I1042" i="11"/>
  <c r="I1043" i="11"/>
  <c r="I1045" i="11"/>
  <c r="I1046" i="11"/>
  <c r="I1047" i="11"/>
  <c r="I1048" i="11"/>
  <c r="I1050" i="11"/>
  <c r="I1051" i="11"/>
  <c r="I1052" i="11"/>
  <c r="I1053" i="11"/>
  <c r="I1055" i="11"/>
  <c r="I1056" i="11"/>
  <c r="I1057" i="11"/>
  <c r="I1058" i="11"/>
  <c r="I1060" i="11"/>
  <c r="I1061" i="11"/>
  <c r="I1062" i="11"/>
  <c r="I1063" i="11"/>
  <c r="I1065" i="11"/>
  <c r="I1066" i="11"/>
  <c r="I1067" i="11"/>
  <c r="I1068" i="11"/>
  <c r="I1070" i="11"/>
  <c r="I1071" i="11"/>
  <c r="I1072" i="11"/>
  <c r="I1073" i="11"/>
  <c r="I1075" i="11"/>
  <c r="I1076" i="11"/>
  <c r="I1077" i="11"/>
  <c r="I1078" i="11"/>
  <c r="I1080" i="11"/>
  <c r="I1081" i="11"/>
  <c r="I1082" i="11"/>
  <c r="I1083" i="11"/>
  <c r="I1085" i="11"/>
  <c r="I1086" i="11"/>
  <c r="I1087" i="11"/>
  <c r="I1088" i="11"/>
  <c r="I1090" i="11"/>
  <c r="I1091" i="11"/>
  <c r="I1092" i="11"/>
  <c r="I1093" i="11"/>
  <c r="I1095" i="11"/>
  <c r="I1096" i="11"/>
  <c r="I1097" i="11"/>
  <c r="I1098" i="11"/>
  <c r="I1100" i="11"/>
  <c r="I1101" i="11"/>
  <c r="I1102" i="11"/>
  <c r="I1103" i="11"/>
  <c r="I1105" i="11"/>
  <c r="I1106" i="11"/>
  <c r="I1107" i="11"/>
  <c r="I1108" i="11"/>
  <c r="I1110" i="11"/>
  <c r="I1111" i="11"/>
  <c r="I1112" i="11"/>
  <c r="I1113" i="11"/>
  <c r="I1115" i="11"/>
  <c r="I1116" i="11"/>
  <c r="I1117" i="11"/>
  <c r="I1118" i="11"/>
  <c r="I1120" i="11"/>
  <c r="I1121" i="11"/>
  <c r="I1122" i="11"/>
  <c r="I1123" i="11"/>
  <c r="I1125" i="11"/>
  <c r="I1126" i="11"/>
  <c r="I1127" i="11"/>
  <c r="I1128" i="11"/>
  <c r="I1130" i="11"/>
  <c r="I1131" i="11"/>
  <c r="I1132" i="11"/>
  <c r="I1133" i="11"/>
  <c r="I1135" i="11"/>
  <c r="I1136" i="11"/>
  <c r="I1137" i="11"/>
  <c r="I1138" i="11"/>
  <c r="I1140" i="11"/>
  <c r="I1141" i="11"/>
  <c r="I1142" i="11"/>
  <c r="I1143" i="11"/>
  <c r="I1145" i="11"/>
  <c r="I1146" i="11"/>
  <c r="I1147" i="11"/>
  <c r="I1148" i="11"/>
  <c r="I1150" i="11"/>
  <c r="I1151" i="11"/>
  <c r="I1152" i="11"/>
  <c r="I1153" i="11"/>
  <c r="I1155" i="11"/>
  <c r="I1156" i="11"/>
  <c r="I1157" i="11"/>
  <c r="I1158" i="11"/>
  <c r="I1160" i="11"/>
  <c r="I1161" i="11"/>
  <c r="I1162" i="11"/>
  <c r="I1163" i="11"/>
  <c r="I1165" i="11"/>
  <c r="I1166" i="11"/>
  <c r="I1167" i="11"/>
  <c r="I1168" i="11"/>
  <c r="I1170" i="11"/>
  <c r="I1171" i="11"/>
  <c r="I1172" i="11"/>
  <c r="I1173" i="11"/>
  <c r="I1175" i="11"/>
  <c r="I1176" i="11"/>
  <c r="I1177" i="11"/>
  <c r="I1178" i="11"/>
  <c r="I1180" i="11"/>
  <c r="I1181" i="11"/>
  <c r="I1182" i="11"/>
  <c r="I1183" i="11"/>
  <c r="I1185" i="11"/>
  <c r="I1186" i="11"/>
  <c r="I1187" i="11"/>
  <c r="I1188" i="11"/>
  <c r="I1190" i="11"/>
  <c r="I1191" i="11"/>
  <c r="I1192" i="11"/>
  <c r="I1193" i="11"/>
  <c r="I1195" i="11"/>
  <c r="I1196" i="11"/>
  <c r="I1197" i="11"/>
  <c r="I1198" i="11"/>
  <c r="I1200" i="11"/>
  <c r="I1201" i="11"/>
  <c r="I1202" i="11"/>
  <c r="I1203" i="11"/>
  <c r="I1205" i="11"/>
  <c r="I1206" i="11"/>
  <c r="I1207" i="11"/>
  <c r="I1208" i="11"/>
  <c r="I1210" i="11"/>
  <c r="I1211" i="11"/>
  <c r="I1212" i="11"/>
  <c r="I1213" i="11"/>
  <c r="I1215" i="11"/>
  <c r="I1216" i="11"/>
  <c r="I1217" i="11"/>
  <c r="I1218" i="11"/>
  <c r="I1220" i="11"/>
  <c r="I1221" i="11"/>
  <c r="I1222" i="11"/>
  <c r="I1223" i="11"/>
  <c r="I1225" i="11"/>
  <c r="I1226" i="11"/>
  <c r="I1227" i="11"/>
  <c r="I1228" i="11"/>
  <c r="I1230" i="11"/>
  <c r="I1231" i="11"/>
  <c r="I1232" i="11"/>
  <c r="I1233" i="11"/>
  <c r="I1235" i="11"/>
  <c r="I1236" i="11"/>
  <c r="I1237" i="11"/>
  <c r="I1238" i="11"/>
  <c r="I1240" i="11"/>
  <c r="I1241" i="11"/>
  <c r="I1242" i="11"/>
  <c r="I1243" i="11"/>
  <c r="I1245" i="11"/>
  <c r="I1246" i="11"/>
  <c r="I1247" i="11"/>
  <c r="I1248" i="11"/>
  <c r="I1250" i="11"/>
  <c r="I1251" i="11"/>
  <c r="I1252" i="11"/>
  <c r="I1253" i="11"/>
  <c r="I1255" i="11"/>
  <c r="I1256" i="11"/>
  <c r="I1257" i="11"/>
  <c r="I1258" i="11"/>
  <c r="I1260" i="11"/>
  <c r="I1261" i="11"/>
  <c r="I1262" i="11"/>
  <c r="I1263" i="11"/>
  <c r="I1265" i="11"/>
  <c r="I1266" i="11"/>
  <c r="I1267" i="11"/>
  <c r="I1268" i="11"/>
  <c r="I1270" i="11"/>
  <c r="I1271" i="11"/>
  <c r="I1272" i="11"/>
  <c r="I1273" i="11"/>
  <c r="I1275" i="11"/>
  <c r="I1276" i="11"/>
  <c r="I1277" i="11"/>
  <c r="I1278" i="11"/>
  <c r="I1280" i="11"/>
  <c r="I1281" i="11"/>
  <c r="I1282" i="11"/>
  <c r="I1283" i="11"/>
  <c r="I1285" i="11"/>
  <c r="I1286" i="11"/>
  <c r="I1287" i="11"/>
  <c r="I1288" i="11"/>
  <c r="I1290" i="11"/>
  <c r="I1291" i="11"/>
  <c r="I1292" i="11"/>
  <c r="I1293" i="11"/>
  <c r="I1295" i="11"/>
  <c r="I1296" i="11"/>
  <c r="I1297" i="11"/>
  <c r="I1298" i="11"/>
  <c r="I1300" i="11"/>
  <c r="I1301" i="11"/>
  <c r="I1302" i="11"/>
  <c r="I1303" i="11"/>
  <c r="I1305" i="11"/>
  <c r="I1306" i="11"/>
  <c r="I1307" i="11"/>
  <c r="I1308" i="11"/>
  <c r="I1310" i="11"/>
  <c r="I1311" i="11"/>
  <c r="I1312" i="11"/>
  <c r="I1313" i="11"/>
  <c r="I1315" i="11"/>
  <c r="I1316" i="11"/>
  <c r="I1317" i="11"/>
  <c r="I1318" i="11"/>
  <c r="I1320" i="11"/>
  <c r="I1321" i="11"/>
  <c r="I1322" i="11"/>
  <c r="I1323" i="11"/>
  <c r="I1325" i="11"/>
  <c r="I1326" i="11"/>
  <c r="I1327" i="11"/>
  <c r="I1328" i="11"/>
  <c r="I1330" i="11"/>
  <c r="I1331" i="11"/>
  <c r="I1332" i="11"/>
  <c r="I1333" i="11"/>
  <c r="I1335" i="11"/>
  <c r="I1336" i="11"/>
  <c r="I1337" i="11"/>
  <c r="I1338" i="11"/>
  <c r="I1340" i="11"/>
  <c r="I1341" i="11"/>
  <c r="I1342" i="11"/>
  <c r="I1343" i="11"/>
  <c r="I1345" i="11"/>
  <c r="I1346" i="11"/>
  <c r="I1347" i="11"/>
  <c r="I1348" i="11"/>
  <c r="I1350" i="11"/>
  <c r="I1351" i="11"/>
  <c r="I1352" i="11"/>
  <c r="I1353" i="11"/>
  <c r="I1355" i="11"/>
  <c r="I1356" i="11"/>
  <c r="I1357" i="11"/>
  <c r="I1358" i="11"/>
  <c r="I1360" i="11"/>
  <c r="I1361" i="11"/>
  <c r="I1362" i="11"/>
  <c r="I1363" i="11"/>
  <c r="I1365" i="11"/>
  <c r="I1366" i="11"/>
  <c r="I1367" i="11"/>
  <c r="I1368" i="11"/>
  <c r="I1370" i="11"/>
  <c r="I1371" i="11"/>
  <c r="I1372" i="11"/>
  <c r="I1373" i="11"/>
  <c r="I1375" i="11"/>
  <c r="I1376" i="11"/>
  <c r="I1377" i="11"/>
  <c r="I1378" i="11"/>
  <c r="I1380" i="11"/>
  <c r="I1381" i="11"/>
  <c r="I1382" i="11"/>
  <c r="I1383" i="11"/>
  <c r="I1385" i="11"/>
  <c r="I1386" i="11"/>
  <c r="I1387" i="11"/>
  <c r="I1388" i="11"/>
  <c r="I1390" i="11"/>
  <c r="I1391" i="11"/>
  <c r="I1392" i="11"/>
  <c r="I1393" i="11"/>
  <c r="I1395" i="11"/>
  <c r="I1396" i="11"/>
  <c r="I1397" i="11"/>
  <c r="I1398" i="11"/>
  <c r="I1400" i="11"/>
  <c r="I1401" i="11"/>
  <c r="I1402" i="11"/>
  <c r="I1403" i="11"/>
  <c r="I1405" i="11"/>
  <c r="I1406" i="11"/>
  <c r="I1407" i="11"/>
  <c r="I1408" i="11"/>
  <c r="I1410" i="11"/>
  <c r="I1411" i="11"/>
  <c r="I1412" i="11"/>
  <c r="I1413" i="11"/>
  <c r="I1415" i="11"/>
  <c r="I1416" i="11"/>
  <c r="I1417" i="11"/>
  <c r="I1418" i="11"/>
  <c r="I1420" i="11"/>
  <c r="I1421" i="11"/>
  <c r="I1422" i="11"/>
  <c r="I1423" i="11"/>
  <c r="I1425" i="11"/>
  <c r="I1426" i="11"/>
  <c r="I1427" i="11"/>
  <c r="I1428" i="11"/>
  <c r="I1430" i="11"/>
  <c r="I1431" i="11"/>
  <c r="I1432" i="11"/>
  <c r="I1433" i="11"/>
  <c r="I1435" i="11"/>
  <c r="I1436" i="11"/>
  <c r="I1437" i="11"/>
  <c r="I1438" i="11"/>
  <c r="I1440" i="11"/>
  <c r="I1441" i="11"/>
  <c r="I1442" i="11"/>
  <c r="I1443" i="11"/>
  <c r="I1445" i="11"/>
  <c r="I1446" i="11"/>
  <c r="I1447" i="11"/>
  <c r="I1448" i="11"/>
  <c r="I1450" i="11"/>
  <c r="I1451" i="11"/>
  <c r="I1452" i="11"/>
  <c r="I1453" i="11"/>
  <c r="I1455" i="11"/>
  <c r="I1456" i="11"/>
  <c r="I1457" i="11"/>
  <c r="I1458" i="11"/>
  <c r="I1460" i="11"/>
  <c r="I1461" i="11"/>
  <c r="I1462" i="11"/>
  <c r="I1463" i="11"/>
  <c r="I1465" i="11"/>
  <c r="I1466" i="11"/>
  <c r="I1467" i="11"/>
  <c r="I1468" i="11"/>
  <c r="I1470" i="11"/>
  <c r="I1471" i="11"/>
  <c r="I1472" i="11"/>
  <c r="I1473" i="11"/>
  <c r="I1475" i="11"/>
  <c r="I1476" i="11"/>
  <c r="I1477" i="11"/>
  <c r="I1478" i="11"/>
  <c r="I1480" i="11"/>
  <c r="I1481" i="11"/>
  <c r="I1482" i="11"/>
  <c r="I1483" i="11"/>
  <c r="I1485" i="11"/>
  <c r="I1486" i="11"/>
  <c r="I1487" i="11"/>
  <c r="I1488" i="11"/>
  <c r="I1490" i="11"/>
  <c r="I1491" i="11"/>
  <c r="I1492" i="11"/>
  <c r="I1493" i="11"/>
  <c r="I1495" i="11"/>
  <c r="I1496" i="11"/>
  <c r="I1497" i="11"/>
  <c r="I1498" i="11"/>
  <c r="I1500" i="11"/>
  <c r="I1501" i="11"/>
  <c r="I1502" i="11"/>
  <c r="I1503" i="11"/>
  <c r="I1505" i="11"/>
  <c r="I1506" i="11"/>
  <c r="I1507" i="11"/>
  <c r="I1508" i="11"/>
  <c r="I1510" i="11"/>
  <c r="I1511" i="11"/>
  <c r="I1512" i="11"/>
  <c r="I1513" i="11"/>
  <c r="I1515" i="11"/>
  <c r="I1516" i="11"/>
  <c r="I1517" i="11"/>
  <c r="I1518" i="11"/>
  <c r="I1520" i="11"/>
  <c r="I1521" i="11"/>
  <c r="I1522" i="11"/>
  <c r="I1523" i="11"/>
  <c r="I1525" i="11"/>
  <c r="I1526" i="11"/>
  <c r="I1527" i="11"/>
  <c r="I1528" i="11"/>
  <c r="I1530" i="11"/>
  <c r="I1531" i="11"/>
  <c r="I1532" i="11"/>
  <c r="I1533" i="11"/>
  <c r="I1535" i="11"/>
  <c r="I1536" i="11"/>
  <c r="I1537" i="11"/>
  <c r="I1538" i="11"/>
  <c r="I1540" i="11"/>
  <c r="I1541" i="11"/>
  <c r="I1542" i="11"/>
  <c r="I1543" i="11"/>
  <c r="I1545" i="11"/>
  <c r="I1546" i="11"/>
  <c r="I1547" i="11"/>
  <c r="I1548" i="11"/>
  <c r="I1550" i="11"/>
  <c r="I1551" i="11"/>
  <c r="I1552" i="11"/>
  <c r="I1553" i="11"/>
  <c r="I1555" i="11"/>
  <c r="I1556" i="11"/>
  <c r="I1557" i="11"/>
  <c r="I1558" i="11"/>
  <c r="I1560" i="11"/>
  <c r="I1561" i="11"/>
  <c r="I1562" i="11"/>
  <c r="I1563" i="11"/>
  <c r="I1565" i="11"/>
  <c r="I1566" i="11"/>
  <c r="I1567" i="11"/>
  <c r="I1568" i="11"/>
  <c r="I1570" i="11"/>
  <c r="I1571" i="11"/>
  <c r="I1572" i="11"/>
  <c r="I1573" i="11"/>
  <c r="I1575" i="11"/>
  <c r="I1576" i="11"/>
  <c r="I1577" i="11"/>
  <c r="I1578" i="11"/>
  <c r="I1580" i="11"/>
  <c r="I1581" i="11"/>
  <c r="I1582" i="11"/>
  <c r="I1583" i="11"/>
  <c r="I1585" i="11"/>
  <c r="I1586" i="11"/>
  <c r="I1587" i="11"/>
  <c r="I1588" i="11"/>
  <c r="I1590" i="11"/>
  <c r="I1591" i="11"/>
  <c r="I1592" i="11"/>
  <c r="I1593" i="11"/>
  <c r="I1595" i="11"/>
  <c r="I1596" i="11"/>
  <c r="I1597" i="11"/>
  <c r="I1598" i="11"/>
  <c r="I1600" i="11"/>
  <c r="I1601" i="11"/>
  <c r="I1602" i="11"/>
  <c r="I1603" i="11"/>
  <c r="I1605" i="11"/>
  <c r="I1606" i="11"/>
  <c r="I1607" i="11"/>
  <c r="I1608" i="11"/>
  <c r="I1610" i="11"/>
  <c r="I1611" i="11"/>
  <c r="I1612" i="11"/>
  <c r="I1613" i="11"/>
  <c r="I1615" i="11"/>
  <c r="I1616" i="11"/>
  <c r="I1617" i="11"/>
  <c r="I1618" i="11"/>
  <c r="I1620" i="11"/>
  <c r="I1621" i="11"/>
  <c r="I1622" i="11"/>
  <c r="I1623" i="11"/>
  <c r="I1625" i="11"/>
  <c r="I1626" i="11"/>
  <c r="I1627" i="11"/>
  <c r="I1628" i="11"/>
  <c r="I1630" i="11"/>
  <c r="I1631" i="11"/>
  <c r="I1632" i="11"/>
  <c r="I1633" i="11"/>
  <c r="I1635" i="11"/>
  <c r="I1636" i="11"/>
  <c r="I1637" i="11"/>
  <c r="I1638" i="11"/>
  <c r="I1640" i="11"/>
  <c r="I1641" i="11"/>
  <c r="I1642" i="11"/>
  <c r="I1643" i="11"/>
  <c r="I1645" i="11"/>
  <c r="I1646" i="11"/>
  <c r="I1647" i="11"/>
  <c r="I1648" i="11"/>
  <c r="I1650" i="11"/>
  <c r="I1651" i="11"/>
  <c r="I1652" i="11"/>
  <c r="I1653" i="11"/>
  <c r="I1655" i="11"/>
  <c r="I1656" i="11"/>
  <c r="I1657" i="11"/>
  <c r="I1658" i="11"/>
  <c r="I1660" i="11"/>
  <c r="I1661" i="11"/>
  <c r="I1662" i="11"/>
  <c r="I1663" i="11"/>
  <c r="I1665" i="11"/>
  <c r="I1666" i="11"/>
  <c r="I1667" i="11"/>
  <c r="I1668" i="11"/>
  <c r="I1670" i="11"/>
  <c r="I1671" i="11"/>
  <c r="I1672" i="11"/>
  <c r="I1673" i="11"/>
  <c r="I1675" i="11"/>
  <c r="I1676" i="11"/>
  <c r="I1677" i="11"/>
  <c r="I1678" i="11"/>
  <c r="I1680" i="11"/>
  <c r="I1681" i="11"/>
  <c r="I1682" i="11"/>
  <c r="I1683" i="11"/>
  <c r="I1685" i="11"/>
  <c r="I1686" i="11"/>
  <c r="I1687" i="11"/>
  <c r="I1688" i="11"/>
  <c r="I1690" i="11"/>
  <c r="I1691" i="11"/>
  <c r="I1692" i="11"/>
  <c r="I1693" i="11"/>
  <c r="I1695" i="11"/>
  <c r="I1696" i="11"/>
  <c r="I1697" i="11"/>
  <c r="I1698" i="11"/>
  <c r="I1700" i="11"/>
  <c r="I1701" i="11"/>
  <c r="I1702" i="11"/>
  <c r="I1703" i="11"/>
  <c r="I1705" i="11"/>
  <c r="I1706" i="11"/>
  <c r="I1707" i="11"/>
  <c r="I1708" i="11"/>
  <c r="I1710" i="11"/>
  <c r="I1711" i="11"/>
  <c r="I1712" i="11"/>
  <c r="I1713" i="11"/>
  <c r="I1715" i="11"/>
  <c r="I1716" i="11"/>
  <c r="I1717" i="11"/>
  <c r="I1718" i="11"/>
  <c r="I1720" i="11"/>
  <c r="I1721" i="11"/>
  <c r="I1722" i="11"/>
  <c r="I1723" i="11"/>
  <c r="I1725" i="11"/>
  <c r="I1726" i="11"/>
  <c r="I1727" i="11"/>
  <c r="I1728" i="11"/>
  <c r="I1730" i="11"/>
  <c r="I1731" i="11"/>
  <c r="I1732" i="11"/>
  <c r="I1733" i="11"/>
  <c r="I1735" i="11"/>
  <c r="I1736" i="11"/>
  <c r="I1737" i="11"/>
  <c r="I1738" i="11"/>
  <c r="I1740" i="11"/>
  <c r="I1741" i="11"/>
  <c r="I1742" i="11"/>
  <c r="I1743" i="11"/>
  <c r="I1745" i="11"/>
  <c r="I1746" i="11"/>
  <c r="I1747" i="11"/>
  <c r="I1748" i="11"/>
  <c r="I1750" i="11"/>
  <c r="I1751" i="11"/>
  <c r="I1752" i="11"/>
  <c r="I1753" i="11"/>
  <c r="I1755" i="11"/>
  <c r="I1756" i="11"/>
  <c r="I1757" i="11"/>
  <c r="I1758" i="11"/>
  <c r="I1760" i="11"/>
  <c r="I1761" i="11"/>
  <c r="I1762" i="11"/>
  <c r="I1763" i="11"/>
  <c r="I1765" i="11"/>
  <c r="I1766" i="11"/>
  <c r="I1767" i="11"/>
  <c r="I1768" i="11"/>
  <c r="I1770" i="11"/>
  <c r="I1771" i="11"/>
  <c r="I1772" i="11"/>
  <c r="I1773" i="11"/>
  <c r="I1775" i="11"/>
  <c r="I1776" i="11"/>
  <c r="I1777" i="11"/>
  <c r="I1778" i="11"/>
  <c r="I1780" i="11"/>
  <c r="I1781" i="11"/>
  <c r="I1782" i="11"/>
  <c r="I1783" i="11"/>
  <c r="I1785" i="11"/>
  <c r="I1786" i="11"/>
  <c r="I1787" i="11"/>
  <c r="I1788" i="11"/>
  <c r="I1790" i="11"/>
  <c r="I1791" i="11"/>
  <c r="I1792" i="11"/>
  <c r="I1793" i="11"/>
  <c r="I1795" i="11"/>
  <c r="I1796" i="11"/>
  <c r="I1797" i="11"/>
  <c r="I1798" i="11"/>
  <c r="I1800" i="11"/>
  <c r="I1801" i="11"/>
  <c r="I1802" i="11"/>
  <c r="I1803" i="11"/>
  <c r="I1805" i="11"/>
  <c r="I1806" i="11"/>
  <c r="I1807" i="11"/>
  <c r="I1808" i="11"/>
  <c r="I1810" i="11"/>
  <c r="I1811" i="11"/>
  <c r="I1812" i="11"/>
  <c r="I1813" i="11"/>
  <c r="I1815" i="11"/>
  <c r="I1816" i="11"/>
  <c r="I1817" i="11"/>
  <c r="I1818" i="11"/>
  <c r="I1820" i="11"/>
  <c r="I1821" i="11"/>
  <c r="I1822" i="11"/>
  <c r="I1823" i="11"/>
  <c r="I1825" i="11"/>
  <c r="I1826" i="11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83" i="11"/>
  <c r="H1284" i="11"/>
  <c r="H1285" i="11"/>
  <c r="H1286" i="11"/>
  <c r="H1287" i="11"/>
  <c r="H1288" i="11"/>
  <c r="H1289" i="11"/>
  <c r="H1290" i="11"/>
  <c r="H1291" i="11"/>
  <c r="H1292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H1307" i="11"/>
  <c r="H1308" i="11"/>
  <c r="H1309" i="11"/>
  <c r="H1310" i="11"/>
  <c r="H1311" i="11"/>
  <c r="H1312" i="11"/>
  <c r="H1313" i="11"/>
  <c r="H1314" i="11"/>
  <c r="H1315" i="11"/>
  <c r="H1316" i="11"/>
  <c r="H1317" i="11"/>
  <c r="H1318" i="11"/>
  <c r="H1319" i="11"/>
  <c r="H1320" i="11"/>
  <c r="H1321" i="11"/>
  <c r="H1322" i="11"/>
  <c r="H1323" i="11"/>
  <c r="H1324" i="11"/>
  <c r="H1325" i="11"/>
  <c r="H1326" i="11"/>
  <c r="H1327" i="11"/>
  <c r="H1328" i="11"/>
  <c r="H1329" i="11"/>
  <c r="H1330" i="11"/>
  <c r="H1331" i="11"/>
  <c r="H1332" i="11"/>
  <c r="H1333" i="11"/>
  <c r="H1334" i="11"/>
  <c r="H1335" i="11"/>
  <c r="H1336" i="11"/>
  <c r="H1337" i="11"/>
  <c r="H1338" i="1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H1355" i="11"/>
  <c r="H1356" i="11"/>
  <c r="H1357" i="11"/>
  <c r="H1358" i="11"/>
  <c r="H1359" i="11"/>
  <c r="H1360" i="11"/>
  <c r="H1361" i="11"/>
  <c r="H1362" i="11"/>
  <c r="H1363" i="11"/>
  <c r="H1364" i="11"/>
  <c r="H1365" i="11"/>
  <c r="H1366" i="11"/>
  <c r="H1367" i="11"/>
  <c r="H1368" i="11"/>
  <c r="H1369" i="11"/>
  <c r="H1370" i="1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H1387" i="11"/>
  <c r="H1388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H1403" i="11"/>
  <c r="H1404" i="11"/>
  <c r="H1405" i="11"/>
  <c r="H1406" i="11"/>
  <c r="H1407" i="11"/>
  <c r="H1408" i="11"/>
  <c r="H1409" i="11"/>
  <c r="H1410" i="11"/>
  <c r="H1411" i="11"/>
  <c r="H1412" i="11"/>
  <c r="H1413" i="11"/>
  <c r="H1414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27" i="11"/>
  <c r="H1428" i="11"/>
  <c r="H1429" i="11"/>
  <c r="H1430" i="11"/>
  <c r="H1431" i="11"/>
  <c r="H1432" i="11"/>
  <c r="H1433" i="11"/>
  <c r="H1434" i="11"/>
  <c r="H1435" i="11"/>
  <c r="H1436" i="11"/>
  <c r="H1437" i="11"/>
  <c r="H1438" i="11"/>
  <c r="H1439" i="11"/>
  <c r="H1440" i="11"/>
  <c r="H1441" i="11"/>
  <c r="H1442" i="11"/>
  <c r="H1443" i="11"/>
  <c r="H1444" i="11"/>
  <c r="H1445" i="11"/>
  <c r="H1446" i="11"/>
  <c r="H1447" i="11"/>
  <c r="H1448" i="11"/>
  <c r="H1449" i="11"/>
  <c r="H1450" i="11"/>
  <c r="H1451" i="11"/>
  <c r="H1452" i="11"/>
  <c r="H1453" i="11"/>
  <c r="H1454" i="11"/>
  <c r="H1455" i="11"/>
  <c r="H1456" i="11"/>
  <c r="H1457" i="11"/>
  <c r="H1458" i="11"/>
  <c r="H1459" i="11"/>
  <c r="H1460" i="11"/>
  <c r="H1461" i="11"/>
  <c r="H1462" i="11"/>
  <c r="H1463" i="11"/>
  <c r="H1464" i="11"/>
  <c r="H1465" i="11"/>
  <c r="H1466" i="11"/>
  <c r="H1467" i="11"/>
  <c r="H1468" i="11"/>
  <c r="H1469" i="11"/>
  <c r="H1470" i="11"/>
  <c r="H1471" i="11"/>
  <c r="H1472" i="11"/>
  <c r="H1473" i="11"/>
  <c r="H1474" i="11"/>
  <c r="H1475" i="11"/>
  <c r="H1476" i="11"/>
  <c r="H1477" i="11"/>
  <c r="H1478" i="11"/>
  <c r="H1479" i="11"/>
  <c r="H1480" i="11"/>
  <c r="H1481" i="11"/>
  <c r="H1482" i="11"/>
  <c r="H1483" i="11"/>
  <c r="H1484" i="11"/>
  <c r="H1485" i="11"/>
  <c r="H1486" i="11"/>
  <c r="H1487" i="11"/>
  <c r="H1488" i="11"/>
  <c r="H1489" i="11"/>
  <c r="H1490" i="11"/>
  <c r="H1491" i="11"/>
  <c r="H1492" i="11"/>
  <c r="H1493" i="11"/>
  <c r="H1494" i="11"/>
  <c r="H1495" i="11"/>
  <c r="H1496" i="11"/>
  <c r="H1497" i="11"/>
  <c r="H1498" i="11"/>
  <c r="H1499" i="11"/>
  <c r="H1500" i="11"/>
  <c r="H1501" i="11"/>
  <c r="H1502" i="11"/>
  <c r="H1503" i="11"/>
  <c r="H1504" i="11"/>
  <c r="H1505" i="11"/>
  <c r="H1506" i="11"/>
  <c r="H1507" i="11"/>
  <c r="H1508" i="11"/>
  <c r="H1509" i="11"/>
  <c r="H1510" i="11"/>
  <c r="H1511" i="11"/>
  <c r="H1512" i="11"/>
  <c r="H1513" i="11"/>
  <c r="H1514" i="11"/>
  <c r="H1515" i="11"/>
  <c r="H1516" i="11"/>
  <c r="H1517" i="11"/>
  <c r="H1518" i="11"/>
  <c r="H1519" i="11"/>
  <c r="H1520" i="11"/>
  <c r="H1521" i="11"/>
  <c r="H1522" i="11"/>
  <c r="H1523" i="11"/>
  <c r="H1524" i="11"/>
  <c r="H1525" i="11"/>
  <c r="H1526" i="11"/>
  <c r="H1527" i="11"/>
  <c r="H1528" i="11"/>
  <c r="H1529" i="11"/>
  <c r="H1530" i="11"/>
  <c r="H1531" i="11"/>
  <c r="H1532" i="11"/>
  <c r="H1533" i="11"/>
  <c r="H1534" i="11"/>
  <c r="H1535" i="11"/>
  <c r="H1536" i="11"/>
  <c r="H1537" i="11"/>
  <c r="H1538" i="11"/>
  <c r="H1539" i="11"/>
  <c r="H1540" i="11"/>
  <c r="H1541" i="11"/>
  <c r="H1542" i="11"/>
  <c r="H1543" i="11"/>
  <c r="H1544" i="11"/>
  <c r="H1545" i="11"/>
  <c r="H1546" i="11"/>
  <c r="H1547" i="11"/>
  <c r="H1548" i="11"/>
  <c r="H1549" i="11"/>
  <c r="H1550" i="11"/>
  <c r="H1551" i="11"/>
  <c r="H1552" i="11"/>
  <c r="H1553" i="11"/>
  <c r="H1554" i="11"/>
  <c r="H1555" i="11"/>
  <c r="H1556" i="11"/>
  <c r="H1557" i="11"/>
  <c r="H1558" i="11"/>
  <c r="H1559" i="11"/>
  <c r="H1560" i="11"/>
  <c r="H1561" i="11"/>
  <c r="H1562" i="11"/>
  <c r="H1563" i="11"/>
  <c r="H1564" i="11"/>
  <c r="H1565" i="11"/>
  <c r="H1566" i="11"/>
  <c r="H1567" i="11"/>
  <c r="H1568" i="11"/>
  <c r="H1569" i="11"/>
  <c r="H1570" i="11"/>
  <c r="H1571" i="11"/>
  <c r="H1572" i="11"/>
  <c r="H1573" i="11"/>
  <c r="H1574" i="11"/>
  <c r="H1575" i="11"/>
  <c r="H1576" i="11"/>
  <c r="H1577" i="11"/>
  <c r="H1578" i="11"/>
  <c r="H1579" i="11"/>
  <c r="H1580" i="11"/>
  <c r="H1581" i="11"/>
  <c r="H1582" i="11"/>
  <c r="H1583" i="11"/>
  <c r="H1584" i="11"/>
  <c r="H1585" i="11"/>
  <c r="H1586" i="11"/>
  <c r="H1587" i="11"/>
  <c r="H1588" i="11"/>
  <c r="H1589" i="11"/>
  <c r="H1590" i="11"/>
  <c r="H1591" i="11"/>
  <c r="H1592" i="11"/>
  <c r="H1593" i="11"/>
  <c r="H1594" i="11"/>
  <c r="H1595" i="11"/>
  <c r="H1596" i="11"/>
  <c r="H1597" i="11"/>
  <c r="H1598" i="11"/>
  <c r="H1599" i="11"/>
  <c r="H1600" i="11"/>
  <c r="H1601" i="11"/>
  <c r="H1602" i="11"/>
  <c r="H1603" i="11"/>
  <c r="H1604" i="11"/>
  <c r="H1605" i="11"/>
  <c r="H1606" i="11"/>
  <c r="H1607" i="11"/>
  <c r="H1608" i="11"/>
  <c r="H1609" i="11"/>
  <c r="H1610" i="11"/>
  <c r="H1611" i="11"/>
  <c r="H1612" i="11"/>
  <c r="H1613" i="11"/>
  <c r="H1614" i="11"/>
  <c r="H1615" i="11"/>
  <c r="H1616" i="11"/>
  <c r="H1617" i="11"/>
  <c r="H1618" i="11"/>
  <c r="H1619" i="11"/>
  <c r="H1620" i="11"/>
  <c r="H1621" i="11"/>
  <c r="H1622" i="11"/>
  <c r="H1623" i="11"/>
  <c r="H1624" i="11"/>
  <c r="H1625" i="11"/>
  <c r="H1626" i="11"/>
  <c r="H1627" i="11"/>
  <c r="H1628" i="11"/>
  <c r="H1629" i="11"/>
  <c r="H1630" i="11"/>
  <c r="H1631" i="11"/>
  <c r="H1632" i="11"/>
  <c r="H1633" i="11"/>
  <c r="H1634" i="11"/>
  <c r="H1635" i="11"/>
  <c r="H1636" i="11"/>
  <c r="H1637" i="11"/>
  <c r="H1638" i="11"/>
  <c r="H1639" i="11"/>
  <c r="H1640" i="11"/>
  <c r="H1641" i="11"/>
  <c r="H1642" i="11"/>
  <c r="H1643" i="11"/>
  <c r="H1644" i="11"/>
  <c r="H1645" i="11"/>
  <c r="H1646" i="11"/>
  <c r="H1647" i="11"/>
  <c r="H1648" i="11"/>
  <c r="H1649" i="11"/>
  <c r="H1650" i="11"/>
  <c r="H1651" i="11"/>
  <c r="H1652" i="11"/>
  <c r="H1653" i="11"/>
  <c r="H1654" i="11"/>
  <c r="H1655" i="11"/>
  <c r="H1656" i="11"/>
  <c r="H1657" i="11"/>
  <c r="H1658" i="11"/>
  <c r="H1659" i="11"/>
  <c r="H1660" i="11"/>
  <c r="H1661" i="11"/>
  <c r="H1662" i="11"/>
  <c r="H1663" i="11"/>
  <c r="H1664" i="11"/>
  <c r="H1665" i="11"/>
  <c r="H1666" i="11"/>
  <c r="H1667" i="11"/>
  <c r="H1668" i="11"/>
  <c r="H1669" i="11"/>
  <c r="H1670" i="11"/>
  <c r="H1671" i="11"/>
  <c r="H1672" i="11"/>
  <c r="H1673" i="11"/>
  <c r="H1674" i="11"/>
  <c r="H1675" i="11"/>
  <c r="H1676" i="11"/>
  <c r="H1677" i="11"/>
  <c r="H1678" i="11"/>
  <c r="H1679" i="11"/>
  <c r="H1680" i="11"/>
  <c r="H1681" i="11"/>
  <c r="H1682" i="11"/>
  <c r="H1683" i="11"/>
  <c r="H1684" i="11"/>
  <c r="H1685" i="11"/>
  <c r="H1686" i="11"/>
  <c r="H1687" i="11"/>
  <c r="H1688" i="11"/>
  <c r="H1689" i="11"/>
  <c r="H1690" i="11"/>
  <c r="H1691" i="11"/>
  <c r="H1692" i="11"/>
  <c r="H1693" i="11"/>
  <c r="H1694" i="11"/>
  <c r="H1695" i="11"/>
  <c r="H1696" i="11"/>
  <c r="H1697" i="11"/>
  <c r="H1698" i="11"/>
  <c r="H1699" i="11"/>
  <c r="H1700" i="11"/>
  <c r="H1701" i="11"/>
  <c r="H1702" i="11"/>
  <c r="H1703" i="11"/>
  <c r="H1704" i="11"/>
  <c r="H1705" i="11"/>
  <c r="H1706" i="11"/>
  <c r="H1707" i="11"/>
  <c r="H1708" i="11"/>
  <c r="H1709" i="11"/>
  <c r="H1710" i="11"/>
  <c r="H1711" i="11"/>
  <c r="H1712" i="11"/>
  <c r="H1713" i="11"/>
  <c r="H1714" i="11"/>
  <c r="H1715" i="11"/>
  <c r="H1716" i="11"/>
  <c r="H1717" i="11"/>
  <c r="H1718" i="11"/>
  <c r="H1719" i="11"/>
  <c r="H1720" i="11"/>
  <c r="H1721" i="11"/>
  <c r="H1722" i="11"/>
  <c r="H1723" i="11"/>
  <c r="H1724" i="11"/>
  <c r="H1725" i="11"/>
  <c r="H1726" i="11"/>
  <c r="H1727" i="11"/>
  <c r="H1728" i="11"/>
  <c r="H1729" i="11"/>
  <c r="H1730" i="11"/>
  <c r="H1731" i="11"/>
  <c r="H1732" i="11"/>
  <c r="H1733" i="11"/>
  <c r="H1734" i="11"/>
  <c r="H1735" i="11"/>
  <c r="H1736" i="11"/>
  <c r="H1737" i="11"/>
  <c r="H1738" i="11"/>
  <c r="H1739" i="11"/>
  <c r="H1740" i="11"/>
  <c r="H1741" i="11"/>
  <c r="H1742" i="11"/>
  <c r="H1743" i="11"/>
  <c r="H1744" i="11"/>
  <c r="H1745" i="11"/>
  <c r="H1746" i="11"/>
  <c r="H1747" i="11"/>
  <c r="H1748" i="11"/>
  <c r="H1749" i="11"/>
  <c r="H1750" i="11"/>
  <c r="H1751" i="11"/>
  <c r="H1752" i="11"/>
  <c r="H1753" i="11"/>
  <c r="H1754" i="11"/>
  <c r="H1755" i="11"/>
  <c r="H1756" i="11"/>
  <c r="H1757" i="11"/>
  <c r="H1758" i="11"/>
  <c r="H1759" i="11"/>
  <c r="H1760" i="11"/>
  <c r="H1761" i="11"/>
  <c r="H1762" i="11"/>
  <c r="H1763" i="11"/>
  <c r="H1764" i="11"/>
  <c r="H1765" i="11"/>
  <c r="H1766" i="11"/>
  <c r="H1767" i="11"/>
  <c r="H1768" i="11"/>
  <c r="H1769" i="11"/>
  <c r="H1770" i="11"/>
  <c r="H1771" i="11"/>
  <c r="H1772" i="11"/>
  <c r="H1773" i="11"/>
  <c r="H1774" i="11"/>
  <c r="H1775" i="11"/>
  <c r="H1776" i="11"/>
  <c r="H1777" i="11"/>
  <c r="H1778" i="11"/>
  <c r="H1779" i="11"/>
  <c r="H1780" i="11"/>
  <c r="H1781" i="11"/>
  <c r="H1782" i="11"/>
  <c r="H1783" i="11"/>
  <c r="H1784" i="11"/>
  <c r="H1785" i="11"/>
  <c r="H1786" i="11"/>
  <c r="H1787" i="11"/>
  <c r="H1788" i="11"/>
  <c r="H1789" i="11"/>
  <c r="H1790" i="11"/>
  <c r="H1791" i="11"/>
  <c r="H1792" i="11"/>
  <c r="H1793" i="11"/>
  <c r="H1794" i="11"/>
  <c r="H1795" i="11"/>
  <c r="H1796" i="11"/>
  <c r="H1797" i="11"/>
  <c r="H1798" i="11"/>
  <c r="H1799" i="11"/>
  <c r="H1800" i="11"/>
  <c r="H1801" i="11"/>
  <c r="H1802" i="11"/>
  <c r="H1803" i="11"/>
  <c r="H1804" i="11"/>
  <c r="H1805" i="11"/>
  <c r="H1806" i="11"/>
  <c r="H1807" i="11"/>
  <c r="H1808" i="11"/>
  <c r="H1809" i="11"/>
  <c r="H1810" i="11"/>
  <c r="H1811" i="11"/>
  <c r="H1812" i="11"/>
  <c r="H1813" i="11"/>
  <c r="H1814" i="11"/>
  <c r="H1815" i="11"/>
  <c r="H1816" i="11"/>
  <c r="H1817" i="11"/>
  <c r="H1818" i="11"/>
  <c r="H1819" i="11"/>
  <c r="H1820" i="11"/>
  <c r="H1821" i="11"/>
  <c r="H1822" i="11"/>
  <c r="H1823" i="11"/>
  <c r="H1824" i="11"/>
  <c r="H1825" i="11"/>
  <c r="I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350" i="12"/>
  <c r="I351" i="12"/>
  <c r="I352" i="12"/>
  <c r="I353" i="12"/>
  <c r="I354" i="12"/>
  <c r="I355" i="12"/>
  <c r="I356" i="12"/>
  <c r="I357" i="12"/>
  <c r="I358" i="12"/>
  <c r="I359" i="12"/>
  <c r="I360" i="12"/>
  <c r="I361" i="12"/>
  <c r="I362" i="12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I395" i="12"/>
  <c r="I396" i="12"/>
  <c r="I397" i="12"/>
  <c r="I398" i="12"/>
  <c r="I399" i="12"/>
  <c r="I400" i="12"/>
  <c r="I401" i="12"/>
  <c r="I402" i="12"/>
  <c r="I403" i="12"/>
  <c r="I404" i="12"/>
  <c r="I405" i="12"/>
  <c r="I406" i="12"/>
  <c r="I407" i="12"/>
  <c r="I408" i="12"/>
  <c r="I409" i="12"/>
  <c r="I410" i="12"/>
  <c r="I411" i="12"/>
  <c r="I412" i="12"/>
  <c r="I413" i="12"/>
  <c r="I414" i="12"/>
  <c r="I415" i="12"/>
  <c r="I416" i="12"/>
  <c r="I417" i="12"/>
  <c r="I418" i="12"/>
  <c r="I419" i="12"/>
  <c r="I420" i="12"/>
  <c r="I421" i="12"/>
  <c r="I422" i="12"/>
  <c r="I423" i="12"/>
  <c r="I424" i="12"/>
  <c r="I425" i="12"/>
  <c r="I426" i="12"/>
  <c r="I427" i="12"/>
  <c r="I428" i="12"/>
  <c r="I429" i="12"/>
  <c r="I430" i="12"/>
  <c r="I431" i="12"/>
  <c r="I432" i="12"/>
  <c r="I433" i="12"/>
  <c r="I434" i="12"/>
  <c r="I435" i="12"/>
  <c r="I436" i="12"/>
  <c r="I437" i="12"/>
  <c r="I438" i="12"/>
  <c r="I439" i="12"/>
  <c r="I440" i="12"/>
  <c r="I441" i="12"/>
  <c r="I442" i="12"/>
  <c r="I443" i="12"/>
  <c r="I444" i="12"/>
  <c r="I445" i="12"/>
  <c r="I446" i="12"/>
  <c r="I447" i="12"/>
  <c r="I448" i="12"/>
  <c r="I449" i="12"/>
  <c r="I450" i="12"/>
  <c r="I451" i="12"/>
  <c r="I452" i="12"/>
  <c r="I453" i="12"/>
  <c r="I454" i="12"/>
  <c r="I455" i="12"/>
  <c r="I456" i="12"/>
  <c r="I457" i="12"/>
  <c r="I458" i="12"/>
  <c r="I459" i="12"/>
  <c r="I460" i="12"/>
  <c r="I461" i="12"/>
  <c r="I462" i="12"/>
  <c r="I463" i="12"/>
  <c r="I464" i="12"/>
  <c r="I465" i="12"/>
  <c r="I466" i="12"/>
  <c r="I467" i="12"/>
  <c r="I468" i="12"/>
  <c r="I469" i="12"/>
  <c r="I470" i="12"/>
  <c r="I471" i="12"/>
  <c r="I472" i="12"/>
  <c r="I473" i="12"/>
  <c r="I474" i="12"/>
  <c r="I475" i="12"/>
  <c r="I476" i="12"/>
  <c r="I477" i="12"/>
  <c r="I478" i="12"/>
  <c r="I479" i="12"/>
  <c r="I480" i="12"/>
  <c r="I481" i="12"/>
  <c r="I482" i="12"/>
  <c r="I483" i="12"/>
  <c r="I484" i="12"/>
  <c r="I485" i="12"/>
  <c r="I486" i="12"/>
  <c r="I487" i="12"/>
  <c r="I488" i="12"/>
  <c r="I489" i="12"/>
  <c r="I490" i="12"/>
  <c r="I491" i="12"/>
  <c r="I492" i="12"/>
  <c r="I493" i="12"/>
  <c r="I494" i="12"/>
  <c r="I495" i="12"/>
  <c r="I496" i="12"/>
  <c r="I497" i="12"/>
  <c r="I498" i="12"/>
  <c r="I499" i="12"/>
  <c r="I500" i="12"/>
  <c r="I501" i="12"/>
  <c r="I502" i="12"/>
  <c r="I503" i="12"/>
  <c r="I504" i="12"/>
  <c r="I505" i="12"/>
  <c r="I506" i="12"/>
  <c r="I507" i="12"/>
  <c r="I508" i="12"/>
  <c r="I509" i="12"/>
  <c r="I510" i="12"/>
  <c r="I511" i="12"/>
  <c r="I512" i="12"/>
  <c r="I513" i="12"/>
  <c r="I514" i="12"/>
  <c r="I515" i="12"/>
  <c r="I516" i="12"/>
  <c r="I517" i="12"/>
  <c r="I518" i="12"/>
  <c r="I519" i="12"/>
  <c r="I520" i="12"/>
  <c r="I521" i="12"/>
  <c r="I522" i="12"/>
  <c r="I523" i="12"/>
  <c r="I524" i="12"/>
  <c r="I525" i="12"/>
  <c r="I526" i="12"/>
  <c r="I527" i="12"/>
  <c r="I528" i="12"/>
  <c r="I529" i="12"/>
  <c r="I530" i="12"/>
  <c r="I531" i="12"/>
  <c r="I532" i="12"/>
  <c r="I533" i="12"/>
  <c r="I534" i="12"/>
  <c r="I535" i="12"/>
  <c r="I536" i="12"/>
  <c r="I537" i="12"/>
  <c r="I538" i="12"/>
  <c r="I539" i="12"/>
  <c r="I540" i="12"/>
  <c r="I541" i="12"/>
  <c r="I542" i="12"/>
  <c r="I543" i="12"/>
  <c r="I544" i="12"/>
  <c r="I545" i="12"/>
  <c r="I546" i="12"/>
  <c r="I547" i="12"/>
  <c r="I548" i="12"/>
  <c r="I549" i="12"/>
  <c r="I550" i="12"/>
  <c r="I551" i="12"/>
  <c r="I552" i="12"/>
  <c r="I553" i="12"/>
  <c r="I554" i="12"/>
  <c r="I555" i="12"/>
  <c r="I556" i="12"/>
  <c r="I557" i="12"/>
  <c r="I558" i="12"/>
  <c r="I559" i="12"/>
  <c r="I560" i="12"/>
  <c r="I561" i="12"/>
  <c r="I562" i="12"/>
  <c r="I563" i="12"/>
  <c r="I564" i="12"/>
  <c r="I565" i="12"/>
  <c r="I566" i="12"/>
  <c r="I567" i="12"/>
  <c r="I568" i="12"/>
  <c r="I569" i="12"/>
  <c r="I570" i="12"/>
  <c r="I571" i="12"/>
  <c r="I572" i="12"/>
  <c r="I573" i="12"/>
  <c r="I574" i="12"/>
  <c r="I575" i="12"/>
  <c r="I576" i="12"/>
  <c r="I577" i="12"/>
  <c r="I578" i="12"/>
  <c r="I579" i="12"/>
  <c r="I580" i="12"/>
  <c r="I581" i="12"/>
  <c r="I582" i="12"/>
  <c r="I583" i="12"/>
  <c r="I584" i="12"/>
  <c r="I585" i="12"/>
  <c r="I586" i="12"/>
  <c r="I587" i="12"/>
  <c r="I588" i="12"/>
  <c r="I589" i="12"/>
  <c r="I590" i="12"/>
  <c r="I591" i="12"/>
  <c r="I592" i="12"/>
  <c r="I593" i="12"/>
  <c r="I594" i="12"/>
  <c r="I595" i="12"/>
  <c r="I596" i="12"/>
  <c r="I597" i="12"/>
  <c r="I598" i="12"/>
  <c r="I599" i="12"/>
  <c r="I600" i="12"/>
  <c r="I601" i="12"/>
  <c r="I602" i="12"/>
  <c r="I603" i="12"/>
  <c r="I604" i="12"/>
  <c r="I605" i="12"/>
  <c r="I606" i="12"/>
  <c r="I607" i="12"/>
  <c r="I608" i="12"/>
  <c r="I609" i="12"/>
  <c r="I610" i="12"/>
  <c r="I611" i="12"/>
  <c r="I612" i="12"/>
  <c r="I613" i="12"/>
  <c r="I614" i="12"/>
  <c r="I615" i="12"/>
  <c r="I616" i="12"/>
  <c r="I617" i="12"/>
  <c r="I618" i="12"/>
  <c r="I619" i="12"/>
  <c r="I620" i="12"/>
  <c r="I621" i="12"/>
  <c r="I622" i="12"/>
  <c r="I623" i="12"/>
  <c r="I624" i="12"/>
  <c r="I625" i="12"/>
  <c r="I626" i="12"/>
  <c r="I627" i="12"/>
  <c r="I628" i="12"/>
  <c r="I629" i="12"/>
  <c r="I630" i="12"/>
  <c r="I631" i="12"/>
  <c r="I632" i="12"/>
  <c r="I633" i="12"/>
  <c r="I634" i="12"/>
  <c r="I635" i="12"/>
  <c r="I636" i="12"/>
  <c r="I637" i="12"/>
  <c r="I638" i="12"/>
  <c r="I639" i="12"/>
  <c r="I640" i="12"/>
  <c r="I641" i="12"/>
  <c r="I642" i="12"/>
  <c r="I643" i="12"/>
  <c r="I644" i="12"/>
  <c r="I645" i="12"/>
  <c r="I646" i="12"/>
  <c r="I647" i="12"/>
  <c r="I648" i="12"/>
  <c r="I649" i="12"/>
  <c r="I650" i="12"/>
  <c r="I651" i="12"/>
  <c r="I652" i="12"/>
  <c r="I653" i="12"/>
  <c r="I654" i="12"/>
  <c r="I655" i="12"/>
  <c r="I656" i="12"/>
  <c r="I657" i="12"/>
  <c r="I658" i="12"/>
  <c r="I659" i="12"/>
  <c r="I660" i="12"/>
  <c r="I661" i="12"/>
  <c r="I662" i="12"/>
  <c r="I663" i="12"/>
  <c r="I664" i="12"/>
  <c r="I665" i="12"/>
  <c r="I666" i="12"/>
  <c r="I667" i="12"/>
  <c r="I668" i="12"/>
  <c r="I669" i="12"/>
  <c r="I670" i="12"/>
  <c r="I671" i="12"/>
  <c r="I672" i="12"/>
  <c r="I673" i="12"/>
  <c r="I674" i="12"/>
  <c r="I675" i="12"/>
  <c r="I676" i="12"/>
  <c r="I677" i="12"/>
  <c r="I678" i="12"/>
  <c r="I679" i="12"/>
  <c r="I680" i="12"/>
  <c r="I681" i="12"/>
  <c r="I682" i="12"/>
  <c r="I683" i="12"/>
  <c r="I684" i="12"/>
  <c r="I685" i="12"/>
  <c r="I686" i="12"/>
  <c r="I687" i="12"/>
  <c r="I688" i="12"/>
  <c r="I689" i="12"/>
  <c r="I690" i="12"/>
  <c r="I691" i="12"/>
  <c r="I692" i="12"/>
  <c r="I693" i="12"/>
  <c r="I694" i="12"/>
  <c r="I695" i="12"/>
  <c r="I696" i="12"/>
  <c r="I697" i="12"/>
  <c r="I698" i="12"/>
  <c r="I699" i="12"/>
  <c r="I700" i="12"/>
  <c r="I701" i="12"/>
  <c r="I702" i="12"/>
  <c r="I703" i="12"/>
  <c r="I704" i="12"/>
  <c r="I705" i="12"/>
  <c r="I706" i="12"/>
  <c r="I707" i="12"/>
  <c r="I708" i="12"/>
  <c r="I709" i="12"/>
  <c r="I710" i="12"/>
  <c r="I711" i="12"/>
  <c r="I712" i="12"/>
  <c r="I713" i="12"/>
  <c r="I714" i="12"/>
  <c r="I715" i="12"/>
  <c r="I716" i="12"/>
  <c r="I717" i="12"/>
  <c r="I718" i="12"/>
  <c r="I719" i="12"/>
  <c r="I720" i="12"/>
  <c r="I721" i="12"/>
  <c r="I722" i="12"/>
  <c r="I723" i="12"/>
  <c r="I724" i="12"/>
  <c r="I725" i="12"/>
  <c r="I726" i="12"/>
  <c r="I727" i="12"/>
  <c r="I728" i="12"/>
  <c r="I729" i="12"/>
  <c r="I730" i="12"/>
  <c r="I731" i="12"/>
  <c r="I732" i="12"/>
  <c r="I733" i="12"/>
  <c r="I734" i="12"/>
  <c r="I735" i="12"/>
  <c r="I736" i="12"/>
  <c r="I737" i="12"/>
  <c r="I738" i="12"/>
  <c r="I739" i="12"/>
  <c r="I740" i="12"/>
  <c r="I741" i="12"/>
  <c r="I742" i="12"/>
  <c r="I743" i="12"/>
  <c r="I744" i="12"/>
  <c r="I745" i="12"/>
  <c r="I746" i="12"/>
  <c r="I747" i="12"/>
  <c r="I748" i="12"/>
  <c r="I749" i="12"/>
  <c r="I750" i="12"/>
  <c r="I751" i="12"/>
  <c r="I752" i="12"/>
  <c r="I753" i="12"/>
  <c r="I754" i="12"/>
  <c r="I755" i="12"/>
  <c r="I756" i="12"/>
  <c r="I757" i="12"/>
  <c r="I758" i="12"/>
  <c r="I759" i="12"/>
  <c r="I760" i="12"/>
  <c r="I761" i="12"/>
  <c r="I762" i="12"/>
  <c r="I763" i="12"/>
  <c r="I764" i="12"/>
  <c r="I765" i="12"/>
  <c r="I766" i="12"/>
  <c r="I767" i="12"/>
  <c r="I768" i="12"/>
  <c r="I769" i="12"/>
  <c r="I770" i="12"/>
  <c r="I771" i="12"/>
  <c r="I772" i="12"/>
  <c r="I773" i="12"/>
  <c r="I774" i="12"/>
  <c r="I775" i="12"/>
  <c r="I776" i="12"/>
  <c r="I777" i="12"/>
  <c r="I778" i="12"/>
  <c r="I779" i="12"/>
  <c r="I780" i="12"/>
  <c r="I781" i="12"/>
  <c r="I782" i="12"/>
  <c r="I783" i="12"/>
  <c r="I784" i="12"/>
  <c r="I785" i="12"/>
  <c r="I786" i="12"/>
  <c r="I787" i="12"/>
  <c r="I788" i="12"/>
  <c r="I789" i="12"/>
  <c r="I790" i="12"/>
  <c r="I791" i="12"/>
  <c r="I792" i="12"/>
  <c r="I793" i="12"/>
  <c r="I794" i="12"/>
  <c r="I795" i="12"/>
  <c r="I796" i="12"/>
  <c r="I797" i="12"/>
  <c r="I798" i="12"/>
  <c r="I799" i="12"/>
  <c r="I800" i="12"/>
  <c r="I801" i="12"/>
  <c r="I802" i="12"/>
  <c r="I803" i="12"/>
  <c r="I804" i="12"/>
  <c r="I805" i="12"/>
  <c r="I806" i="12"/>
  <c r="I807" i="12"/>
  <c r="I808" i="12"/>
  <c r="I809" i="12"/>
  <c r="I810" i="12"/>
  <c r="I811" i="12"/>
  <c r="I812" i="12"/>
  <c r="I813" i="12"/>
  <c r="I814" i="12"/>
  <c r="I815" i="12"/>
  <c r="I816" i="12"/>
  <c r="I817" i="12"/>
  <c r="I818" i="12"/>
  <c r="I819" i="12"/>
  <c r="I820" i="12"/>
  <c r="I821" i="12"/>
  <c r="I822" i="12"/>
  <c r="I823" i="12"/>
  <c r="I824" i="12"/>
  <c r="I825" i="12"/>
  <c r="I826" i="12"/>
  <c r="I827" i="12"/>
  <c r="I828" i="12"/>
  <c r="I829" i="12"/>
  <c r="I830" i="12"/>
  <c r="I831" i="12"/>
  <c r="I832" i="12"/>
  <c r="I833" i="12"/>
  <c r="I834" i="12"/>
  <c r="I835" i="12"/>
  <c r="I836" i="12"/>
  <c r="I837" i="12"/>
  <c r="I838" i="12"/>
  <c r="I839" i="12"/>
  <c r="I840" i="12"/>
  <c r="I841" i="12"/>
  <c r="I842" i="12"/>
  <c r="I843" i="12"/>
  <c r="I844" i="12"/>
  <c r="I845" i="12"/>
  <c r="I846" i="12"/>
  <c r="I847" i="12"/>
  <c r="I848" i="12"/>
  <c r="I849" i="12"/>
  <c r="I850" i="12"/>
  <c r="I851" i="12"/>
  <c r="I852" i="12"/>
  <c r="I853" i="12"/>
  <c r="I854" i="12"/>
  <c r="I855" i="12"/>
  <c r="I856" i="12"/>
  <c r="I857" i="12"/>
  <c r="I858" i="12"/>
  <c r="I859" i="12"/>
  <c r="I860" i="12"/>
  <c r="I861" i="12"/>
  <c r="I862" i="12"/>
  <c r="I863" i="12"/>
  <c r="I864" i="12"/>
  <c r="I865" i="12"/>
  <c r="I866" i="12"/>
  <c r="I867" i="12"/>
  <c r="I868" i="12"/>
  <c r="I869" i="12"/>
  <c r="I870" i="12"/>
  <c r="I871" i="12"/>
  <c r="I872" i="12"/>
  <c r="I873" i="12"/>
  <c r="I874" i="12"/>
  <c r="I875" i="12"/>
  <c r="I876" i="12"/>
  <c r="I877" i="12"/>
  <c r="I878" i="12"/>
  <c r="I879" i="12"/>
  <c r="I880" i="12"/>
  <c r="I881" i="12"/>
  <c r="I882" i="12"/>
  <c r="I883" i="12"/>
  <c r="I884" i="12"/>
  <c r="I885" i="12"/>
  <c r="I886" i="12"/>
  <c r="I887" i="12"/>
  <c r="I888" i="12"/>
  <c r="I889" i="12"/>
  <c r="I890" i="12"/>
  <c r="I891" i="12"/>
  <c r="I892" i="12"/>
  <c r="I893" i="12"/>
  <c r="I894" i="12"/>
  <c r="I895" i="12"/>
  <c r="I896" i="12"/>
  <c r="I897" i="12"/>
  <c r="I898" i="12"/>
  <c r="I899" i="12"/>
  <c r="I900" i="12"/>
  <c r="I901" i="12"/>
  <c r="I902" i="12"/>
  <c r="I903" i="12"/>
  <c r="I904" i="12"/>
  <c r="I905" i="12"/>
  <c r="I906" i="12"/>
  <c r="I907" i="12"/>
  <c r="I908" i="12"/>
  <c r="I909" i="12"/>
  <c r="I910" i="12"/>
  <c r="I911" i="12"/>
  <c r="I912" i="12"/>
  <c r="I913" i="12"/>
  <c r="I914" i="12"/>
  <c r="I915" i="12"/>
  <c r="I916" i="12"/>
  <c r="I917" i="12"/>
  <c r="I918" i="12"/>
  <c r="I919" i="12"/>
  <c r="I920" i="12"/>
  <c r="I921" i="12"/>
  <c r="I922" i="12"/>
  <c r="I923" i="12"/>
  <c r="I924" i="12"/>
  <c r="I925" i="12"/>
  <c r="I926" i="12"/>
  <c r="I927" i="12"/>
  <c r="I928" i="12"/>
  <c r="I929" i="12"/>
  <c r="I930" i="12"/>
  <c r="I931" i="12"/>
  <c r="I932" i="12"/>
  <c r="I933" i="12"/>
  <c r="I934" i="12"/>
  <c r="I935" i="12"/>
  <c r="I936" i="12"/>
  <c r="I937" i="12"/>
  <c r="I938" i="12"/>
  <c r="I939" i="12"/>
  <c r="I940" i="12"/>
  <c r="I941" i="12"/>
  <c r="I942" i="12"/>
  <c r="I943" i="12"/>
  <c r="I944" i="12"/>
  <c r="I945" i="12"/>
  <c r="I946" i="12"/>
  <c r="I947" i="12"/>
  <c r="I948" i="12"/>
  <c r="I949" i="12"/>
  <c r="I950" i="12"/>
  <c r="I951" i="12"/>
  <c r="I952" i="12"/>
  <c r="I953" i="12"/>
  <c r="I954" i="12"/>
  <c r="I955" i="12"/>
  <c r="I956" i="12"/>
  <c r="I957" i="12"/>
  <c r="I958" i="12"/>
  <c r="I959" i="12"/>
  <c r="I960" i="12"/>
  <c r="I961" i="12"/>
  <c r="I962" i="12"/>
  <c r="I963" i="12"/>
  <c r="I964" i="12"/>
  <c r="I965" i="12"/>
  <c r="I966" i="12"/>
  <c r="I967" i="12"/>
  <c r="I968" i="12"/>
  <c r="I969" i="12"/>
  <c r="I970" i="12"/>
  <c r="I971" i="12"/>
  <c r="I972" i="12"/>
  <c r="I973" i="12"/>
  <c r="I974" i="12"/>
  <c r="I975" i="12"/>
  <c r="I976" i="12"/>
  <c r="I977" i="12"/>
  <c r="I978" i="12"/>
  <c r="I979" i="12"/>
  <c r="I980" i="12"/>
  <c r="I981" i="12"/>
  <c r="I982" i="12"/>
  <c r="I983" i="12"/>
  <c r="I984" i="12"/>
  <c r="I985" i="12"/>
  <c r="I986" i="12"/>
  <c r="I987" i="12"/>
  <c r="I988" i="12"/>
  <c r="I989" i="12"/>
  <c r="I990" i="12"/>
  <c r="I991" i="12"/>
  <c r="I992" i="12"/>
  <c r="I993" i="12"/>
  <c r="I994" i="12"/>
  <c r="I995" i="12"/>
  <c r="I996" i="12"/>
  <c r="I997" i="12"/>
  <c r="I998" i="12"/>
  <c r="I999" i="12"/>
  <c r="I1000" i="12"/>
  <c r="I1001" i="12"/>
  <c r="I1002" i="12"/>
  <c r="I1003" i="12"/>
  <c r="I1004" i="12"/>
  <c r="I1005" i="12"/>
  <c r="I1006" i="12"/>
  <c r="I1007" i="12"/>
  <c r="I1008" i="12"/>
  <c r="I1009" i="12"/>
  <c r="I1010" i="12"/>
  <c r="I1011" i="12"/>
  <c r="I1012" i="12"/>
  <c r="I1013" i="12"/>
  <c r="I1014" i="12"/>
  <c r="I1015" i="12"/>
  <c r="I1016" i="12"/>
  <c r="I1017" i="12"/>
  <c r="I1018" i="12"/>
  <c r="I1019" i="12"/>
  <c r="I1020" i="12"/>
  <c r="I1021" i="12"/>
  <c r="I1022" i="12"/>
  <c r="I1023" i="12"/>
  <c r="I1024" i="12"/>
  <c r="I1025" i="12"/>
  <c r="I1026" i="12"/>
  <c r="I1027" i="12"/>
  <c r="I1028" i="12"/>
  <c r="I1029" i="12"/>
  <c r="I1030" i="12"/>
  <c r="I1031" i="12"/>
  <c r="I1032" i="12"/>
  <c r="I1033" i="12"/>
  <c r="I1034" i="12"/>
  <c r="I1035" i="12"/>
  <c r="I1036" i="12"/>
  <c r="I1037" i="12"/>
  <c r="I1038" i="12"/>
  <c r="I1039" i="12"/>
  <c r="I1040" i="12"/>
  <c r="I1041" i="12"/>
  <c r="I1042" i="12"/>
  <c r="I1043" i="12"/>
  <c r="I1044" i="12"/>
  <c r="I1045" i="12"/>
  <c r="I1046" i="12"/>
  <c r="I1047" i="12"/>
  <c r="I1048" i="12"/>
  <c r="I1049" i="12"/>
  <c r="I1050" i="12"/>
  <c r="I1051" i="12"/>
  <c r="I1052" i="12"/>
  <c r="I1053" i="12"/>
  <c r="I1054" i="12"/>
  <c r="I1055" i="12"/>
  <c r="I1056" i="12"/>
  <c r="I1057" i="12"/>
  <c r="I1058" i="12"/>
  <c r="I1059" i="12"/>
  <c r="I1060" i="12"/>
  <c r="I1061" i="12"/>
  <c r="I1062" i="12"/>
  <c r="I1063" i="12"/>
  <c r="I1064" i="12"/>
  <c r="I1065" i="12"/>
  <c r="I1066" i="12"/>
  <c r="I1067" i="12"/>
  <c r="I1068" i="12"/>
  <c r="I1069" i="12"/>
  <c r="I1070" i="12"/>
  <c r="I1071" i="12"/>
  <c r="I1072" i="12"/>
  <c r="I1073" i="12"/>
  <c r="I1074" i="12"/>
  <c r="I1075" i="12"/>
  <c r="I1076" i="12"/>
  <c r="I1077" i="12"/>
  <c r="I1078" i="12"/>
  <c r="I1079" i="12"/>
  <c r="I1080" i="12"/>
  <c r="I1081" i="12"/>
  <c r="I1082" i="12"/>
  <c r="I1083" i="12"/>
  <c r="I1084" i="12"/>
  <c r="I1085" i="12"/>
  <c r="I1086" i="12"/>
  <c r="I1087" i="12"/>
  <c r="I1088" i="12"/>
  <c r="I1089" i="12"/>
  <c r="I1090" i="12"/>
  <c r="I1091" i="12"/>
  <c r="I1092" i="12"/>
  <c r="I1093" i="12"/>
  <c r="I1094" i="12"/>
  <c r="I1095" i="12"/>
  <c r="I1096" i="12"/>
  <c r="I1097" i="12"/>
  <c r="I1098" i="12"/>
  <c r="I1099" i="12"/>
  <c r="I1100" i="12"/>
  <c r="I1101" i="12"/>
  <c r="I1102" i="12"/>
  <c r="I1103" i="12"/>
  <c r="I1104" i="12"/>
  <c r="I1105" i="12"/>
  <c r="I1106" i="12"/>
  <c r="I1107" i="12"/>
  <c r="I1108" i="12"/>
  <c r="I1109" i="12"/>
  <c r="I1110" i="12"/>
  <c r="I1111" i="12"/>
  <c r="I1112" i="12"/>
  <c r="I1113" i="12"/>
  <c r="I1114" i="12"/>
  <c r="I1115" i="12"/>
  <c r="I1116" i="12"/>
  <c r="I1117" i="12"/>
  <c r="I1118" i="12"/>
  <c r="I1119" i="12"/>
  <c r="I1120" i="12"/>
  <c r="I1121" i="12"/>
  <c r="I1122" i="12"/>
  <c r="I1123" i="12"/>
  <c r="I1124" i="12"/>
  <c r="I1125" i="12"/>
  <c r="I1126" i="12"/>
  <c r="I1127" i="12"/>
  <c r="I1128" i="12"/>
  <c r="I1129" i="12"/>
  <c r="I1130" i="12"/>
  <c r="I1131" i="12"/>
  <c r="I1132" i="12"/>
  <c r="I1133" i="12"/>
  <c r="I1134" i="12"/>
  <c r="I1135" i="12"/>
  <c r="I1136" i="12"/>
  <c r="I1137" i="12"/>
  <c r="I1138" i="12"/>
  <c r="I1139" i="12"/>
  <c r="I1140" i="12"/>
  <c r="I1141" i="12"/>
  <c r="I1142" i="12"/>
  <c r="I1143" i="12"/>
  <c r="I1144" i="12"/>
  <c r="I1145" i="12"/>
  <c r="I1146" i="12"/>
  <c r="I1147" i="12"/>
  <c r="I1148" i="12"/>
  <c r="I1149" i="12"/>
  <c r="I1150" i="12"/>
  <c r="I1151" i="12"/>
  <c r="I1152" i="12"/>
  <c r="I1153" i="12"/>
  <c r="I1154" i="12"/>
  <c r="I1155" i="12"/>
  <c r="I1156" i="12"/>
  <c r="I1157" i="12"/>
  <c r="I1158" i="12"/>
  <c r="I1159" i="12"/>
  <c r="I1160" i="12"/>
  <c r="I1161" i="12"/>
  <c r="I1162" i="12"/>
  <c r="I1163" i="12"/>
  <c r="I1164" i="12"/>
  <c r="I1165" i="12"/>
  <c r="I1166" i="12"/>
  <c r="I1167" i="12"/>
  <c r="I1168" i="12"/>
  <c r="I1169" i="12"/>
  <c r="I1170" i="12"/>
  <c r="I1171" i="12"/>
  <c r="I1172" i="12"/>
  <c r="I1173" i="12"/>
  <c r="I1174" i="12"/>
  <c r="I1175" i="12"/>
  <c r="I1176" i="12"/>
  <c r="I1177" i="12"/>
  <c r="I1178" i="12"/>
  <c r="I1179" i="12"/>
  <c r="I1180" i="12"/>
  <c r="I1181" i="12"/>
  <c r="I1182" i="12"/>
  <c r="I1183" i="12"/>
  <c r="I1184" i="12"/>
  <c r="I1185" i="12"/>
  <c r="I1186" i="12"/>
  <c r="I1187" i="12"/>
  <c r="I1188" i="12"/>
  <c r="I1189" i="12"/>
  <c r="I1190" i="12"/>
  <c r="I1191" i="12"/>
  <c r="I1192" i="12"/>
  <c r="I1193" i="12"/>
  <c r="I1194" i="12"/>
  <c r="I1195" i="12"/>
  <c r="I1196" i="12"/>
  <c r="I1197" i="12"/>
  <c r="I1198" i="12"/>
  <c r="I1199" i="12"/>
  <c r="I1200" i="12"/>
  <c r="I1201" i="12"/>
  <c r="I1202" i="12"/>
  <c r="I1203" i="12"/>
  <c r="I1204" i="12"/>
  <c r="I1205" i="12"/>
  <c r="I1206" i="12"/>
  <c r="I1207" i="12"/>
  <c r="I1208" i="12"/>
  <c r="I1209" i="12"/>
  <c r="I1210" i="12"/>
  <c r="I1211" i="12"/>
  <c r="I1212" i="12"/>
  <c r="I1213" i="12"/>
  <c r="I1214" i="12"/>
  <c r="I1215" i="12"/>
  <c r="I1216" i="12"/>
  <c r="I1217" i="12"/>
  <c r="I1218" i="12"/>
  <c r="I1219" i="12"/>
  <c r="I1220" i="12"/>
  <c r="I1221" i="12"/>
  <c r="I1222" i="12"/>
  <c r="I1223" i="12"/>
  <c r="I1224" i="12"/>
  <c r="I1225" i="12"/>
  <c r="I1226" i="12"/>
  <c r="I1227" i="12"/>
  <c r="I1228" i="12"/>
  <c r="I1229" i="12"/>
  <c r="I1230" i="12"/>
  <c r="I1231" i="12"/>
  <c r="I1232" i="12"/>
  <c r="I1233" i="12"/>
  <c r="I1234" i="12"/>
  <c r="I1235" i="12"/>
  <c r="I1236" i="12"/>
  <c r="I1237" i="12"/>
  <c r="I1238" i="12"/>
  <c r="I1239" i="12"/>
  <c r="I1240" i="12"/>
  <c r="I1241" i="12"/>
  <c r="I1242" i="12"/>
  <c r="I1243" i="12"/>
  <c r="I1244" i="12"/>
  <c r="I1245" i="12"/>
  <c r="I1246" i="12"/>
  <c r="I1247" i="12"/>
  <c r="I1248" i="12"/>
  <c r="I1249" i="12"/>
  <c r="I1250" i="12"/>
  <c r="I1251" i="12"/>
  <c r="I1252" i="12"/>
  <c r="I1253" i="12"/>
  <c r="I1254" i="12"/>
  <c r="I1255" i="12"/>
  <c r="I1256" i="12"/>
  <c r="I1257" i="12"/>
  <c r="I1258" i="12"/>
  <c r="I1259" i="12"/>
  <c r="I1260" i="12"/>
  <c r="I1261" i="12"/>
  <c r="I1262" i="12"/>
  <c r="I1263" i="12"/>
  <c r="I1264" i="12"/>
  <c r="I1265" i="12"/>
  <c r="I1266" i="12"/>
  <c r="I1267" i="12"/>
  <c r="I1268" i="12"/>
  <c r="I1269" i="12"/>
  <c r="I1270" i="12"/>
  <c r="I1271" i="12"/>
  <c r="I1272" i="12"/>
  <c r="I1273" i="12"/>
  <c r="I1274" i="12"/>
  <c r="I1275" i="12"/>
  <c r="I1276" i="12"/>
  <c r="I1277" i="12"/>
  <c r="I1278" i="12"/>
  <c r="I1279" i="12"/>
  <c r="I1280" i="12"/>
  <c r="I1281" i="12"/>
  <c r="I1282" i="12"/>
  <c r="I1283" i="12"/>
  <c r="I1284" i="12"/>
  <c r="I1285" i="12"/>
  <c r="I1286" i="12"/>
  <c r="I1287" i="12"/>
  <c r="I1288" i="12"/>
  <c r="I1289" i="12"/>
  <c r="I1290" i="12"/>
  <c r="I1291" i="12"/>
  <c r="I1292" i="12"/>
  <c r="I1293" i="12"/>
  <c r="I1294" i="12"/>
  <c r="I1295" i="12"/>
  <c r="I1296" i="12"/>
  <c r="I1297" i="12"/>
  <c r="I1298" i="12"/>
  <c r="I1299" i="12"/>
  <c r="I1300" i="12"/>
  <c r="I1301" i="12"/>
  <c r="I1302" i="12"/>
  <c r="I1303" i="12"/>
  <c r="I1304" i="12"/>
  <c r="I1305" i="12"/>
  <c r="I1306" i="12"/>
  <c r="I1307" i="12"/>
  <c r="I1308" i="12"/>
  <c r="I1309" i="12"/>
  <c r="I1310" i="12"/>
  <c r="I1311" i="12"/>
  <c r="I1312" i="12"/>
  <c r="I1313" i="12"/>
  <c r="I1314" i="12"/>
  <c r="I1315" i="12"/>
  <c r="I1316" i="12"/>
  <c r="I1317" i="12"/>
  <c r="I1318" i="12"/>
  <c r="I1319" i="12"/>
  <c r="I1320" i="12"/>
  <c r="I1321" i="12"/>
  <c r="I1322" i="12"/>
  <c r="I1323" i="12"/>
  <c r="I1324" i="12"/>
  <c r="I1325" i="12"/>
  <c r="I1326" i="12"/>
  <c r="I1327" i="12"/>
  <c r="I1328" i="12"/>
  <c r="I1329" i="12"/>
  <c r="I1330" i="12"/>
  <c r="I1331" i="12"/>
  <c r="I1332" i="12"/>
  <c r="I1333" i="12"/>
  <c r="I1334" i="12"/>
  <c r="I1335" i="12"/>
  <c r="I1336" i="12"/>
  <c r="I1337" i="12"/>
  <c r="I1338" i="12"/>
  <c r="I1339" i="12"/>
  <c r="I1340" i="12"/>
  <c r="I1341" i="12"/>
  <c r="I1342" i="12"/>
  <c r="I1343" i="12"/>
  <c r="I1344" i="12"/>
  <c r="I1345" i="12"/>
  <c r="I1346" i="12"/>
  <c r="I1347" i="12"/>
  <c r="I1348" i="12"/>
  <c r="I1349" i="12"/>
  <c r="I1350" i="12"/>
  <c r="I1351" i="12"/>
  <c r="I1352" i="12"/>
  <c r="I1353" i="12"/>
  <c r="I1354" i="12"/>
  <c r="I1355" i="12"/>
  <c r="I1356" i="12"/>
  <c r="I1357" i="12"/>
  <c r="I1358" i="12"/>
  <c r="I1359" i="12"/>
  <c r="I1360" i="12"/>
  <c r="I1361" i="12"/>
  <c r="I1362" i="12"/>
  <c r="I1363" i="12"/>
  <c r="I1364" i="12"/>
  <c r="I1365" i="12"/>
  <c r="I1366" i="12"/>
  <c r="I1367" i="12"/>
  <c r="I1368" i="12"/>
  <c r="I1369" i="12"/>
  <c r="I1370" i="12"/>
  <c r="I1371" i="12"/>
  <c r="I1372" i="12"/>
  <c r="I1373" i="12"/>
  <c r="I1374" i="12"/>
  <c r="I1375" i="12"/>
  <c r="I1376" i="12"/>
  <c r="I1377" i="12"/>
  <c r="I1378" i="12"/>
  <c r="I1379" i="12"/>
  <c r="I1380" i="12"/>
  <c r="I1381" i="12"/>
  <c r="I1382" i="12"/>
  <c r="I1383" i="12"/>
  <c r="I1384" i="12"/>
  <c r="I1385" i="12"/>
  <c r="I1386" i="12"/>
  <c r="I1387" i="12"/>
  <c r="I1388" i="12"/>
  <c r="I1389" i="12"/>
  <c r="I1390" i="12"/>
  <c r="I1391" i="12"/>
  <c r="I1392" i="12"/>
  <c r="I1393" i="12"/>
  <c r="I1394" i="12"/>
  <c r="I1395" i="12"/>
  <c r="I1396" i="12"/>
  <c r="I1397" i="12"/>
  <c r="I1398" i="12"/>
  <c r="I1399" i="12"/>
  <c r="I1400" i="12"/>
  <c r="I1401" i="12"/>
  <c r="I1402" i="12"/>
  <c r="I1403" i="12"/>
  <c r="I1404" i="12"/>
  <c r="I1405" i="12"/>
  <c r="I1406" i="12"/>
  <c r="I1407" i="12"/>
  <c r="I1408" i="12"/>
  <c r="I1409" i="12"/>
  <c r="I1410" i="12"/>
  <c r="I1411" i="12"/>
  <c r="I1412" i="12"/>
  <c r="I1413" i="12"/>
  <c r="I1414" i="12"/>
  <c r="I1415" i="12"/>
  <c r="I1416" i="12"/>
  <c r="I1417" i="12"/>
  <c r="I1418" i="12"/>
  <c r="I1419" i="12"/>
  <c r="I1420" i="12"/>
  <c r="I1421" i="12"/>
  <c r="I1422" i="12"/>
  <c r="I1423" i="12"/>
  <c r="I1424" i="12"/>
  <c r="I1425" i="12"/>
  <c r="I1426" i="12"/>
  <c r="I1427" i="12"/>
  <c r="I1428" i="12"/>
  <c r="I1429" i="12"/>
  <c r="I1430" i="12"/>
  <c r="I1431" i="12"/>
  <c r="I1432" i="12"/>
  <c r="I1433" i="12"/>
  <c r="I1434" i="12"/>
  <c r="I1435" i="12"/>
  <c r="I1436" i="12"/>
  <c r="I1437" i="12"/>
  <c r="I1438" i="12"/>
  <c r="I1439" i="12"/>
  <c r="I1440" i="12"/>
  <c r="I1441" i="12"/>
  <c r="I1442" i="12"/>
  <c r="I1443" i="12"/>
  <c r="I1444" i="12"/>
  <c r="I1445" i="12"/>
  <c r="I1446" i="12"/>
  <c r="I1447" i="12"/>
  <c r="I1448" i="12"/>
  <c r="I1449" i="12"/>
  <c r="I1450" i="12"/>
  <c r="I1451" i="12"/>
  <c r="I1452" i="12"/>
  <c r="I1453" i="12"/>
  <c r="I1454" i="12"/>
  <c r="I1455" i="12"/>
  <c r="I1456" i="12"/>
  <c r="I1457" i="12"/>
  <c r="I1458" i="12"/>
  <c r="I1459" i="12"/>
  <c r="I1460" i="12"/>
  <c r="I1461" i="12"/>
  <c r="I1462" i="12"/>
  <c r="I1463" i="12"/>
  <c r="I1464" i="12"/>
  <c r="I1465" i="12"/>
  <c r="I1466" i="12"/>
  <c r="I1467" i="12"/>
  <c r="I1468" i="12"/>
  <c r="I1469" i="12"/>
  <c r="I1470" i="12"/>
  <c r="I1471" i="12"/>
  <c r="I1472" i="12"/>
  <c r="I1473" i="12"/>
  <c r="I1474" i="12"/>
  <c r="I1475" i="12"/>
  <c r="I1476" i="12"/>
  <c r="I1477" i="12"/>
  <c r="I1478" i="12"/>
  <c r="I1479" i="12"/>
  <c r="I1480" i="12"/>
  <c r="I1481" i="12"/>
  <c r="I1482" i="12"/>
  <c r="I1483" i="12"/>
  <c r="I1484" i="12"/>
  <c r="I1485" i="12"/>
  <c r="I1486" i="12"/>
  <c r="I1487" i="12"/>
  <c r="I1488" i="12"/>
  <c r="I1489" i="12"/>
  <c r="I1490" i="12"/>
  <c r="I1491" i="12"/>
  <c r="I1492" i="12"/>
  <c r="I1493" i="12"/>
  <c r="I1494" i="12"/>
  <c r="I1495" i="12"/>
  <c r="I1496" i="12"/>
  <c r="I1497" i="12"/>
  <c r="I1498" i="12"/>
  <c r="I1499" i="12"/>
  <c r="I1500" i="12"/>
  <c r="I1501" i="12"/>
  <c r="I1502" i="12"/>
  <c r="I1503" i="12"/>
  <c r="I1504" i="12"/>
  <c r="I1505" i="12"/>
  <c r="I1506" i="12"/>
  <c r="I1507" i="12"/>
  <c r="I1508" i="12"/>
  <c r="I1509" i="12"/>
  <c r="I1510" i="12"/>
  <c r="I1511" i="12"/>
  <c r="I1512" i="12"/>
  <c r="I1513" i="12"/>
  <c r="I1514" i="12"/>
  <c r="I1515" i="12"/>
  <c r="I1516" i="12"/>
  <c r="I1517" i="12"/>
  <c r="I1518" i="12"/>
  <c r="I1519" i="12"/>
  <c r="I1520" i="12"/>
  <c r="I1521" i="12"/>
  <c r="I1522" i="12"/>
  <c r="I1523" i="12"/>
  <c r="I1524" i="12"/>
  <c r="I1525" i="12"/>
  <c r="I1526" i="12"/>
  <c r="I1527" i="12"/>
  <c r="I1528" i="12"/>
  <c r="I1529" i="12"/>
  <c r="I1530" i="12"/>
  <c r="I1531" i="12"/>
  <c r="I1532" i="12"/>
  <c r="I1533" i="12"/>
  <c r="I1534" i="12"/>
  <c r="I1535" i="12"/>
  <c r="I1536" i="12"/>
  <c r="I1537" i="12"/>
  <c r="I1538" i="12"/>
  <c r="I1539" i="12"/>
  <c r="I1540" i="12"/>
  <c r="I1541" i="12"/>
  <c r="I1542" i="12"/>
  <c r="I1543" i="12"/>
  <c r="I1544" i="12"/>
  <c r="I1545" i="12"/>
  <c r="I1546" i="12"/>
  <c r="I1547" i="12"/>
  <c r="I1548" i="12"/>
  <c r="I1549" i="12"/>
  <c r="I1550" i="12"/>
  <c r="I1551" i="12"/>
  <c r="I1552" i="12"/>
  <c r="I1553" i="12"/>
  <c r="I1554" i="12"/>
  <c r="I1555" i="12"/>
  <c r="I1556" i="12"/>
  <c r="I1557" i="12"/>
  <c r="I1558" i="12"/>
  <c r="I1559" i="12"/>
  <c r="I1560" i="12"/>
  <c r="I1561" i="12"/>
  <c r="I1562" i="12"/>
  <c r="I1563" i="12"/>
  <c r="I1564" i="12"/>
  <c r="I1565" i="12"/>
  <c r="I1566" i="12"/>
  <c r="I1567" i="12"/>
  <c r="I1568" i="12"/>
  <c r="I1569" i="12"/>
  <c r="I1570" i="12"/>
  <c r="I1571" i="12"/>
  <c r="I1572" i="12"/>
  <c r="I1573" i="12"/>
  <c r="I1574" i="12"/>
  <c r="I1575" i="12"/>
  <c r="I1576" i="12"/>
  <c r="I1577" i="12"/>
  <c r="I1578" i="12"/>
  <c r="I1579" i="12"/>
  <c r="I1580" i="12"/>
  <c r="I1581" i="12"/>
  <c r="I1582" i="12"/>
  <c r="I1583" i="12"/>
  <c r="I1584" i="12"/>
  <c r="I1585" i="12"/>
  <c r="I1586" i="12"/>
  <c r="I1587" i="12"/>
  <c r="I1588" i="12"/>
  <c r="I1589" i="12"/>
  <c r="I1590" i="12"/>
  <c r="I1591" i="12"/>
  <c r="I1592" i="12"/>
  <c r="I1593" i="12"/>
  <c r="I1594" i="12"/>
  <c r="I1595" i="12"/>
  <c r="I1596" i="12"/>
  <c r="I1597" i="12"/>
  <c r="I1598" i="12"/>
  <c r="I1599" i="12"/>
  <c r="I1600" i="12"/>
  <c r="I1601" i="12"/>
  <c r="I1602" i="12"/>
  <c r="I1603" i="12"/>
  <c r="I1604" i="12"/>
  <c r="I1605" i="12"/>
  <c r="I1606" i="12"/>
  <c r="I1607" i="12"/>
  <c r="I1608" i="12"/>
  <c r="I1609" i="12"/>
  <c r="I1610" i="12"/>
  <c r="I1611" i="12"/>
  <c r="I1612" i="12"/>
  <c r="I1613" i="12"/>
  <c r="I1614" i="12"/>
  <c r="I1615" i="12"/>
  <c r="I1616" i="12"/>
  <c r="I1617" i="12"/>
  <c r="I1618" i="12"/>
  <c r="I1619" i="12"/>
  <c r="I1620" i="12"/>
  <c r="I1621" i="12"/>
  <c r="I1622" i="12"/>
  <c r="I1623" i="12"/>
  <c r="I1624" i="12"/>
  <c r="I1625" i="12"/>
  <c r="I1626" i="12"/>
  <c r="I1627" i="12"/>
  <c r="I1628" i="12"/>
  <c r="I1629" i="12"/>
  <c r="I1630" i="12"/>
  <c r="I1631" i="12"/>
  <c r="I1632" i="12"/>
  <c r="I1633" i="12"/>
  <c r="I1634" i="12"/>
  <c r="I1635" i="12"/>
  <c r="I1636" i="12"/>
  <c r="I1637" i="12"/>
  <c r="I1638" i="12"/>
  <c r="I1639" i="12"/>
  <c r="I1640" i="12"/>
  <c r="I1641" i="12"/>
  <c r="I1642" i="12"/>
  <c r="I1643" i="12"/>
  <c r="I1644" i="12"/>
  <c r="I1645" i="12"/>
  <c r="I1646" i="12"/>
  <c r="I1647" i="12"/>
  <c r="I1648" i="12"/>
  <c r="I1649" i="12"/>
  <c r="I1650" i="12"/>
  <c r="I1651" i="12"/>
  <c r="I1652" i="12"/>
  <c r="I1653" i="12"/>
  <c r="I1654" i="12"/>
  <c r="I1655" i="12"/>
  <c r="I1656" i="12"/>
  <c r="I1657" i="12"/>
  <c r="I1658" i="12"/>
  <c r="I1659" i="12"/>
  <c r="I1660" i="12"/>
  <c r="I1661" i="12"/>
  <c r="I1662" i="12"/>
  <c r="I1663" i="12"/>
  <c r="I1664" i="12"/>
  <c r="I1665" i="12"/>
  <c r="I1666" i="12"/>
  <c r="I1667" i="12"/>
  <c r="I1668" i="12"/>
  <c r="I1669" i="12"/>
  <c r="I1670" i="12"/>
  <c r="I1671" i="12"/>
  <c r="I1672" i="12"/>
  <c r="I1673" i="12"/>
  <c r="I1674" i="12"/>
  <c r="I1675" i="12"/>
  <c r="I1676" i="12"/>
  <c r="I1677" i="12"/>
  <c r="I1678" i="12"/>
  <c r="I1679" i="12"/>
  <c r="I1680" i="12"/>
  <c r="I1681" i="12"/>
  <c r="I1682" i="12"/>
  <c r="I1683" i="12"/>
  <c r="I1684" i="12"/>
  <c r="I1685" i="12"/>
  <c r="I1686" i="12"/>
  <c r="I1687" i="12"/>
  <c r="I1688" i="12"/>
  <c r="I1689" i="12"/>
  <c r="I1690" i="12"/>
  <c r="I1691" i="12"/>
  <c r="I1692" i="12"/>
  <c r="I1693" i="12"/>
  <c r="I1694" i="12"/>
  <c r="I1695" i="12"/>
  <c r="I1696" i="12"/>
  <c r="I1697" i="12"/>
  <c r="I1698" i="12"/>
  <c r="I1699" i="12"/>
  <c r="I1700" i="12"/>
  <c r="I1701" i="12"/>
  <c r="I1702" i="12"/>
  <c r="I1703" i="12"/>
  <c r="I1704" i="12"/>
  <c r="I1705" i="12"/>
  <c r="I1706" i="12"/>
  <c r="I1707" i="12"/>
  <c r="I1708" i="12"/>
  <c r="I1709" i="12"/>
  <c r="I1710" i="12"/>
  <c r="I1711" i="12"/>
  <c r="I1712" i="12"/>
  <c r="I1713" i="12"/>
  <c r="I1714" i="12"/>
  <c r="I1715" i="12"/>
  <c r="I1716" i="12"/>
  <c r="I1717" i="12"/>
  <c r="I1718" i="12"/>
  <c r="I1719" i="12"/>
  <c r="I1720" i="12"/>
  <c r="I1721" i="12"/>
  <c r="I1722" i="12"/>
  <c r="I1723" i="12"/>
  <c r="I1724" i="12"/>
  <c r="I1725" i="12"/>
  <c r="I1726" i="12"/>
  <c r="I1727" i="12"/>
  <c r="I1728" i="12"/>
  <c r="I1729" i="12"/>
  <c r="I1730" i="12"/>
  <c r="I1731" i="12"/>
  <c r="I1732" i="12"/>
  <c r="I1733" i="12"/>
  <c r="I1734" i="12"/>
  <c r="I1735" i="12"/>
  <c r="I1736" i="12"/>
  <c r="I1737" i="12"/>
  <c r="I1738" i="12"/>
  <c r="I1739" i="12"/>
  <c r="I1740" i="12"/>
  <c r="I1741" i="12"/>
  <c r="I1742" i="12"/>
  <c r="I1743" i="12"/>
  <c r="I1744" i="12"/>
  <c r="I1745" i="12"/>
  <c r="I1746" i="12"/>
  <c r="I1747" i="12"/>
  <c r="I1748" i="12"/>
  <c r="I1749" i="12"/>
  <c r="I1750" i="12"/>
  <c r="I1751" i="12"/>
  <c r="I1752" i="12"/>
  <c r="I1753" i="12"/>
  <c r="I1754" i="12"/>
  <c r="I1755" i="12"/>
  <c r="I1756" i="12"/>
  <c r="I1757" i="12"/>
  <c r="I1758" i="12"/>
  <c r="I1759" i="12"/>
  <c r="I1760" i="12"/>
  <c r="I1761" i="12"/>
  <c r="I1762" i="12"/>
  <c r="I1763" i="12"/>
  <c r="I1764" i="12"/>
  <c r="I1765" i="12"/>
  <c r="I1766" i="12"/>
  <c r="I1767" i="12"/>
  <c r="I1768" i="12"/>
  <c r="I1769" i="12"/>
  <c r="I1770" i="12"/>
  <c r="I1771" i="12"/>
  <c r="I1772" i="12"/>
  <c r="I1773" i="12"/>
  <c r="I1774" i="12"/>
  <c r="I1775" i="12"/>
  <c r="I1776" i="12"/>
  <c r="I1777" i="12"/>
  <c r="I1778" i="12"/>
  <c r="I1779" i="12"/>
  <c r="I1780" i="12"/>
  <c r="I1781" i="12"/>
  <c r="I1782" i="12"/>
  <c r="I1783" i="12"/>
  <c r="I1784" i="12"/>
  <c r="I1785" i="12"/>
  <c r="I1786" i="12"/>
  <c r="I1787" i="12"/>
  <c r="I1788" i="12"/>
  <c r="I1789" i="12"/>
  <c r="I1790" i="12"/>
  <c r="I1791" i="12"/>
  <c r="I1792" i="12"/>
  <c r="I1793" i="12"/>
  <c r="I1794" i="12"/>
  <c r="I1795" i="12"/>
  <c r="I1796" i="12"/>
  <c r="I1797" i="12"/>
  <c r="I1798" i="12"/>
  <c r="I1799" i="12"/>
  <c r="I1800" i="12"/>
  <c r="I1801" i="12"/>
  <c r="I1802" i="12"/>
  <c r="I1803" i="12"/>
  <c r="I1804" i="12"/>
  <c r="I1805" i="12"/>
  <c r="I1806" i="12"/>
  <c r="I1807" i="12"/>
  <c r="I1808" i="12"/>
  <c r="I1809" i="12"/>
  <c r="I1810" i="12"/>
  <c r="I1811" i="12"/>
  <c r="I1812" i="12"/>
  <c r="I1813" i="12"/>
  <c r="I1814" i="12"/>
  <c r="I1815" i="12"/>
  <c r="I1816" i="12"/>
  <c r="I1817" i="12"/>
  <c r="I1818" i="12"/>
  <c r="I1819" i="12"/>
  <c r="I1820" i="12"/>
  <c r="I1821" i="12"/>
  <c r="I1822" i="12"/>
  <c r="I1823" i="12"/>
  <c r="I1824" i="12"/>
  <c r="I1825" i="12"/>
  <c r="I1826" i="12"/>
  <c r="J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J746" i="12"/>
  <c r="J747" i="12"/>
  <c r="J748" i="12"/>
  <c r="J749" i="12"/>
  <c r="J750" i="12"/>
  <c r="J751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4" i="12"/>
  <c r="J765" i="12"/>
  <c r="J766" i="12"/>
  <c r="J767" i="12"/>
  <c r="J768" i="12"/>
  <c r="J769" i="12"/>
  <c r="J770" i="12"/>
  <c r="J771" i="12"/>
  <c r="J772" i="12"/>
  <c r="J773" i="12"/>
  <c r="J774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J819" i="12"/>
  <c r="J820" i="12"/>
  <c r="J821" i="12"/>
  <c r="J822" i="12"/>
  <c r="J823" i="12"/>
  <c r="J824" i="12"/>
  <c r="J825" i="12"/>
  <c r="J826" i="12"/>
  <c r="J827" i="12"/>
  <c r="J828" i="12"/>
  <c r="J829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J851" i="12"/>
  <c r="J852" i="12"/>
  <c r="J853" i="12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J867" i="12"/>
  <c r="J868" i="12"/>
  <c r="J869" i="12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J883" i="12"/>
  <c r="J884" i="12"/>
  <c r="J885" i="12"/>
  <c r="J886" i="12"/>
  <c r="J887" i="12"/>
  <c r="J888" i="12"/>
  <c r="J889" i="12"/>
  <c r="J890" i="12"/>
  <c r="J891" i="12"/>
  <c r="J892" i="12"/>
  <c r="J893" i="12"/>
  <c r="J894" i="12"/>
  <c r="J895" i="12"/>
  <c r="J896" i="12"/>
  <c r="J897" i="12"/>
  <c r="J898" i="12"/>
  <c r="J899" i="12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J933" i="12"/>
  <c r="J934" i="12"/>
  <c r="J935" i="12"/>
  <c r="J936" i="12"/>
  <c r="J937" i="12"/>
  <c r="J938" i="12"/>
  <c r="J939" i="12"/>
  <c r="J940" i="12"/>
  <c r="J941" i="12"/>
  <c r="J942" i="12"/>
  <c r="J943" i="12"/>
  <c r="J944" i="12"/>
  <c r="J945" i="12"/>
  <c r="J946" i="12"/>
  <c r="J947" i="12"/>
  <c r="J948" i="12"/>
  <c r="J949" i="12"/>
  <c r="J950" i="12"/>
  <c r="J951" i="12"/>
  <c r="J952" i="12"/>
  <c r="J953" i="12"/>
  <c r="J954" i="12"/>
  <c r="J955" i="12"/>
  <c r="J956" i="12"/>
  <c r="J957" i="12"/>
  <c r="J958" i="12"/>
  <c r="J959" i="12"/>
  <c r="J960" i="12"/>
  <c r="J961" i="12"/>
  <c r="J962" i="12"/>
  <c r="J963" i="12"/>
  <c r="J964" i="12"/>
  <c r="J965" i="12"/>
  <c r="J966" i="12"/>
  <c r="J967" i="12"/>
  <c r="J968" i="12"/>
  <c r="J969" i="12"/>
  <c r="J970" i="12"/>
  <c r="J971" i="12"/>
  <c r="J972" i="12"/>
  <c r="J973" i="12"/>
  <c r="J974" i="12"/>
  <c r="J975" i="12"/>
  <c r="J976" i="12"/>
  <c r="J977" i="12"/>
  <c r="J978" i="12"/>
  <c r="J979" i="12"/>
  <c r="J980" i="12"/>
  <c r="J981" i="12"/>
  <c r="J982" i="12"/>
  <c r="J983" i="12"/>
  <c r="J984" i="12"/>
  <c r="J985" i="12"/>
  <c r="J986" i="12"/>
  <c r="J987" i="12"/>
  <c r="J988" i="12"/>
  <c r="J989" i="12"/>
  <c r="J990" i="12"/>
  <c r="J991" i="12"/>
  <c r="J992" i="12"/>
  <c r="J993" i="12"/>
  <c r="J994" i="12"/>
  <c r="J995" i="12"/>
  <c r="J996" i="12"/>
  <c r="J997" i="12"/>
  <c r="J998" i="12"/>
  <c r="J999" i="12"/>
  <c r="J1000" i="12"/>
  <c r="J1001" i="12"/>
  <c r="J1002" i="12"/>
  <c r="J1003" i="12"/>
  <c r="J1004" i="12"/>
  <c r="J1005" i="12"/>
  <c r="J1006" i="12"/>
  <c r="J1007" i="12"/>
  <c r="J1008" i="12"/>
  <c r="J1009" i="12"/>
  <c r="J1010" i="12"/>
  <c r="J1011" i="12"/>
  <c r="J1012" i="12"/>
  <c r="J1013" i="12"/>
  <c r="J1014" i="12"/>
  <c r="J1015" i="12"/>
  <c r="J1016" i="12"/>
  <c r="J1017" i="12"/>
  <c r="J1018" i="12"/>
  <c r="J1019" i="12"/>
  <c r="J1020" i="12"/>
  <c r="J1021" i="12"/>
  <c r="J1022" i="12"/>
  <c r="J1023" i="12"/>
  <c r="J1024" i="12"/>
  <c r="J1025" i="12"/>
  <c r="J1026" i="12"/>
  <c r="J1027" i="12"/>
  <c r="J1028" i="12"/>
  <c r="J1029" i="12"/>
  <c r="J1030" i="12"/>
  <c r="J1031" i="12"/>
  <c r="J1032" i="12"/>
  <c r="J1033" i="12"/>
  <c r="J1034" i="12"/>
  <c r="J1035" i="12"/>
  <c r="J1036" i="12"/>
  <c r="J1037" i="12"/>
  <c r="J1038" i="12"/>
  <c r="J1039" i="12"/>
  <c r="J1040" i="12"/>
  <c r="J1041" i="12"/>
  <c r="J1042" i="12"/>
  <c r="J1043" i="12"/>
  <c r="J1044" i="12"/>
  <c r="J1045" i="12"/>
  <c r="J1046" i="12"/>
  <c r="J1047" i="12"/>
  <c r="J1048" i="12"/>
  <c r="J1049" i="12"/>
  <c r="J1050" i="12"/>
  <c r="J1051" i="12"/>
  <c r="J1052" i="12"/>
  <c r="J1053" i="12"/>
  <c r="J1054" i="12"/>
  <c r="J1055" i="12"/>
  <c r="J1056" i="12"/>
  <c r="J1057" i="12"/>
  <c r="J1058" i="12"/>
  <c r="J1059" i="12"/>
  <c r="J1060" i="12"/>
  <c r="J1061" i="12"/>
  <c r="J1062" i="12"/>
  <c r="J1063" i="12"/>
  <c r="J1064" i="12"/>
  <c r="J1065" i="12"/>
  <c r="J1066" i="12"/>
  <c r="J1067" i="12"/>
  <c r="J1068" i="12"/>
  <c r="J1069" i="12"/>
  <c r="J1070" i="12"/>
  <c r="J1071" i="12"/>
  <c r="J1072" i="12"/>
  <c r="J1073" i="12"/>
  <c r="J1074" i="12"/>
  <c r="J1075" i="12"/>
  <c r="J1076" i="12"/>
  <c r="J1077" i="12"/>
  <c r="J1078" i="12"/>
  <c r="J1079" i="12"/>
  <c r="J1080" i="12"/>
  <c r="J1081" i="12"/>
  <c r="J1082" i="12"/>
  <c r="J1083" i="12"/>
  <c r="J1084" i="12"/>
  <c r="J1085" i="12"/>
  <c r="J1086" i="12"/>
  <c r="J1087" i="12"/>
  <c r="J1088" i="12"/>
  <c r="J1089" i="12"/>
  <c r="J1090" i="12"/>
  <c r="J1091" i="12"/>
  <c r="J1092" i="12"/>
  <c r="J1093" i="12"/>
  <c r="J1094" i="12"/>
  <c r="J1095" i="12"/>
  <c r="J1096" i="12"/>
  <c r="J1097" i="12"/>
  <c r="J1098" i="12"/>
  <c r="J1099" i="12"/>
  <c r="J1100" i="12"/>
  <c r="J1101" i="12"/>
  <c r="J1102" i="12"/>
  <c r="J1103" i="12"/>
  <c r="J1104" i="12"/>
  <c r="J1105" i="12"/>
  <c r="J1106" i="12"/>
  <c r="J1107" i="12"/>
  <c r="J1108" i="12"/>
  <c r="J1109" i="12"/>
  <c r="J1110" i="12"/>
  <c r="J1111" i="12"/>
  <c r="J1112" i="12"/>
  <c r="J1113" i="12"/>
  <c r="J1114" i="12"/>
  <c r="J1115" i="12"/>
  <c r="J1116" i="12"/>
  <c r="J1117" i="12"/>
  <c r="J1118" i="12"/>
  <c r="J1119" i="12"/>
  <c r="J1120" i="12"/>
  <c r="J1121" i="12"/>
  <c r="J1122" i="12"/>
  <c r="J1123" i="12"/>
  <c r="J1124" i="12"/>
  <c r="J1125" i="12"/>
  <c r="J1126" i="12"/>
  <c r="J1127" i="12"/>
  <c r="J1128" i="12"/>
  <c r="J1129" i="12"/>
  <c r="J1130" i="12"/>
  <c r="J1131" i="12"/>
  <c r="J1132" i="12"/>
  <c r="J1133" i="12"/>
  <c r="J1134" i="12"/>
  <c r="J1135" i="12"/>
  <c r="J1136" i="12"/>
  <c r="J1137" i="12"/>
  <c r="J1138" i="12"/>
  <c r="J1139" i="12"/>
  <c r="J1140" i="12"/>
  <c r="J1141" i="12"/>
  <c r="J1142" i="12"/>
  <c r="J1143" i="12"/>
  <c r="J1144" i="12"/>
  <c r="J1145" i="12"/>
  <c r="J1146" i="12"/>
  <c r="J1147" i="12"/>
  <c r="J1148" i="12"/>
  <c r="J1149" i="12"/>
  <c r="J1150" i="12"/>
  <c r="J1151" i="12"/>
  <c r="J1152" i="12"/>
  <c r="J1153" i="12"/>
  <c r="J1154" i="12"/>
  <c r="J1155" i="12"/>
  <c r="J1156" i="12"/>
  <c r="J1157" i="12"/>
  <c r="J1158" i="12"/>
  <c r="J1159" i="12"/>
  <c r="J1160" i="12"/>
  <c r="J1161" i="12"/>
  <c r="J1162" i="12"/>
  <c r="J1163" i="12"/>
  <c r="J1164" i="12"/>
  <c r="J1165" i="12"/>
  <c r="J1166" i="12"/>
  <c r="J1167" i="12"/>
  <c r="J1168" i="12"/>
  <c r="J1169" i="12"/>
  <c r="J1170" i="12"/>
  <c r="J1171" i="12"/>
  <c r="J1172" i="12"/>
  <c r="J1173" i="12"/>
  <c r="J1174" i="12"/>
  <c r="J1175" i="12"/>
  <c r="J1176" i="12"/>
  <c r="J1177" i="12"/>
  <c r="J1178" i="12"/>
  <c r="J1179" i="12"/>
  <c r="J1180" i="12"/>
  <c r="J1181" i="12"/>
  <c r="J1182" i="12"/>
  <c r="J1183" i="12"/>
  <c r="J1184" i="12"/>
  <c r="J1185" i="12"/>
  <c r="J1186" i="12"/>
  <c r="J1187" i="12"/>
  <c r="J1188" i="12"/>
  <c r="J1189" i="12"/>
  <c r="J1190" i="12"/>
  <c r="J1191" i="12"/>
  <c r="J1192" i="12"/>
  <c r="J1193" i="12"/>
  <c r="J1194" i="12"/>
  <c r="J1195" i="12"/>
  <c r="J1196" i="12"/>
  <c r="J1197" i="12"/>
  <c r="J1198" i="12"/>
  <c r="J1199" i="12"/>
  <c r="J1200" i="12"/>
  <c r="J1201" i="12"/>
  <c r="J1202" i="12"/>
  <c r="J1203" i="12"/>
  <c r="J1204" i="12"/>
  <c r="J1205" i="12"/>
  <c r="J1206" i="12"/>
  <c r="J1207" i="12"/>
  <c r="J1208" i="12"/>
  <c r="J1209" i="12"/>
  <c r="J1210" i="12"/>
  <c r="J1211" i="12"/>
  <c r="J1212" i="12"/>
  <c r="J1213" i="12"/>
  <c r="J1214" i="12"/>
  <c r="J1215" i="12"/>
  <c r="J1216" i="12"/>
  <c r="J1217" i="12"/>
  <c r="J1218" i="12"/>
  <c r="J1219" i="12"/>
  <c r="J1220" i="12"/>
  <c r="J1221" i="12"/>
  <c r="J1222" i="12"/>
  <c r="J1223" i="12"/>
  <c r="J1224" i="12"/>
  <c r="J1225" i="12"/>
  <c r="J1226" i="12"/>
  <c r="J1227" i="12"/>
  <c r="J1228" i="12"/>
  <c r="J1229" i="12"/>
  <c r="J1230" i="12"/>
  <c r="J1231" i="12"/>
  <c r="J1232" i="12"/>
  <c r="J1233" i="12"/>
  <c r="J1234" i="12"/>
  <c r="J1235" i="12"/>
  <c r="J1236" i="12"/>
  <c r="J1237" i="12"/>
  <c r="J1238" i="12"/>
  <c r="J1239" i="12"/>
  <c r="J1240" i="12"/>
  <c r="J1241" i="12"/>
  <c r="J1242" i="12"/>
  <c r="J1243" i="12"/>
  <c r="J1244" i="12"/>
  <c r="J1245" i="12"/>
  <c r="J1246" i="12"/>
  <c r="J1247" i="12"/>
  <c r="J1248" i="12"/>
  <c r="J1249" i="12"/>
  <c r="J1250" i="12"/>
  <c r="J1251" i="12"/>
  <c r="J1252" i="12"/>
  <c r="J1253" i="12"/>
  <c r="J1254" i="12"/>
  <c r="J1255" i="12"/>
  <c r="J1256" i="12"/>
  <c r="J1257" i="12"/>
  <c r="J1258" i="12"/>
  <c r="J1259" i="12"/>
  <c r="J1260" i="12"/>
  <c r="J1261" i="12"/>
  <c r="J1262" i="12"/>
  <c r="J1263" i="12"/>
  <c r="J1264" i="12"/>
  <c r="J1265" i="12"/>
  <c r="J1266" i="12"/>
  <c r="J1267" i="12"/>
  <c r="J1268" i="12"/>
  <c r="J1269" i="12"/>
  <c r="J1270" i="12"/>
  <c r="J1271" i="12"/>
  <c r="J1272" i="12"/>
  <c r="J1273" i="12"/>
  <c r="J1274" i="12"/>
  <c r="J1275" i="12"/>
  <c r="J1276" i="12"/>
  <c r="J1277" i="12"/>
  <c r="J1278" i="12"/>
  <c r="J1279" i="12"/>
  <c r="J1280" i="12"/>
  <c r="J1281" i="12"/>
  <c r="J1282" i="12"/>
  <c r="J1283" i="12"/>
  <c r="J1284" i="12"/>
  <c r="J1285" i="12"/>
  <c r="J1286" i="12"/>
  <c r="J1287" i="12"/>
  <c r="J1288" i="12"/>
  <c r="J1289" i="12"/>
  <c r="J1290" i="12"/>
  <c r="J1291" i="12"/>
  <c r="J1292" i="12"/>
  <c r="J1293" i="12"/>
  <c r="J1294" i="12"/>
  <c r="J1295" i="12"/>
  <c r="J1296" i="12"/>
  <c r="J1297" i="12"/>
  <c r="J1298" i="12"/>
  <c r="J1299" i="12"/>
  <c r="J1300" i="12"/>
  <c r="J1301" i="12"/>
  <c r="J1302" i="12"/>
  <c r="J1303" i="12"/>
  <c r="J1304" i="12"/>
  <c r="J1305" i="12"/>
  <c r="J1306" i="12"/>
  <c r="J1307" i="12"/>
  <c r="J1308" i="12"/>
  <c r="J1309" i="12"/>
  <c r="J1310" i="12"/>
  <c r="J1311" i="12"/>
  <c r="J1312" i="12"/>
  <c r="J1313" i="12"/>
  <c r="J1314" i="12"/>
  <c r="J1315" i="12"/>
  <c r="J1316" i="12"/>
  <c r="J1317" i="12"/>
  <c r="J1318" i="12"/>
  <c r="J1319" i="12"/>
  <c r="J1320" i="12"/>
  <c r="J1321" i="12"/>
  <c r="J1322" i="12"/>
  <c r="J1323" i="12"/>
  <c r="J1324" i="12"/>
  <c r="J1325" i="12"/>
  <c r="J1326" i="12"/>
  <c r="J1327" i="12"/>
  <c r="J1328" i="12"/>
  <c r="J1329" i="12"/>
  <c r="J1330" i="12"/>
  <c r="J1331" i="12"/>
  <c r="J1332" i="12"/>
  <c r="J1333" i="12"/>
  <c r="J1334" i="12"/>
  <c r="J1335" i="12"/>
  <c r="J1336" i="12"/>
  <c r="J1337" i="12"/>
  <c r="J1338" i="12"/>
  <c r="J1339" i="12"/>
  <c r="J1340" i="12"/>
  <c r="J1341" i="12"/>
  <c r="J1342" i="12"/>
  <c r="J1343" i="12"/>
  <c r="J1344" i="12"/>
  <c r="J1345" i="12"/>
  <c r="J1346" i="12"/>
  <c r="J1347" i="12"/>
  <c r="J1348" i="12"/>
  <c r="J1349" i="12"/>
  <c r="J1350" i="12"/>
  <c r="J1351" i="12"/>
  <c r="J1352" i="12"/>
  <c r="J1353" i="12"/>
  <c r="J1354" i="12"/>
  <c r="J1355" i="12"/>
  <c r="J1356" i="12"/>
  <c r="J1357" i="12"/>
  <c r="J1358" i="12"/>
  <c r="J1359" i="12"/>
  <c r="J1360" i="12"/>
  <c r="J1361" i="12"/>
  <c r="J1362" i="12"/>
  <c r="J1363" i="12"/>
  <c r="J1364" i="12"/>
  <c r="J1365" i="12"/>
  <c r="J1366" i="12"/>
  <c r="J1367" i="12"/>
  <c r="J1368" i="12"/>
  <c r="J1369" i="12"/>
  <c r="J1370" i="12"/>
  <c r="J1371" i="12"/>
  <c r="J1372" i="12"/>
  <c r="J1373" i="12"/>
  <c r="J1374" i="12"/>
  <c r="J1375" i="12"/>
  <c r="J1376" i="12"/>
  <c r="J1377" i="12"/>
  <c r="J1378" i="12"/>
  <c r="J1379" i="12"/>
  <c r="J1380" i="12"/>
  <c r="J1381" i="12"/>
  <c r="J1382" i="12"/>
  <c r="J1383" i="12"/>
  <c r="J1384" i="12"/>
  <c r="J1385" i="12"/>
  <c r="J1386" i="12"/>
  <c r="J1387" i="12"/>
  <c r="J1388" i="12"/>
  <c r="J1389" i="12"/>
  <c r="J1390" i="12"/>
  <c r="J1391" i="12"/>
  <c r="J1392" i="12"/>
  <c r="J1393" i="12"/>
  <c r="J1394" i="12"/>
  <c r="J1395" i="12"/>
  <c r="J1396" i="12"/>
  <c r="J1397" i="12"/>
  <c r="J1398" i="12"/>
  <c r="J1399" i="12"/>
  <c r="J1400" i="12"/>
  <c r="J1401" i="12"/>
  <c r="J1402" i="12"/>
  <c r="J1403" i="12"/>
  <c r="J1404" i="12"/>
  <c r="J1405" i="12"/>
  <c r="J1406" i="12"/>
  <c r="J1407" i="12"/>
  <c r="J1408" i="12"/>
  <c r="J1409" i="12"/>
  <c r="J1410" i="12"/>
  <c r="J1411" i="12"/>
  <c r="J1412" i="12"/>
  <c r="J1413" i="12"/>
  <c r="J1414" i="12"/>
  <c r="J1415" i="12"/>
  <c r="J1416" i="12"/>
  <c r="J1417" i="12"/>
  <c r="J1418" i="12"/>
  <c r="J1419" i="12"/>
  <c r="J1420" i="12"/>
  <c r="J1421" i="12"/>
  <c r="J1422" i="12"/>
  <c r="J1423" i="12"/>
  <c r="J1424" i="12"/>
  <c r="J1425" i="12"/>
  <c r="J1426" i="12"/>
  <c r="J1427" i="12"/>
  <c r="J1428" i="12"/>
  <c r="J1429" i="12"/>
  <c r="J1430" i="12"/>
  <c r="J1431" i="12"/>
  <c r="J1432" i="12"/>
  <c r="J1433" i="12"/>
  <c r="J1434" i="12"/>
  <c r="J1435" i="12"/>
  <c r="J1436" i="12"/>
  <c r="J1437" i="12"/>
  <c r="J1438" i="12"/>
  <c r="J1439" i="12"/>
  <c r="J1440" i="12"/>
  <c r="J1441" i="12"/>
  <c r="J1442" i="12"/>
  <c r="J1443" i="12"/>
  <c r="J1444" i="12"/>
  <c r="J1445" i="12"/>
  <c r="J1446" i="12"/>
  <c r="J1447" i="12"/>
  <c r="J1448" i="12"/>
  <c r="J1449" i="12"/>
  <c r="J1450" i="12"/>
  <c r="J1451" i="12"/>
  <c r="J1452" i="12"/>
  <c r="J1453" i="12"/>
  <c r="J1454" i="12"/>
  <c r="J1455" i="12"/>
  <c r="J1456" i="12"/>
  <c r="J1457" i="12"/>
  <c r="J1458" i="12"/>
  <c r="J1459" i="12"/>
  <c r="J1460" i="12"/>
  <c r="J1461" i="12"/>
  <c r="J1462" i="12"/>
  <c r="J1463" i="12"/>
  <c r="J1464" i="12"/>
  <c r="J1465" i="12"/>
  <c r="J1466" i="12"/>
  <c r="J1467" i="12"/>
  <c r="J1468" i="12"/>
  <c r="J1469" i="12"/>
  <c r="J1470" i="12"/>
  <c r="J1471" i="12"/>
  <c r="J1472" i="12"/>
  <c r="J1473" i="12"/>
  <c r="J1474" i="12"/>
  <c r="J1475" i="12"/>
  <c r="J1476" i="12"/>
  <c r="J1477" i="12"/>
  <c r="J1478" i="12"/>
  <c r="J1479" i="12"/>
  <c r="J1480" i="12"/>
  <c r="J1481" i="12"/>
  <c r="J1482" i="12"/>
  <c r="J1483" i="12"/>
  <c r="J1484" i="12"/>
  <c r="J1485" i="12"/>
  <c r="J1486" i="12"/>
  <c r="J1487" i="12"/>
  <c r="J1488" i="12"/>
  <c r="J1489" i="12"/>
  <c r="J1490" i="12"/>
  <c r="J1491" i="12"/>
  <c r="J1492" i="12"/>
  <c r="J1493" i="12"/>
  <c r="J1494" i="12"/>
  <c r="J1495" i="12"/>
  <c r="J1496" i="12"/>
  <c r="J1497" i="12"/>
  <c r="J1498" i="12"/>
  <c r="J1499" i="12"/>
  <c r="J1500" i="12"/>
  <c r="J1501" i="12"/>
  <c r="J1502" i="12"/>
  <c r="J1503" i="12"/>
  <c r="J1504" i="12"/>
  <c r="J1505" i="12"/>
  <c r="J1506" i="12"/>
  <c r="J1507" i="12"/>
  <c r="J1508" i="12"/>
  <c r="J1509" i="12"/>
  <c r="J1510" i="12"/>
  <c r="J1511" i="12"/>
  <c r="J1512" i="12"/>
  <c r="J1513" i="12"/>
  <c r="J1514" i="12"/>
  <c r="J1515" i="12"/>
  <c r="J1516" i="12"/>
  <c r="J1517" i="12"/>
  <c r="J1518" i="12"/>
  <c r="J1519" i="12"/>
  <c r="J1520" i="12"/>
  <c r="J1521" i="12"/>
  <c r="J1522" i="12"/>
  <c r="J1523" i="12"/>
  <c r="J1524" i="12"/>
  <c r="J1525" i="12"/>
  <c r="J1526" i="12"/>
  <c r="J1527" i="12"/>
  <c r="J1528" i="12"/>
  <c r="J1529" i="12"/>
  <c r="J1530" i="12"/>
  <c r="J1531" i="12"/>
  <c r="J1532" i="12"/>
  <c r="J1533" i="12"/>
  <c r="J1534" i="12"/>
  <c r="J1535" i="12"/>
  <c r="J1536" i="12"/>
  <c r="J1537" i="12"/>
  <c r="J1538" i="12"/>
  <c r="J1539" i="12"/>
  <c r="J1540" i="12"/>
  <c r="J1541" i="12"/>
  <c r="J1542" i="12"/>
  <c r="J1543" i="12"/>
  <c r="J1544" i="12"/>
  <c r="J1545" i="12"/>
  <c r="J1546" i="12"/>
  <c r="J1547" i="12"/>
  <c r="J1548" i="12"/>
  <c r="J1549" i="12"/>
  <c r="J1550" i="12"/>
  <c r="J1551" i="12"/>
  <c r="J1552" i="12"/>
  <c r="J1553" i="12"/>
  <c r="J1554" i="12"/>
  <c r="J1555" i="12"/>
  <c r="J1556" i="12"/>
  <c r="J1557" i="12"/>
  <c r="J1558" i="12"/>
  <c r="J1559" i="12"/>
  <c r="J1560" i="12"/>
  <c r="J1561" i="12"/>
  <c r="J1562" i="12"/>
  <c r="J1563" i="12"/>
  <c r="J1564" i="12"/>
  <c r="J1565" i="12"/>
  <c r="J1566" i="12"/>
  <c r="J1567" i="12"/>
  <c r="J1568" i="12"/>
  <c r="J1569" i="12"/>
  <c r="J1570" i="12"/>
  <c r="J1571" i="12"/>
  <c r="J1572" i="12"/>
  <c r="J1573" i="12"/>
  <c r="J1574" i="12"/>
  <c r="J1575" i="12"/>
  <c r="J1576" i="12"/>
  <c r="J1577" i="12"/>
  <c r="J1578" i="12"/>
  <c r="J1579" i="12"/>
  <c r="J1580" i="12"/>
  <c r="J1581" i="12"/>
  <c r="J1582" i="12"/>
  <c r="J1583" i="12"/>
  <c r="J1584" i="12"/>
  <c r="J1585" i="12"/>
  <c r="J1586" i="12"/>
  <c r="J1587" i="12"/>
  <c r="J1588" i="12"/>
  <c r="J1589" i="12"/>
  <c r="J1590" i="12"/>
  <c r="J1591" i="12"/>
  <c r="J1592" i="12"/>
  <c r="J1593" i="12"/>
  <c r="J1594" i="12"/>
  <c r="J1595" i="12"/>
  <c r="J1596" i="12"/>
  <c r="J1597" i="12"/>
  <c r="J1598" i="12"/>
  <c r="J1599" i="12"/>
  <c r="J1600" i="12"/>
  <c r="J1601" i="12"/>
  <c r="J1602" i="12"/>
  <c r="J1603" i="12"/>
  <c r="J1604" i="12"/>
  <c r="J1605" i="12"/>
  <c r="J1606" i="12"/>
  <c r="J1607" i="12"/>
  <c r="J1608" i="12"/>
  <c r="J1609" i="12"/>
  <c r="J1610" i="12"/>
  <c r="J1611" i="12"/>
  <c r="J1612" i="12"/>
  <c r="J1613" i="12"/>
  <c r="J1614" i="12"/>
  <c r="J1615" i="12"/>
  <c r="J1616" i="12"/>
  <c r="J1617" i="12"/>
  <c r="J1618" i="12"/>
  <c r="J1619" i="12"/>
  <c r="J1620" i="12"/>
  <c r="J1621" i="12"/>
  <c r="J1622" i="12"/>
  <c r="J1623" i="12"/>
  <c r="J1624" i="12"/>
  <c r="J1625" i="12"/>
  <c r="J1626" i="12"/>
  <c r="J1627" i="12"/>
  <c r="J1628" i="12"/>
  <c r="J1629" i="12"/>
  <c r="J1630" i="12"/>
  <c r="J1631" i="12"/>
  <c r="J1632" i="12"/>
  <c r="J1633" i="12"/>
  <c r="J1634" i="12"/>
  <c r="J1635" i="12"/>
  <c r="J1636" i="12"/>
  <c r="J1637" i="12"/>
  <c r="J1638" i="12"/>
  <c r="J1639" i="12"/>
  <c r="J1640" i="12"/>
  <c r="J1641" i="12"/>
  <c r="J1642" i="12"/>
  <c r="J1643" i="12"/>
  <c r="J1644" i="12"/>
  <c r="J1645" i="12"/>
  <c r="J1646" i="12"/>
  <c r="J1647" i="12"/>
  <c r="J1648" i="12"/>
  <c r="J1649" i="12"/>
  <c r="J1650" i="12"/>
  <c r="J1651" i="12"/>
  <c r="J1652" i="12"/>
  <c r="J1653" i="12"/>
  <c r="J1654" i="12"/>
  <c r="J1655" i="12"/>
  <c r="J1656" i="12"/>
  <c r="J1657" i="12"/>
  <c r="J1658" i="12"/>
  <c r="J1659" i="12"/>
  <c r="J1660" i="12"/>
  <c r="J1661" i="12"/>
  <c r="J1662" i="12"/>
  <c r="J1663" i="12"/>
  <c r="J1664" i="12"/>
  <c r="J1665" i="12"/>
  <c r="J1666" i="12"/>
  <c r="J1667" i="12"/>
  <c r="J1668" i="12"/>
  <c r="J1669" i="12"/>
  <c r="J1670" i="12"/>
  <c r="J1671" i="12"/>
  <c r="J1672" i="12"/>
  <c r="J1673" i="12"/>
  <c r="J1674" i="12"/>
  <c r="J1675" i="12"/>
  <c r="J1676" i="12"/>
  <c r="J1677" i="12"/>
  <c r="J1678" i="12"/>
  <c r="J1679" i="12"/>
  <c r="J1680" i="12"/>
  <c r="J1681" i="12"/>
  <c r="J1682" i="12"/>
  <c r="J1683" i="12"/>
  <c r="J1684" i="12"/>
  <c r="J1685" i="12"/>
  <c r="J1686" i="12"/>
  <c r="J1687" i="12"/>
  <c r="J1688" i="12"/>
  <c r="J1689" i="12"/>
  <c r="J1690" i="12"/>
  <c r="J1691" i="12"/>
  <c r="J1692" i="12"/>
  <c r="J1693" i="12"/>
  <c r="J1694" i="12"/>
  <c r="J1695" i="12"/>
  <c r="J1696" i="12"/>
  <c r="J1697" i="12"/>
  <c r="J1698" i="12"/>
  <c r="J1699" i="12"/>
  <c r="J1700" i="12"/>
  <c r="J1701" i="12"/>
  <c r="J1702" i="12"/>
  <c r="J1703" i="12"/>
  <c r="J1704" i="12"/>
  <c r="J1705" i="12"/>
  <c r="J1706" i="12"/>
  <c r="J1707" i="12"/>
  <c r="J1708" i="12"/>
  <c r="J1709" i="12"/>
  <c r="J1710" i="12"/>
  <c r="J1711" i="12"/>
  <c r="J1712" i="12"/>
  <c r="J1713" i="12"/>
  <c r="J1714" i="12"/>
  <c r="J1715" i="12"/>
  <c r="J1716" i="12"/>
  <c r="J1717" i="12"/>
  <c r="J1718" i="12"/>
  <c r="J1719" i="12"/>
  <c r="J1720" i="12"/>
  <c r="J1721" i="12"/>
  <c r="J1722" i="12"/>
  <c r="J1723" i="12"/>
  <c r="J1724" i="12"/>
  <c r="J1725" i="12"/>
  <c r="J1726" i="12"/>
  <c r="J1727" i="12"/>
  <c r="J1728" i="12"/>
  <c r="J1729" i="12"/>
  <c r="J1730" i="12"/>
  <c r="J1731" i="12"/>
  <c r="J1732" i="12"/>
  <c r="J1733" i="12"/>
  <c r="J1734" i="12"/>
  <c r="J1735" i="12"/>
  <c r="J1736" i="12"/>
  <c r="J1737" i="12"/>
  <c r="J1738" i="12"/>
  <c r="J1739" i="12"/>
  <c r="J1740" i="12"/>
  <c r="J1741" i="12"/>
  <c r="J1742" i="12"/>
  <c r="J1743" i="12"/>
  <c r="J1744" i="12"/>
  <c r="J1745" i="12"/>
  <c r="J1746" i="12"/>
  <c r="J1747" i="12"/>
  <c r="J1748" i="12"/>
  <c r="J1749" i="12"/>
  <c r="J1750" i="12"/>
  <c r="J1751" i="12"/>
  <c r="J1752" i="12"/>
  <c r="J1753" i="12"/>
  <c r="J1754" i="12"/>
  <c r="J1755" i="12"/>
  <c r="J1756" i="12"/>
  <c r="J1757" i="12"/>
  <c r="J1758" i="12"/>
  <c r="J1759" i="12"/>
  <c r="J1760" i="12"/>
  <c r="J1761" i="12"/>
  <c r="J1762" i="12"/>
  <c r="J1763" i="12"/>
  <c r="J1764" i="12"/>
  <c r="J1765" i="12"/>
  <c r="J1766" i="12"/>
  <c r="J1767" i="12"/>
  <c r="J1768" i="12"/>
  <c r="J1769" i="12"/>
  <c r="J1770" i="12"/>
  <c r="J1771" i="12"/>
  <c r="J1772" i="12"/>
  <c r="J1773" i="12"/>
  <c r="J1774" i="12"/>
  <c r="J1775" i="12"/>
  <c r="J1776" i="12"/>
  <c r="J1777" i="12"/>
  <c r="J1778" i="12"/>
  <c r="J1779" i="12"/>
  <c r="J1780" i="12"/>
  <c r="J1781" i="12"/>
  <c r="J1782" i="12"/>
  <c r="J1783" i="12"/>
  <c r="J1784" i="12"/>
  <c r="J1785" i="12"/>
  <c r="J1786" i="12"/>
  <c r="J1787" i="12"/>
  <c r="J1788" i="12"/>
  <c r="J1789" i="12"/>
  <c r="J1790" i="12"/>
  <c r="J1791" i="12"/>
  <c r="J1792" i="12"/>
  <c r="J1793" i="12"/>
  <c r="J1794" i="12"/>
  <c r="J1795" i="12"/>
  <c r="J1796" i="12"/>
  <c r="J1797" i="12"/>
  <c r="J1798" i="12"/>
  <c r="J1799" i="12"/>
  <c r="J1800" i="12"/>
  <c r="J1801" i="12"/>
  <c r="J1802" i="12"/>
  <c r="J1803" i="12"/>
  <c r="J1804" i="12"/>
  <c r="J1805" i="12"/>
  <c r="J1806" i="12"/>
  <c r="J1807" i="12"/>
  <c r="J1808" i="12"/>
  <c r="J1809" i="12"/>
  <c r="J1810" i="12"/>
  <c r="J1811" i="12"/>
  <c r="J1812" i="12"/>
  <c r="J1813" i="12"/>
  <c r="J1814" i="12"/>
  <c r="J1815" i="12"/>
  <c r="J1816" i="12"/>
  <c r="J1817" i="12"/>
  <c r="J1818" i="12"/>
  <c r="J1819" i="12"/>
  <c r="J1820" i="12"/>
  <c r="J1821" i="12"/>
  <c r="J1822" i="12"/>
  <c r="J1823" i="12"/>
  <c r="J1824" i="12"/>
  <c r="J1825" i="12"/>
  <c r="J1826" i="12"/>
  <c r="D9" i="8"/>
  <c r="D11" i="8"/>
  <c r="D10" i="8"/>
  <c r="I2" i="8"/>
  <c r="I3" i="8"/>
  <c r="H2" i="8"/>
  <c r="H3" i="8"/>
  <c r="E9" i="8"/>
  <c r="E10" i="8"/>
  <c r="E11" i="8"/>
  <c r="F10" i="8"/>
  <c r="F11" i="8"/>
  <c r="E8" i="8"/>
  <c r="E7" i="8"/>
  <c r="F7" i="8"/>
  <c r="I10" i="11" l="1"/>
  <c r="I2" i="11"/>
  <c r="I3" i="11"/>
  <c r="I5" i="11"/>
  <c r="I6" i="11"/>
  <c r="I7" i="11"/>
  <c r="I8" i="11"/>
  <c r="I11" i="11"/>
  <c r="I827" i="11"/>
  <c r="I828" i="11"/>
  <c r="I830" i="11"/>
  <c r="I831" i="11"/>
  <c r="I832" i="11"/>
  <c r="I833" i="11"/>
  <c r="H90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I689" i="11"/>
  <c r="I694" i="11"/>
  <c r="I699" i="11"/>
  <c r="I704" i="11"/>
  <c r="I709" i="11"/>
  <c r="I714" i="11"/>
  <c r="I719" i="11"/>
  <c r="I724" i="11"/>
  <c r="I729" i="11"/>
  <c r="I734" i="11"/>
  <c r="I739" i="11"/>
  <c r="I744" i="11"/>
  <c r="I749" i="11"/>
  <c r="I754" i="11"/>
  <c r="I759" i="11"/>
  <c r="I764" i="11"/>
  <c r="I769" i="11"/>
  <c r="I774" i="11"/>
  <c r="I779" i="11"/>
  <c r="I784" i="11"/>
  <c r="I789" i="11"/>
  <c r="I794" i="11"/>
  <c r="I799" i="11"/>
  <c r="I804" i="11"/>
  <c r="I809" i="11"/>
  <c r="I844" i="11"/>
  <c r="I879" i="11"/>
  <c r="I914" i="11"/>
  <c r="I949" i="11"/>
  <c r="I984" i="11"/>
  <c r="I1044" i="11"/>
  <c r="I1154" i="11"/>
  <c r="I1204" i="11"/>
  <c r="I1239" i="11"/>
  <c r="I1249" i="11"/>
  <c r="I1259" i="11"/>
  <c r="I1284" i="11"/>
  <c r="I1294" i="11"/>
  <c r="I1329" i="11"/>
  <c r="I1594" i="11"/>
  <c r="I1604" i="11"/>
  <c r="I1614" i="11"/>
  <c r="I1654" i="11"/>
  <c r="I1724" i="11"/>
  <c r="I1784" i="11"/>
  <c r="I1799" i="11"/>
  <c r="I1809" i="11"/>
  <c r="I1374" i="11"/>
  <c r="I1379" i="11"/>
  <c r="I1384" i="11"/>
  <c r="I1389" i="11"/>
  <c r="I1394" i="11"/>
  <c r="I1399" i="11"/>
  <c r="I1404" i="11"/>
  <c r="I1409" i="11"/>
  <c r="I1414" i="11"/>
  <c r="I1419" i="11"/>
  <c r="I1424" i="11"/>
  <c r="I1429" i="11"/>
  <c r="I1434" i="11"/>
  <c r="I1439" i="11"/>
  <c r="I1444" i="11"/>
  <c r="I1449" i="11"/>
  <c r="I1454" i="11"/>
  <c r="I1459" i="11"/>
  <c r="I1464" i="11"/>
  <c r="I1469" i="11"/>
  <c r="I1474" i="11"/>
  <c r="I1479" i="11"/>
  <c r="I1484" i="11"/>
  <c r="I1489" i="11"/>
  <c r="I1494" i="11"/>
  <c r="I1499" i="11"/>
  <c r="I1504" i="11"/>
  <c r="I1509" i="11"/>
  <c r="I1514" i="11"/>
  <c r="I1519" i="11"/>
  <c r="I1524" i="11"/>
  <c r="I1529" i="11"/>
  <c r="I1534" i="11"/>
  <c r="I1539" i="11"/>
  <c r="I1544" i="11"/>
  <c r="I1549" i="11"/>
  <c r="I1554" i="11"/>
  <c r="I1559" i="11"/>
  <c r="I1564" i="11"/>
  <c r="I1569" i="11"/>
  <c r="I1574" i="11"/>
  <c r="I1579" i="11"/>
  <c r="I1584" i="11"/>
  <c r="I1589" i="11"/>
  <c r="I1609" i="11"/>
  <c r="I1629" i="11"/>
  <c r="I1659" i="11"/>
  <c r="I1719" i="11"/>
  <c r="I1789" i="11"/>
  <c r="I1824" i="11"/>
  <c r="I4" i="11"/>
  <c r="I39" i="11"/>
  <c r="I44" i="11"/>
  <c r="I54" i="11"/>
  <c r="I59" i="11"/>
  <c r="I99" i="11"/>
  <c r="I119" i="11"/>
  <c r="I139" i="11"/>
  <c r="I184" i="11"/>
  <c r="I204" i="11"/>
  <c r="I224" i="11"/>
  <c r="I244" i="11"/>
  <c r="I264" i="11"/>
  <c r="I284" i="11"/>
  <c r="I304" i="11"/>
  <c r="I329" i="11"/>
  <c r="I369" i="11"/>
  <c r="I389" i="11"/>
  <c r="I409" i="11"/>
  <c r="I429" i="11"/>
  <c r="I449" i="11"/>
  <c r="I454" i="11"/>
  <c r="I509" i="11"/>
  <c r="I524" i="11"/>
  <c r="I554" i="11"/>
  <c r="I584" i="11"/>
  <c r="I599" i="11"/>
  <c r="I614" i="11"/>
  <c r="I644" i="11"/>
  <c r="I674" i="11"/>
  <c r="I834" i="11"/>
  <c r="I869" i="11"/>
  <c r="I904" i="11"/>
  <c r="I939" i="11"/>
  <c r="I974" i="11"/>
  <c r="I1009" i="11"/>
  <c r="I1019" i="11"/>
  <c r="I1054" i="11"/>
  <c r="I1089" i="11"/>
  <c r="I1124" i="11"/>
  <c r="I1199" i="11"/>
  <c r="I1209" i="11"/>
  <c r="I1219" i="11"/>
  <c r="I1254" i="11"/>
  <c r="I1264" i="11"/>
  <c r="I1299" i="11"/>
  <c r="I1334" i="11"/>
  <c r="I1369" i="11"/>
  <c r="I1669" i="11"/>
  <c r="I1689" i="11"/>
  <c r="I1709" i="11"/>
  <c r="I1749" i="11"/>
  <c r="I1769" i="11"/>
  <c r="I9" i="11"/>
  <c r="I94" i="11"/>
  <c r="I114" i="11"/>
  <c r="I134" i="11"/>
  <c r="I179" i="11"/>
  <c r="I199" i="11"/>
  <c r="I214" i="11"/>
  <c r="I234" i="11"/>
  <c r="I259" i="11"/>
  <c r="I274" i="11"/>
  <c r="I294" i="11"/>
  <c r="I319" i="11"/>
  <c r="I339" i="11"/>
  <c r="I359" i="11"/>
  <c r="I379" i="11"/>
  <c r="I399" i="11"/>
  <c r="I414" i="11"/>
  <c r="I439" i="11"/>
  <c r="I479" i="11"/>
  <c r="I484" i="11"/>
  <c r="I499" i="11"/>
  <c r="I514" i="11"/>
  <c r="I559" i="11"/>
  <c r="I589" i="11"/>
  <c r="I619" i="11"/>
  <c r="I679" i="11"/>
  <c r="I839" i="11"/>
  <c r="I849" i="11"/>
  <c r="I884" i="11"/>
  <c r="I919" i="11"/>
  <c r="I954" i="11"/>
  <c r="I989" i="11"/>
  <c r="I1049" i="11"/>
  <c r="I1084" i="11"/>
  <c r="I1094" i="11"/>
  <c r="I1104" i="11"/>
  <c r="I1114" i="11"/>
  <c r="I1174" i="11"/>
  <c r="I1194" i="11"/>
  <c r="I1229" i="11"/>
  <c r="I1314" i="11"/>
  <c r="I1644" i="11"/>
  <c r="I1684" i="11"/>
  <c r="I1714" i="11"/>
  <c r="I1734" i="11"/>
  <c r="I1754" i="11"/>
  <c r="I1774" i="11"/>
  <c r="I1804" i="11"/>
  <c r="I19" i="11"/>
  <c r="I104" i="11"/>
  <c r="I124" i="11"/>
  <c r="I169" i="11"/>
  <c r="I189" i="11"/>
  <c r="I209" i="11"/>
  <c r="I229" i="11"/>
  <c r="I249" i="11"/>
  <c r="I269" i="11"/>
  <c r="I289" i="11"/>
  <c r="I334" i="11"/>
  <c r="I354" i="11"/>
  <c r="I374" i="11"/>
  <c r="I394" i="11"/>
  <c r="I419" i="11"/>
  <c r="I434" i="11"/>
  <c r="I539" i="11"/>
  <c r="I569" i="11"/>
  <c r="I639" i="11"/>
  <c r="I654" i="11"/>
  <c r="I684" i="11"/>
  <c r="I854" i="11"/>
  <c r="I889" i="11"/>
  <c r="I924" i="11"/>
  <c r="I959" i="11"/>
  <c r="I994" i="11"/>
  <c r="I1029" i="11"/>
  <c r="I1064" i="11"/>
  <c r="I1099" i="11"/>
  <c r="I1134" i="11"/>
  <c r="I1169" i="11"/>
  <c r="I1214" i="11"/>
  <c r="I1274" i="11"/>
  <c r="I1309" i="11"/>
  <c r="I1679" i="11"/>
  <c r="I1729" i="11"/>
  <c r="I1759" i="11"/>
  <c r="I1819" i="11"/>
  <c r="H89" i="11"/>
  <c r="I24" i="11"/>
  <c r="I529" i="11"/>
  <c r="I544" i="11"/>
  <c r="I574" i="11"/>
  <c r="I604" i="11"/>
  <c r="I634" i="11"/>
  <c r="I649" i="11"/>
  <c r="I664" i="11"/>
  <c r="I814" i="11"/>
  <c r="I899" i="11"/>
  <c r="I909" i="11"/>
  <c r="I969" i="11"/>
  <c r="I1004" i="11"/>
  <c r="I1039" i="11"/>
  <c r="I1074" i="11"/>
  <c r="I1109" i="11"/>
  <c r="I1144" i="11"/>
  <c r="I1184" i="11"/>
  <c r="I1269" i="11"/>
  <c r="I1304" i="11"/>
  <c r="I1339" i="11"/>
  <c r="I1349" i="11"/>
  <c r="I1359" i="11"/>
  <c r="I1599" i="11"/>
  <c r="I1619" i="11"/>
  <c r="I1639" i="11"/>
  <c r="I1649" i="11"/>
  <c r="I1699" i="11"/>
  <c r="I1739" i="11"/>
  <c r="I1779" i="11"/>
  <c r="I1814" i="11"/>
  <c r="I14" i="11"/>
  <c r="I69" i="11"/>
  <c r="I84" i="11"/>
  <c r="I89" i="11"/>
  <c r="I109" i="11"/>
  <c r="I129" i="11"/>
  <c r="I174" i="11"/>
  <c r="I194" i="11"/>
  <c r="I219" i="11"/>
  <c r="I239" i="11"/>
  <c r="I254" i="11"/>
  <c r="I279" i="11"/>
  <c r="I299" i="11"/>
  <c r="I344" i="11"/>
  <c r="I364" i="11"/>
  <c r="I384" i="11"/>
  <c r="I404" i="11"/>
  <c r="I424" i="11"/>
  <c r="I444" i="11"/>
  <c r="I494" i="11"/>
  <c r="I504" i="11"/>
  <c r="I534" i="11"/>
  <c r="I564" i="11"/>
  <c r="I629" i="11"/>
  <c r="I659" i="11"/>
  <c r="I824" i="11"/>
  <c r="I859" i="11"/>
  <c r="I894" i="11"/>
  <c r="I929" i="11"/>
  <c r="I964" i="11"/>
  <c r="I999" i="11"/>
  <c r="I1034" i="11"/>
  <c r="I1069" i="11"/>
  <c r="I1079" i="11"/>
  <c r="I1139" i="11"/>
  <c r="I1149" i="11"/>
  <c r="I1159" i="11"/>
  <c r="I1319" i="11"/>
  <c r="I1344" i="11"/>
  <c r="I1354" i="11"/>
  <c r="I1364" i="11"/>
  <c r="I1624" i="11"/>
  <c r="I1634" i="11"/>
  <c r="I1674" i="11"/>
  <c r="I1744" i="11"/>
  <c r="I1794" i="11"/>
  <c r="I34" i="11"/>
  <c r="I49" i="11"/>
  <c r="I64" i="11"/>
  <c r="I74" i="11"/>
  <c r="I79" i="11"/>
  <c r="I144" i="11"/>
  <c r="I149" i="11"/>
  <c r="I154" i="11"/>
  <c r="I159" i="11"/>
  <c r="I164" i="11"/>
  <c r="I309" i="11"/>
  <c r="I314" i="11"/>
  <c r="I324" i="11"/>
  <c r="I349" i="11"/>
  <c r="I459" i="11"/>
  <c r="I464" i="11"/>
  <c r="I469" i="11"/>
  <c r="I474" i="11"/>
  <c r="I489" i="11"/>
  <c r="I519" i="11"/>
  <c r="I549" i="11"/>
  <c r="I579" i="11"/>
  <c r="I594" i="11"/>
  <c r="I609" i="11"/>
  <c r="I624" i="11"/>
  <c r="I669" i="11"/>
  <c r="I819" i="11"/>
  <c r="I829" i="11"/>
  <c r="I864" i="11"/>
  <c r="I874" i="11"/>
  <c r="I934" i="11"/>
  <c r="I944" i="11"/>
  <c r="I979" i="11"/>
  <c r="I1014" i="11"/>
  <c r="I1024" i="11"/>
  <c r="I1059" i="11"/>
  <c r="I1119" i="11"/>
  <c r="I1129" i="11"/>
  <c r="I1164" i="11"/>
  <c r="I1179" i="11"/>
  <c r="I1189" i="11"/>
  <c r="I1224" i="11"/>
  <c r="I1234" i="11"/>
  <c r="I1244" i="11"/>
  <c r="I1279" i="11"/>
  <c r="I1289" i="11"/>
  <c r="I1324" i="11"/>
  <c r="I1664" i="11"/>
  <c r="I1694" i="11"/>
  <c r="I1704" i="11"/>
  <c r="I1764" i="11"/>
  <c r="I29" i="11"/>
  <c r="D8" i="8"/>
  <c r="F9" i="8"/>
  <c r="F8" i="8"/>
  <c r="D7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40C294-1FDA-4DEF-93CA-1E43510A8024}" keepAlive="1" name="Query - inventory_log_large (3)" description="Connection to the 'inventory_log_large (3)' query in the workbook." type="5" refreshedVersion="8" background="1" saveData="1">
    <dbPr connection="Provider=Microsoft.Mashup.OleDb.1;Data Source=$Workbook$;Location=&quot;inventory_log_large (3)&quot;;Extended Properties=&quot;&quot;" command="SELECT * FROM [inventory_log_large (3)]"/>
  </connection>
  <connection id="2" xr16:uid="{59BA1604-9D73-42D2-801F-AFDB18BEDF83}" keepAlive="1" name="Query - sales_history_large (1)" description="Connection to the 'sales_history_large (1)' query in the workbook." type="5" refreshedVersion="8" background="1" saveData="1">
    <dbPr connection="Provider=Microsoft.Mashup.OleDb.1;Data Source=$Workbook$;Location=&quot;sales_history_large (1)&quot;;Extended Properties=&quot;&quot;" command="SELECT * FROM [sales_history_large (1)]"/>
  </connection>
</connections>
</file>

<file path=xl/sharedStrings.xml><?xml version="1.0" encoding="utf-8"?>
<sst xmlns="http://schemas.openxmlformats.org/spreadsheetml/2006/main" count="7354" uniqueCount="1869">
  <si>
    <t>order_id</t>
  </si>
  <si>
    <t>date</t>
  </si>
  <si>
    <t>product_id</t>
  </si>
  <si>
    <t>category</t>
  </si>
  <si>
    <t>unit_price</t>
  </si>
  <si>
    <t>units_sold</t>
  </si>
  <si>
    <t>discount_applied</t>
  </si>
  <si>
    <t>revenue_generated</t>
  </si>
  <si>
    <t>ORD-1000</t>
  </si>
  <si>
    <t>P-101</t>
  </si>
  <si>
    <t>Electronics</t>
  </si>
  <si>
    <t>ORD-1001</t>
  </si>
  <si>
    <t>P-102</t>
  </si>
  <si>
    <t>Perishables</t>
  </si>
  <si>
    <t>ORD-1002</t>
  </si>
  <si>
    <t>P-103</t>
  </si>
  <si>
    <t>Apparel</t>
  </si>
  <si>
    <t>ORD-1003</t>
  </si>
  <si>
    <t>P-104</t>
  </si>
  <si>
    <t>Home Goods</t>
  </si>
  <si>
    <t>ORD-1004</t>
  </si>
  <si>
    <t>P-105</t>
  </si>
  <si>
    <t>Toys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</si>
  <si>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</si>
  <si>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</si>
  <si>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</si>
  <si>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</si>
  <si>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</si>
  <si>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</si>
  <si>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</si>
  <si>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</si>
  <si>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</si>
  <si>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</si>
  <si>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</si>
  <si>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</si>
  <si>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</si>
  <si>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</si>
  <si>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</si>
  <si>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</si>
  <si>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</si>
  <si>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</si>
  <si>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</si>
  <si>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</si>
  <si>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</si>
  <si>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</si>
  <si>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</si>
  <si>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</si>
  <si>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</si>
  <si>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</si>
  <si>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</si>
  <si>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</si>
  <si>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</si>
  <si>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</si>
  <si>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</si>
  <si>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</si>
  <si>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</si>
  <si>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</si>
  <si>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</si>
  <si>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</si>
  <si>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</si>
  <si>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</si>
  <si>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</si>
  <si>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</si>
  <si>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</si>
  <si>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</si>
  <si>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</si>
  <si>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</si>
  <si>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</si>
  <si>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</si>
  <si>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</si>
  <si>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</si>
  <si>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</si>
  <si>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</si>
  <si>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</si>
  <si>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</si>
  <si>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</si>
  <si>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</si>
  <si>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</si>
  <si>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</si>
  <si>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</si>
  <si>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</si>
  <si>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</si>
  <si>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</si>
  <si>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</si>
  <si>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</si>
  <si>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</si>
  <si>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</si>
  <si>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</si>
  <si>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</si>
  <si>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</si>
  <si>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</si>
  <si>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</si>
  <si>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</si>
  <si>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</si>
  <si>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</si>
  <si>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</si>
  <si>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</si>
  <si>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</si>
  <si>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</si>
  <si>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</si>
  <si>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</si>
  <si>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</si>
  <si>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</si>
  <si>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</si>
  <si>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</si>
  <si>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</si>
  <si>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</si>
  <si>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</si>
  <si>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</si>
  <si>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</si>
  <si>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</si>
  <si>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</si>
  <si>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</si>
  <si>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</si>
  <si>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</si>
  <si>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</si>
  <si>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</si>
  <si>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</si>
  <si>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</si>
  <si>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</si>
  <si>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</si>
  <si>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</si>
  <si>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</si>
  <si>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</si>
  <si>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</si>
  <si>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</si>
  <si>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</si>
  <si>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</si>
  <si>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</si>
  <si>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</si>
  <si>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</si>
  <si>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</si>
  <si>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</si>
  <si>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</si>
  <si>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</si>
  <si>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</si>
  <si>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</si>
  <si>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</si>
  <si>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</si>
  <si>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</si>
  <si>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</si>
  <si>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</si>
  <si>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</si>
  <si>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</si>
  <si>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</si>
  <si>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</si>
  <si>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</si>
  <si>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</si>
  <si>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</si>
  <si>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</si>
  <si>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</si>
  <si>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</si>
  <si>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</si>
  <si>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</si>
  <si>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</si>
  <si>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</si>
  <si>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</si>
  <si>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</si>
  <si>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</si>
  <si>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</si>
  <si>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</si>
  <si>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</si>
  <si>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</si>
  <si>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</si>
  <si>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</si>
  <si>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</si>
  <si>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</si>
  <si>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</si>
  <si>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</si>
  <si>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</si>
  <si>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</si>
  <si>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</si>
  <si>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</si>
  <si>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</si>
  <si>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</si>
  <si>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</si>
  <si>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</si>
  <si>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</si>
  <si>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</si>
  <si>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</si>
  <si>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</si>
  <si>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</si>
  <si>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</si>
  <si>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</si>
  <si>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</si>
  <si>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</si>
  <si>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</si>
  <si>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</si>
  <si>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</si>
  <si>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</si>
  <si>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</si>
  <si>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</si>
  <si>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</si>
  <si>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</si>
  <si>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</si>
  <si>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</si>
  <si>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</si>
  <si>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</si>
  <si>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</si>
  <si>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</si>
  <si>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</si>
  <si>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</si>
  <si>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</si>
  <si>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</si>
  <si>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</si>
  <si>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</si>
  <si>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</si>
  <si>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</si>
  <si>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</si>
  <si>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</si>
  <si>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</si>
  <si>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</si>
  <si>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</si>
  <si>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</si>
  <si>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</si>
  <si>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</si>
  <si>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</si>
  <si>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</si>
  <si>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</si>
  <si>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</si>
  <si>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</si>
  <si>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</si>
  <si>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</si>
  <si>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</si>
  <si>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</si>
  <si>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</si>
  <si>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</si>
  <si>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</si>
  <si>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</si>
  <si>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</si>
  <si>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</si>
  <si>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</si>
  <si>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</si>
  <si>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</si>
  <si>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</si>
  <si>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</si>
  <si>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</si>
  <si>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</si>
  <si>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</si>
  <si>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</si>
  <si>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</si>
  <si>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</si>
  <si>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</si>
  <si>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</si>
  <si>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</si>
  <si>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</si>
  <si>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</si>
  <si>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</si>
  <si>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</si>
  <si>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</si>
  <si>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</si>
  <si>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</si>
  <si>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</si>
  <si>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</si>
  <si>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</si>
  <si>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</si>
  <si>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</si>
  <si>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</si>
  <si>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</si>
  <si>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</si>
  <si>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</si>
  <si>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</si>
  <si>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</si>
  <si>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</si>
  <si>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</si>
  <si>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</si>
  <si>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</si>
  <si>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</si>
  <si>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</si>
  <si>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</si>
  <si>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</si>
  <si>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</si>
  <si>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</si>
  <si>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</si>
  <si>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</si>
  <si>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</si>
  <si>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</si>
  <si>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</si>
  <si>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</si>
  <si>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</si>
  <si>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</si>
  <si>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</si>
  <si>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</si>
  <si>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</si>
  <si>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</si>
  <si>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</si>
  <si>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</si>
  <si>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</si>
  <si>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</si>
  <si>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</si>
  <si>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</si>
  <si>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</si>
  <si>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</si>
  <si>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</si>
  <si>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</si>
  <si>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</si>
  <si>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</si>
  <si>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</si>
  <si>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</si>
  <si>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</si>
  <si>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</si>
  <si>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</si>
  <si>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</si>
  <si>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</si>
  <si>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</si>
  <si>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</si>
  <si>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</si>
  <si>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</si>
  <si>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</si>
  <si>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</si>
  <si>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</si>
  <si>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</si>
  <si>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</si>
  <si>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</si>
  <si>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</si>
  <si>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</si>
  <si>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</si>
  <si>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</si>
  <si>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</si>
  <si>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</si>
  <si>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</si>
  <si>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</si>
  <si>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</si>
  <si>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</si>
  <si>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</si>
  <si>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</si>
  <si>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</si>
  <si>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</si>
  <si>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</si>
  <si>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</si>
  <si>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</si>
  <si>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</si>
  <si>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</si>
  <si>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</si>
  <si>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</si>
  <si>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</si>
  <si>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</si>
  <si>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</si>
  <si>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</si>
  <si>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</si>
  <si>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</si>
  <si>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</si>
  <si>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</si>
  <si>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</si>
  <si>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</si>
  <si>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</si>
  <si>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</si>
  <si>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</si>
  <si>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</si>
  <si>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</si>
  <si>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</si>
  <si>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</si>
  <si>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</si>
  <si>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</si>
  <si>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</si>
  <si>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</si>
  <si>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</si>
  <si>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</si>
  <si>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</si>
  <si>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</si>
  <si>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</si>
  <si>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</si>
  <si>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</si>
  <si>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</si>
  <si>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</si>
  <si>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</si>
  <si>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</si>
  <si>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</si>
  <si>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</si>
  <si>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</si>
  <si>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</si>
  <si>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</si>
  <si>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</si>
  <si>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</si>
  <si>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</si>
  <si>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</si>
  <si>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</si>
  <si>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</si>
  <si>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</si>
  <si>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</si>
  <si>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</si>
  <si>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</si>
  <si>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</si>
  <si>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</si>
  <si>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</si>
  <si>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</si>
  <si>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</si>
  <si>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</si>
  <si>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</si>
  <si>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</si>
  <si>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</si>
  <si>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</si>
  <si>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</si>
  <si>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</si>
  <si>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</si>
  <si>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</si>
  <si>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</si>
  <si>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</si>
  <si>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</si>
  <si>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</si>
  <si>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</si>
  <si>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</si>
  <si>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</si>
  <si>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</si>
  <si>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</si>
  <si>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</si>
  <si>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</si>
  <si>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</si>
  <si>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</si>
  <si>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</si>
  <si>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</si>
  <si>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</si>
  <si>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</si>
  <si>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</si>
  <si>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</si>
  <si>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</si>
  <si>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</si>
  <si>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</si>
  <si>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</si>
  <si>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</si>
  <si>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</si>
  <si>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</si>
  <si>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</si>
  <si>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</si>
  <si>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</si>
  <si>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</si>
  <si>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</si>
  <si>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</si>
  <si>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</si>
  <si>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</si>
  <si>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</si>
  <si>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</si>
  <si>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</si>
  <si>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</si>
  <si>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</si>
  <si>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</si>
  <si>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</si>
  <si>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</si>
  <si>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</si>
  <si>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</si>
  <si>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</si>
  <si>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</si>
  <si>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</si>
  <si>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</si>
  <si>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</si>
  <si>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</si>
  <si>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</si>
  <si>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</si>
  <si>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</si>
  <si>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</si>
  <si>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</si>
  <si>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</si>
  <si>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</si>
  <si>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</si>
  <si>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</si>
  <si>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</si>
  <si>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</si>
  <si>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</si>
  <si>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</si>
  <si>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</si>
  <si>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</si>
  <si>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</si>
  <si>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</si>
  <si>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</si>
  <si>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</si>
  <si>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</si>
  <si>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</si>
  <si>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</si>
  <si>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</si>
  <si>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</si>
  <si>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</si>
  <si>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</si>
  <si>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</si>
  <si>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</si>
  <si>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</si>
  <si>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</si>
  <si>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</si>
  <si>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</si>
  <si>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</si>
  <si>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</si>
  <si>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</si>
  <si>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</si>
  <si>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</si>
  <si>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</si>
  <si>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</si>
  <si>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</si>
  <si>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</si>
  <si>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</si>
  <si>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</si>
  <si>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</si>
  <si>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</si>
  <si>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</si>
  <si>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</si>
  <si>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</si>
  <si>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</si>
  <si>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</si>
  <si>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</si>
  <si>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</si>
  <si>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</si>
  <si>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</si>
  <si>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</si>
  <si>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</si>
  <si>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</si>
  <si>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</si>
  <si>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</si>
  <si>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</si>
  <si>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</si>
  <si>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</si>
  <si>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</si>
  <si>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</si>
  <si>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</si>
  <si>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</si>
  <si>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</si>
  <si>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</si>
  <si>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</si>
  <si>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</si>
  <si>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</si>
  <si>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</si>
  <si>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</si>
  <si>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</si>
  <si>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</si>
  <si>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</si>
  <si>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</si>
  <si>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</si>
  <si>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</si>
  <si>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</si>
  <si>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</si>
  <si>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</si>
  <si>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</si>
  <si>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</si>
  <si>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</si>
  <si>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</si>
  <si>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</si>
  <si>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</si>
  <si>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</si>
  <si>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</si>
  <si>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</si>
  <si>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</si>
  <si>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</si>
  <si>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</si>
  <si>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</si>
  <si>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</si>
  <si>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</si>
  <si>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</si>
  <si>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</si>
  <si>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</si>
  <si>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</si>
  <si>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</si>
  <si>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</si>
  <si>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</si>
  <si>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</si>
  <si>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</si>
  <si>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</si>
  <si>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</si>
  <si>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</si>
  <si>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</si>
  <si>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</si>
  <si>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</si>
  <si>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</si>
  <si>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</si>
  <si>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</si>
  <si>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</si>
  <si>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</si>
  <si>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</si>
  <si>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</si>
  <si>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</si>
  <si>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</si>
  <si>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</si>
  <si>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</si>
  <si>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</si>
  <si>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</si>
  <si>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</si>
  <si>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</si>
  <si>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</si>
  <si>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</si>
  <si>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</si>
  <si>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</si>
  <si>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</si>
  <si>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</si>
  <si>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</si>
  <si>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</si>
  <si>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</si>
  <si>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</si>
  <si>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</si>
  <si>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</si>
  <si>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</si>
  <si>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</si>
  <si>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</si>
  <si>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</si>
  <si>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</si>
  <si>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</si>
  <si>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</si>
  <si>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</si>
  <si>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</si>
  <si>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</si>
  <si>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</si>
  <si>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</si>
  <si>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</si>
  <si>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</si>
  <si>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</si>
  <si>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</si>
  <si>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</si>
  <si>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</si>
  <si>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</si>
  <si>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</si>
  <si>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</si>
  <si>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</si>
  <si>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</si>
  <si>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</si>
  <si>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</si>
  <si>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</si>
  <si>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</si>
  <si>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</si>
  <si>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</si>
  <si>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</si>
  <si>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</si>
  <si>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</si>
  <si>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</si>
  <si>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</si>
  <si>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</si>
  <si>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</si>
  <si>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</si>
  <si>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</si>
  <si>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</si>
  <si>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</si>
  <si>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</si>
  <si>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</si>
  <si>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</si>
  <si>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</si>
  <si>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</si>
  <si>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</si>
  <si>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</si>
  <si>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</si>
  <si>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</si>
  <si>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</si>
  <si>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</si>
  <si>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</si>
  <si>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</si>
  <si>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</si>
  <si>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</si>
  <si>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</si>
  <si>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</si>
  <si>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</si>
  <si>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</si>
  <si>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</si>
  <si>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</si>
  <si>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</si>
  <si>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</si>
  <si>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</si>
  <si>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</si>
  <si>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</si>
  <si>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</si>
  <si>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</si>
  <si>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</si>
  <si>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</si>
  <si>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</si>
  <si>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</si>
  <si>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</si>
  <si>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</si>
  <si>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</si>
  <si>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</si>
  <si>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</si>
  <si>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</si>
  <si>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</si>
  <si>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</si>
  <si>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</si>
  <si>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</si>
  <si>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</si>
  <si>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</si>
  <si>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</si>
  <si>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</si>
  <si>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</si>
  <si>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</si>
  <si>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</si>
  <si>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</si>
  <si>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</si>
  <si>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</si>
  <si>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</si>
  <si>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</si>
  <si>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</si>
  <si>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</si>
  <si>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</si>
  <si>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</si>
  <si>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</si>
  <si>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</si>
  <si>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</si>
  <si>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</si>
  <si>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</si>
  <si>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</si>
  <si>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</si>
  <si>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</si>
  <si>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</si>
  <si>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</si>
  <si>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</si>
  <si>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</si>
  <si>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</si>
  <si>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</si>
  <si>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</si>
  <si>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</si>
  <si>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</si>
  <si>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</si>
  <si>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</si>
  <si>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</si>
  <si>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</si>
  <si>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</si>
  <si>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</si>
  <si>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</si>
  <si>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</si>
  <si>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</si>
  <si>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</si>
  <si>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</si>
  <si>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</si>
  <si>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</si>
  <si>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</si>
  <si>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</si>
  <si>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</si>
  <si>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</si>
  <si>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</si>
  <si>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</si>
  <si>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</si>
  <si>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</si>
  <si>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</si>
  <si>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</si>
  <si>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</si>
  <si>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</si>
  <si>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</si>
  <si>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</si>
  <si>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</si>
  <si>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</si>
  <si>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</si>
  <si>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</si>
  <si>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</si>
  <si>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</si>
  <si>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</si>
  <si>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</si>
  <si>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</si>
  <si>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</si>
  <si>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</si>
  <si>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</si>
  <si>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</si>
  <si>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</si>
  <si>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</si>
  <si>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</si>
  <si>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</si>
  <si>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</si>
  <si>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</si>
  <si>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</si>
  <si>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</si>
  <si>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</si>
  <si>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</si>
  <si>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</si>
  <si>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</si>
  <si>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</si>
  <si>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</si>
  <si>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</si>
  <si>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</si>
  <si>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</si>
  <si>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</si>
  <si>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</si>
  <si>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</si>
  <si>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</si>
  <si>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</si>
  <si>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</si>
  <si>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</si>
  <si>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</si>
  <si>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</si>
  <si>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</si>
  <si>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</si>
  <si>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</si>
  <si>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</si>
  <si>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</si>
  <si>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</si>
  <si>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</si>
  <si>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</si>
  <si>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</si>
  <si>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</si>
  <si>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</si>
  <si>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</si>
  <si>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</si>
  <si>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</si>
  <si>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</si>
  <si>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</si>
  <si>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</si>
  <si>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</si>
  <si>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</si>
  <si>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</si>
  <si>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</si>
  <si>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</si>
  <si>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</si>
  <si>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</si>
  <si>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</si>
  <si>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</si>
  <si>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</si>
  <si>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</si>
  <si>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</si>
  <si>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</si>
  <si>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</si>
  <si>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</si>
  <si>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</si>
  <si>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</si>
  <si>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</si>
  <si>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</si>
  <si>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</si>
  <si>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</si>
  <si>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</si>
  <si>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</si>
  <si>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</si>
  <si>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</si>
  <si>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</si>
  <si>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</si>
  <si>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</si>
  <si>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</si>
  <si>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</si>
  <si>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</si>
  <si>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</si>
  <si>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</si>
  <si>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</si>
  <si>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</si>
  <si>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</si>
  <si>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</si>
  <si>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</si>
  <si>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</si>
  <si>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</si>
  <si>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</si>
  <si>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</si>
  <si>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</si>
  <si>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</si>
  <si>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</si>
  <si>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</si>
  <si>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</si>
  <si>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</si>
  <si>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</si>
  <si>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</si>
  <si>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</si>
  <si>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</si>
  <si>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</si>
  <si>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</si>
  <si>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</si>
  <si>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</si>
  <si>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</si>
  <si>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</si>
  <si>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</si>
  <si>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</si>
  <si>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</si>
  <si>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</si>
  <si>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</si>
  <si>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</si>
  <si>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</si>
  <si>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</si>
  <si>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</si>
  <si>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</si>
  <si>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</si>
  <si>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</si>
  <si>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</si>
  <si>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</si>
  <si>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</si>
  <si>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</si>
  <si>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</si>
  <si>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</si>
  <si>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</si>
  <si>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</si>
  <si>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</si>
  <si>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</si>
  <si>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</si>
  <si>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</si>
  <si>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</si>
  <si>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</si>
  <si>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</si>
  <si>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</si>
  <si>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</si>
  <si>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</si>
  <si>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</si>
  <si>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</si>
  <si>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</si>
  <si>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</si>
  <si>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</si>
  <si>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</si>
  <si>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</si>
  <si>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</si>
  <si>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</si>
  <si>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</si>
  <si>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</si>
  <si>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</si>
  <si>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</si>
  <si>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</si>
  <si>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</si>
  <si>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</si>
  <si>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</si>
  <si>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</si>
  <si>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</si>
  <si>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</si>
  <si>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</si>
  <si>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</si>
  <si>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</si>
  <si>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</si>
  <si>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</si>
  <si>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</si>
  <si>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</si>
  <si>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</si>
  <si>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</si>
  <si>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</si>
  <si>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</si>
  <si>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</si>
  <si>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</si>
  <si>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</si>
  <si>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</si>
  <si>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</si>
  <si>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</si>
  <si>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</si>
  <si>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</si>
  <si>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</si>
  <si>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</si>
  <si>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</si>
  <si>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</si>
  <si>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</si>
  <si>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</si>
  <si>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</si>
  <si>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</si>
  <si>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</si>
  <si>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</si>
  <si>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</si>
  <si>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</si>
  <si>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</si>
  <si>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</si>
  <si>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</si>
  <si>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</si>
  <si>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</si>
  <si>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</si>
  <si>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</si>
  <si>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</si>
  <si>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</si>
  <si>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</si>
  <si>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</si>
  <si>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</si>
  <si>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</si>
  <si>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</si>
  <si>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</si>
  <si>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</si>
  <si>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</si>
  <si>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</si>
  <si>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</si>
  <si>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</si>
  <si>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</si>
  <si>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</si>
  <si>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</si>
  <si>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</si>
  <si>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</si>
  <si>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</si>
  <si>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</si>
  <si>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</si>
  <si>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</si>
  <si>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</si>
  <si>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</si>
  <si>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</si>
  <si>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</si>
  <si>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</si>
  <si>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</si>
  <si>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</si>
  <si>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</si>
  <si>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</si>
  <si>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</si>
  <si>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</si>
  <si>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</si>
  <si>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</si>
  <si>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</si>
  <si>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</si>
  <si>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</si>
  <si>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</si>
  <si>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</si>
  <si>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</si>
  <si>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</si>
  <si>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</si>
  <si>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</si>
  <si>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</si>
  <si>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</si>
  <si>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</si>
  <si>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</si>
  <si>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</si>
  <si>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</si>
  <si>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</si>
  <si>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</si>
  <si>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</si>
  <si>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</si>
  <si>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</si>
  <si>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</si>
  <si>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</si>
  <si>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</si>
  <si>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</si>
  <si>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</si>
  <si>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</si>
  <si>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</si>
  <si>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</si>
  <si>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</si>
  <si>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</si>
  <si>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</si>
  <si>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</si>
  <si>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</si>
  <si>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</si>
  <si>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</si>
  <si>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</si>
  <si>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</si>
  <si>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</si>
  <si>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</si>
  <si>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</si>
  <si>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</si>
  <si>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</si>
  <si>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</si>
  <si>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</si>
  <si>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</si>
  <si>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</si>
  <si>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</si>
  <si>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</si>
  <si>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</si>
  <si>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</si>
  <si>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</si>
  <si>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</si>
  <si>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</si>
  <si>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</si>
  <si>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</si>
  <si>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</si>
  <si>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</si>
  <si>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</si>
  <si>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</si>
  <si>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</si>
  <si>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</si>
  <si>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</si>
  <si>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</si>
  <si>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</si>
  <si>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</si>
  <si>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</si>
  <si>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</si>
  <si>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</si>
  <si>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</si>
  <si>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</si>
  <si>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</si>
  <si>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</si>
  <si>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</si>
  <si>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</si>
  <si>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</si>
  <si>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</si>
  <si>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</si>
  <si>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</si>
  <si>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</si>
  <si>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</si>
  <si>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</si>
  <si>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</si>
  <si>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</si>
  <si>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</si>
  <si>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</si>
  <si>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</si>
  <si>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</si>
  <si>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</si>
  <si>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</si>
  <si>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</si>
  <si>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</si>
  <si>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</si>
  <si>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</si>
  <si>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</si>
  <si>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</si>
  <si>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</si>
  <si>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</si>
  <si>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</si>
  <si>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</si>
  <si>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</si>
  <si>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</si>
  <si>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</si>
  <si>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</si>
  <si>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</si>
  <si>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</si>
  <si>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</si>
  <si>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</si>
  <si>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</si>
  <si>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</si>
  <si>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</si>
  <si>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</si>
  <si>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</si>
  <si>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</si>
  <si>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</si>
  <si>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</si>
  <si>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</si>
  <si>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</si>
  <si>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</si>
  <si>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</si>
  <si>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</si>
  <si>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</si>
  <si>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</si>
  <si>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</si>
  <si>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</si>
  <si>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</si>
  <si>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</si>
  <si>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</si>
  <si>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</si>
  <si>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</si>
  <si>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</si>
  <si>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</si>
  <si>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</si>
  <si>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</si>
  <si>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</si>
  <si>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</si>
  <si>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</si>
  <si>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</si>
  <si>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</si>
  <si>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</si>
  <si>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</si>
  <si>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</si>
  <si>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</si>
  <si>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</si>
  <si>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</si>
  <si>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</si>
  <si>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</si>
  <si>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</si>
  <si>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</si>
  <si>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</si>
  <si>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</si>
  <si>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</si>
  <si>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</si>
  <si>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</si>
  <si>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</si>
  <si>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</si>
  <si>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</si>
  <si>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</si>
  <si>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</si>
  <si>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</si>
  <si>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</si>
  <si>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</si>
  <si>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</si>
  <si>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</si>
  <si>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</si>
  <si>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</si>
  <si>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</si>
  <si>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</si>
  <si>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</si>
  <si>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</si>
  <si>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</si>
  <si>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</si>
  <si>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</si>
  <si>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</si>
  <si>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</si>
  <si>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</si>
  <si>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</si>
  <si>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</si>
  <si>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</si>
  <si>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</si>
  <si>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</si>
  <si>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</si>
  <si>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</si>
  <si>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</si>
  <si>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</si>
  <si>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</si>
  <si>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</si>
  <si>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</si>
  <si>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</si>
  <si>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</si>
  <si>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</si>
  <si>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</si>
  <si>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</si>
  <si>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</si>
  <si>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</si>
  <si>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</si>
  <si>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</si>
  <si>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</si>
  <si>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</si>
  <si>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</si>
  <si>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</si>
  <si>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</si>
  <si>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</si>
  <si>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</si>
  <si>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</si>
  <si>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</si>
  <si>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</si>
  <si>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</si>
  <si>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</si>
  <si>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</si>
  <si>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</si>
  <si>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</si>
  <si>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</si>
  <si>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</si>
  <si>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</si>
  <si>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</si>
  <si>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</si>
  <si>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</si>
  <si>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</si>
  <si>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</si>
  <si>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</si>
  <si>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</si>
  <si>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</si>
  <si>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</si>
  <si>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</si>
  <si>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</si>
  <si>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</si>
  <si>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</si>
  <si>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</si>
  <si>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</si>
  <si>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</si>
  <si>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</si>
  <si>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</si>
  <si>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</si>
  <si>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</si>
  <si>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</si>
  <si>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</si>
  <si>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</si>
  <si>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</si>
  <si>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</si>
  <si>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</si>
  <si>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</si>
  <si>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</si>
  <si>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</si>
  <si>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</si>
  <si>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</si>
  <si>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</si>
  <si>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</si>
  <si>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</si>
  <si>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</si>
  <si>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</si>
  <si>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</si>
  <si>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</si>
  <si>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</si>
  <si>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</si>
  <si>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</si>
  <si>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</si>
  <si>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</si>
  <si>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</si>
  <si>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</si>
  <si>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</si>
  <si>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</si>
  <si>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</si>
  <si>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</si>
  <si>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</si>
  <si>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</si>
  <si>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</si>
  <si>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</si>
  <si>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</si>
  <si>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</si>
  <si>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</si>
  <si>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</si>
  <si>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</si>
  <si>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</si>
  <si>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</si>
  <si>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</si>
  <si>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</si>
  <si>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</si>
  <si>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</si>
  <si>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</si>
  <si>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</si>
  <si>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</si>
  <si>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</si>
  <si>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</si>
  <si>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</si>
  <si>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</si>
  <si>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</si>
  <si>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</si>
  <si>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</si>
  <si>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</si>
  <si>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</si>
  <si>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</si>
  <si>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</si>
  <si>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</si>
  <si>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</si>
  <si>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</si>
  <si>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</si>
  <si>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</si>
  <si>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</si>
  <si>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</si>
  <si>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</si>
  <si>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</si>
  <si>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</si>
  <si>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</si>
  <si>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</si>
  <si>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</si>
  <si>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</si>
  <si>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</si>
  <si>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</si>
  <si>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</si>
  <si>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</si>
  <si>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</si>
  <si>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</si>
  <si>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</si>
  <si>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</si>
  <si>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</si>
  <si>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</si>
  <si>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</si>
  <si>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</si>
  <si>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</si>
  <si>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</si>
  <si>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</si>
  <si>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</si>
  <si>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</si>
  <si>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</si>
  <si>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</si>
  <si>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</si>
  <si>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</si>
  <si>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</si>
  <si>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</si>
  <si>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</si>
  <si>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</si>
  <si>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</si>
  <si>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</si>
  <si>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</si>
  <si>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</si>
  <si>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</si>
  <si>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</si>
  <si>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</si>
  <si>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</si>
  <si>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</si>
  <si>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</si>
  <si>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</si>
  <si>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</si>
  <si>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</si>
  <si>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</si>
  <si>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</si>
  <si>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</si>
  <si>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</si>
  <si>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</si>
  <si>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</si>
  <si>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</si>
  <si>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</si>
  <si>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</si>
  <si>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</si>
  <si>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</si>
  <si>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</si>
  <si>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</si>
  <si>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</si>
  <si>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</si>
  <si>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</si>
  <si>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</si>
  <si>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</si>
  <si>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</si>
  <si>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</si>
  <si>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</si>
  <si>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</si>
  <si>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</si>
  <si>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</si>
  <si>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</si>
  <si>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</si>
  <si>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</si>
  <si>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</si>
  <si>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</si>
  <si>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</si>
  <si>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</si>
  <si>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</si>
  <si>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</si>
  <si>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</si>
  <si>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</si>
  <si>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</si>
  <si>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</si>
  <si>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</si>
  <si>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</si>
  <si>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</si>
  <si>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</si>
  <si>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</si>
  <si>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</si>
  <si>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</si>
  <si>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</si>
  <si>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</si>
  <si>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</si>
  <si>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</si>
  <si>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</si>
  <si>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</si>
  <si>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</si>
  <si>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</si>
  <si>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</si>
  <si>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</si>
  <si>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</si>
  <si>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</si>
  <si>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</si>
  <si>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</si>
  <si>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</si>
  <si>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</si>
  <si>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</si>
  <si>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</si>
  <si>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</si>
  <si>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</si>
  <si>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</si>
  <si>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</si>
  <si>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</si>
  <si>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</si>
  <si>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</si>
  <si>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</si>
  <si>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</si>
  <si>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</si>
  <si>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</si>
  <si>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</si>
  <si>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</si>
  <si>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</si>
  <si>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</si>
  <si>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</si>
  <si>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</si>
  <si>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</si>
  <si>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</si>
  <si>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</si>
  <si>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</si>
  <si>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</si>
  <si>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</si>
  <si>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</si>
  <si>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</si>
  <si>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</si>
  <si>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</si>
  <si>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</si>
  <si>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</si>
  <si>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</si>
  <si>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</si>
  <si>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</si>
  <si>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</si>
  <si>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</si>
  <si>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</si>
  <si>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</si>
  <si>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</si>
  <si>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</si>
  <si>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</si>
  <si>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</si>
  <si>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</si>
  <si>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</si>
  <si>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</si>
  <si>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</si>
  <si>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</si>
  <si>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</si>
  <si>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</si>
  <si>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</si>
  <si>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</si>
  <si>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</si>
  <si>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</si>
  <si>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</si>
  <si>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</si>
  <si>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</si>
  <si>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</si>
  <si>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</si>
  <si>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</si>
  <si>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</si>
  <si>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</si>
  <si>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</si>
  <si>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</si>
  <si>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</si>
  <si>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</si>
  <si>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</si>
  <si>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</si>
  <si>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</si>
  <si>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</si>
  <si>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</si>
  <si>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</si>
  <si>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</si>
  <si>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</si>
  <si>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</si>
  <si>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</si>
  <si>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</si>
  <si>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</si>
  <si>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</si>
  <si>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</si>
  <si>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</si>
  <si>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</si>
  <si>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</si>
  <si>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</si>
  <si>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</si>
  <si>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</si>
  <si>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</si>
  <si>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</si>
  <si>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</si>
  <si>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</si>
  <si>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</si>
  <si>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</si>
  <si>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</si>
  <si>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</si>
  <si>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</si>
  <si>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</si>
  <si>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</si>
  <si>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</si>
  <si>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</si>
  <si>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</si>
  <si>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</si>
  <si>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</si>
  <si>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</si>
  <si>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</si>
  <si>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</si>
  <si>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</si>
  <si>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</si>
  <si>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</si>
  <si>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</si>
  <si>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</si>
  <si>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</si>
  <si>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</si>
  <si>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</si>
  <si>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</si>
  <si>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</si>
  <si>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</si>
  <si>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</si>
  <si>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</si>
  <si>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</si>
  <si>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</si>
  <si>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</si>
  <si>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</si>
  <si>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</si>
  <si>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</si>
  <si>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</si>
  <si>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</si>
  <si>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</si>
  <si>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</si>
  <si>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</si>
  <si>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</si>
  <si>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</si>
  <si>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</si>
  <si>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</si>
  <si>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</si>
  <si>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</si>
  <si>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</si>
  <si>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</si>
  <si>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</si>
  <si>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</si>
  <si>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</si>
  <si>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</si>
  <si>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</si>
  <si>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</si>
  <si>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</si>
  <si>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</si>
  <si>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</si>
  <si>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</si>
  <si>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</si>
  <si>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</si>
  <si>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</si>
  <si>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</si>
  <si>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</si>
  <si>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</si>
  <si>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ORD-2502</t>
  </si>
  <si>
    <t>ORD-2503</t>
  </si>
  <si>
    <t>ORD-2504</t>
  </si>
  <si>
    <t>ORD-2505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</si>
  <si>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</si>
  <si>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</si>
  <si>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</si>
  <si>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</si>
  <si>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</si>
  <si>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</si>
  <si>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</si>
  <si>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</si>
  <si>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</si>
  <si>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</si>
  <si>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</si>
  <si>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ORD-2517</t>
  </si>
  <si>
    <t>ORD-2518</t>
  </si>
  <si>
    <t>ORD-2519</t>
  </si>
  <si>
    <t>ORD-2520</t>
  </si>
  <si>
    <t>ORD-2521</t>
  </si>
  <si>
    <t>ORD-2522</t>
  </si>
  <si>
    <t>ORD-2523</t>
  </si>
  <si>
    <t>ORD-2524</t>
  </si>
  <si>
    <t>ORD-2525</t>
  </si>
  <si>
    <t>ORD-2526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</si>
  <si>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</si>
  <si>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</si>
  <si>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</si>
  <si>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</si>
  <si>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</si>
  <si>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</si>
  <si>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</si>
  <si>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</si>
  <si>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</si>
  <si>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</si>
  <si>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</si>
  <si>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</si>
  <si>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ORD-2539</t>
  </si>
  <si>
    <t>ORD-2540</t>
  </si>
  <si>
    <t>ORD-2541</t>
  </si>
  <si>
    <t>ORD-2542</t>
  </si>
  <si>
    <t>ORD-2543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</si>
  <si>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</si>
  <si>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</si>
  <si>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</si>
  <si>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</si>
  <si>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</si>
  <si>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</si>
  <si>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</si>
  <si>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</si>
  <si>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</si>
  <si>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</si>
  <si>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</si>
  <si>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</si>
  <si>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</si>
  <si>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</si>
  <si>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</si>
  <si>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</si>
  <si>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</si>
  <si>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</si>
  <si>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</si>
  <si>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</si>
  <si>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</si>
  <si>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ORD-2565</t>
  </si>
  <si>
    <t>ORD-2566</t>
  </si>
  <si>
    <t>ORD-2567</t>
  </si>
  <si>
    <t>ORD-2568</t>
  </si>
  <si>
    <t>ORD-2569</t>
  </si>
  <si>
    <t>ORD-2570</t>
  </si>
  <si>
    <t>ORD-2571</t>
  </si>
  <si>
    <t>ORD-2572</t>
  </si>
  <si>
    <t>ORD-2573</t>
  </si>
  <si>
    <t>ORD-2574</t>
  </si>
  <si>
    <t>ORD-2575</t>
  </si>
  <si>
    <t>ORD-2576</t>
  </si>
  <si>
    <t>ORD-2577</t>
  </si>
  <si>
    <t>ORD-2578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</si>
  <si>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</si>
  <si>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</si>
  <si>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</si>
  <si>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</si>
  <si>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</si>
  <si>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</si>
  <si>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</si>
  <si>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</si>
  <si>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</si>
  <si>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</si>
  <si>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</si>
  <si>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</si>
  <si>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</si>
  <si>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</si>
  <si>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ORD-2593</t>
  </si>
  <si>
    <t>ORD-2594</t>
  </si>
  <si>
    <t>ORD-2595</t>
  </si>
  <si>
    <t>ORD-2596</t>
  </si>
  <si>
    <t>ORD-2597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</si>
  <si>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</si>
  <si>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</si>
  <si>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</si>
  <si>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</si>
  <si>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</si>
  <si>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</si>
  <si>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</si>
  <si>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</si>
  <si>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</si>
  <si>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</si>
  <si>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ORD-2608</t>
  </si>
  <si>
    <t>ORD-2609</t>
  </si>
  <si>
    <t>ORD-2610</t>
  </si>
  <si>
    <t>ORD-2611</t>
  </si>
  <si>
    <t>ORD-2612</t>
  </si>
  <si>
    <t>ORD-2613</t>
  </si>
  <si>
    <t>ORD-2614</t>
  </si>
  <si>
    <t>ORD-2615</t>
  </si>
  <si>
    <t>ORD-2616</t>
  </si>
  <si>
    <t>ORD-2617</t>
  </si>
  <si>
    <t>ORD-2618</t>
  </si>
  <si>
    <t>ORD-2619</t>
  </si>
  <si>
    <t>ORD-2620</t>
  </si>
  <si>
    <t>ORD-2621</t>
  </si>
  <si>
    <t>ORD-2622</t>
  </si>
  <si>
    <t>ORD-2623</t>
  </si>
  <si>
    <t>ORD-2624</t>
  </si>
  <si>
    <t>ORD-2625</t>
  </si>
  <si>
    <t>ORD-2626</t>
  </si>
  <si>
    <t>ORD-2627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</si>
  <si>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</si>
  <si>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</si>
  <si>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</si>
  <si>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</si>
  <si>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</si>
  <si>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</si>
  <si>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</si>
  <si>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</si>
  <si>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ORD-2636</t>
  </si>
  <si>
    <t>ORD-2637</t>
  </si>
  <si>
    <t>ORD-2638</t>
  </si>
  <si>
    <t>ORD-2639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</si>
  <si>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</si>
  <si>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</si>
  <si>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</si>
  <si>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</si>
  <si>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</si>
  <si>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</si>
  <si>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</si>
  <si>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</si>
  <si>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</si>
  <si>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</si>
  <si>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</si>
  <si>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</si>
  <si>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</si>
  <si>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</si>
  <si>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</si>
  <si>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</si>
  <si>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</si>
  <si>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</si>
  <si>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</si>
  <si>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</si>
  <si>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</si>
  <si>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</si>
  <si>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ORD-2662</t>
  </si>
  <si>
    <t>ORD-2663</t>
  </si>
  <si>
    <t>ORD-2664</t>
  </si>
  <si>
    <t>ORD-2665</t>
  </si>
  <si>
    <t>ORD-2666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</si>
  <si>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</si>
  <si>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</si>
  <si>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</si>
  <si>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</si>
  <si>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</si>
  <si>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</si>
  <si>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</si>
  <si>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</si>
  <si>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</si>
  <si>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</si>
  <si>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</si>
  <si>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</si>
  <si>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</si>
  <si>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ORD-2680</t>
  </si>
  <si>
    <t>ORD-2681</t>
  </si>
  <si>
    <t>ORD-2682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</si>
  <si>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</si>
  <si>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</si>
  <si>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</si>
  <si>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</si>
  <si>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</si>
  <si>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</si>
  <si>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</si>
  <si>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</si>
  <si>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</si>
  <si>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</si>
  <si>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</si>
  <si>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</si>
  <si>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</si>
  <si>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</si>
  <si>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ORD-2697</t>
  </si>
  <si>
    <t>ORD-2698</t>
  </si>
  <si>
    <t>ORD-2699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</si>
  <si>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</si>
  <si>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</si>
  <si>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</si>
  <si>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</si>
  <si>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</si>
  <si>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</si>
  <si>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</si>
  <si>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</si>
  <si>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</si>
  <si>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</si>
  <si>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</si>
  <si>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</si>
  <si>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</si>
  <si>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</si>
  <si>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ORD-2714</t>
  </si>
  <si>
    <t>ORD-2715</t>
  </si>
  <si>
    <t>ORD-2716</t>
  </si>
  <si>
    <t>ORD-2717</t>
  </si>
  <si>
    <t>ORD-2718</t>
  </si>
  <si>
    <t>ORD-2719</t>
  </si>
  <si>
    <t>ORD-2720</t>
  </si>
  <si>
    <t>ORD-2721</t>
  </si>
  <si>
    <t>ORD-2722</t>
  </si>
  <si>
    <t>ORD-2723</t>
  </si>
  <si>
    <t>ORD-2724</t>
  </si>
  <si>
    <t>ORD-2725</t>
  </si>
  <si>
    <t>ORD-2726</t>
  </si>
  <si>
    <t>ORD-2727</t>
  </si>
  <si>
    <t>ORD-2728</t>
  </si>
  <si>
    <t>ORD-2729</t>
  </si>
  <si>
    <t>ORD-2730</t>
  </si>
  <si>
    <t>ORD-2731</t>
  </si>
  <si>
    <t>ORD-2732</t>
  </si>
  <si>
    <t>ORD-2733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</si>
  <si>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</si>
  <si>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</si>
  <si>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</si>
  <si>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</si>
  <si>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</si>
  <si>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</si>
  <si>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</si>
  <si>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</si>
  <si>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ORD-2742</t>
  </si>
  <si>
    <t>ORD-2743</t>
  </si>
  <si>
    <t>ORD-2744</t>
  </si>
  <si>
    <t>ORD-2745</t>
  </si>
  <si>
    <t>ORD-2746</t>
  </si>
  <si>
    <t>ORD-2747</t>
  </si>
  <si>
    <t>ORD-2748</t>
  </si>
  <si>
    <t>ORD-2749</t>
  </si>
  <si>
    <t>ORD-2750</t>
  </si>
  <si>
    <t>ORD-2751</t>
  </si>
  <si>
    <t>ORD-2752</t>
  </si>
  <si>
    <t>ORD-2753</t>
  </si>
  <si>
    <t>ORD-2754</t>
  </si>
  <si>
    <t>ORD-2755</t>
  </si>
  <si>
    <t>ORD-2756</t>
  </si>
  <si>
    <t>ORD-2757</t>
  </si>
  <si>
    <t>ORD-2758</t>
  </si>
  <si>
    <t>ORD-2759</t>
  </si>
  <si>
    <t>ORD-2760</t>
  </si>
  <si>
    <t>ORD-2761</t>
  </si>
  <si>
    <t>ORD-2762</t>
  </si>
  <si>
    <t>ORD-2763</t>
  </si>
  <si>
    <t>ORD-2764</t>
  </si>
  <si>
    <t>ORD-2765</t>
  </si>
  <si>
    <t>ORD-2766</t>
  </si>
  <si>
    <t>ORD-2767</t>
  </si>
  <si>
    <t>ORD-2768</t>
  </si>
  <si>
    <t>ORD-2769</t>
  </si>
  <si>
    <t>ORD-2770</t>
  </si>
  <si>
    <t>ORD-2771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</si>
  <si>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</si>
  <si>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</si>
  <si>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</si>
  <si>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</si>
  <si>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</si>
  <si>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</si>
  <si>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</si>
  <si>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</si>
  <si>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</si>
  <si>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</si>
  <si>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ORD-2782</t>
  </si>
  <si>
    <t>ORD-2783</t>
  </si>
  <si>
    <t>ORD-2784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</si>
  <si>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</si>
  <si>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</si>
  <si>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</si>
  <si>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</si>
  <si>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</si>
  <si>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</si>
  <si>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</si>
  <si>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</si>
  <si>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</si>
  <si>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</si>
  <si>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</si>
  <si>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ORD-2796</t>
  </si>
  <si>
    <t>ORD-2797</t>
  </si>
  <si>
    <t>ORD-2798</t>
  </si>
  <si>
    <t>ORD-2799</t>
  </si>
  <si>
    <t>ORD-2800</t>
  </si>
  <si>
    <t>ORD-2801</t>
  </si>
  <si>
    <t>ORD-2802</t>
  </si>
  <si>
    <t>ORD-2803</t>
  </si>
  <si>
    <t>ORD-2804</t>
  </si>
  <si>
    <t>ORD-2805</t>
  </si>
  <si>
    <t>ORD-2806</t>
  </si>
  <si>
    <t>ORD-2807</t>
  </si>
  <si>
    <t>ORD-2808</t>
  </si>
  <si>
    <t>ORD-2809</t>
  </si>
  <si>
    <t>ORD-2810</t>
  </si>
  <si>
    <t>ORD-2811</t>
  </si>
  <si>
    <t>ORD-2812</t>
  </si>
  <si>
    <t>ORD-2813</t>
  </si>
  <si>
    <t>ORD-2814</t>
  </si>
  <si>
    <t>ORD-2815</t>
  </si>
  <si>
    <t>ORD-2816</t>
  </si>
  <si>
    <t>ORD-2817</t>
  </si>
  <si>
    <t>ORD-2818</t>
  </si>
  <si>
    <t>ORD-2819</t>
  </si>
  <si>
    <t>ORD-2820</t>
  </si>
  <si>
    <t>ORD-2821</t>
  </si>
  <si>
    <t>ORD-2822</t>
  </si>
  <si>
    <t>ORD-2823</t>
  </si>
  <si>
    <t>ORD-2824</t>
  </si>
  <si>
    <t>stock_on_hand</t>
  </si>
  <si>
    <t>holding_cost_per_unit</t>
  </si>
  <si>
    <t>total_daily_holding_cost</t>
  </si>
  <si>
    <t>supplier_lead_time_days</t>
  </si>
  <si>
    <t>restock_arrived</t>
  </si>
  <si>
    <t>Row Labels</t>
  </si>
  <si>
    <t>Grand Total</t>
  </si>
  <si>
    <t>Sum of total_daily_holding_cost</t>
  </si>
  <si>
    <t>Count of stock_on_hand</t>
  </si>
  <si>
    <t>Is_Stockout</t>
  </si>
  <si>
    <t>Sum of Is_Stockout</t>
  </si>
  <si>
    <t>Table AI improvement %</t>
  </si>
  <si>
    <t>Product ID</t>
  </si>
  <si>
    <t>Current Annual Holding cost</t>
  </si>
  <si>
    <t>Total Stockout Days</t>
  </si>
  <si>
    <t>Est. Lost Revenue</t>
  </si>
  <si>
    <t>Stockout penalty factor/ Lost Sale Multiplier</t>
  </si>
  <si>
    <t xml:space="preserve">Target Holding Cost </t>
  </si>
  <si>
    <t>Projected Savings</t>
  </si>
  <si>
    <t>average of daily sales</t>
  </si>
  <si>
    <t>unit price</t>
  </si>
  <si>
    <t>1.5</t>
  </si>
  <si>
    <t>Avg, Unit price</t>
  </si>
  <si>
    <t>Average of units_sold</t>
  </si>
  <si>
    <t>Average of unit_price</t>
  </si>
  <si>
    <t>Stockout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</si>
</sst>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4" xfId="0" applyFill="1" applyBorder="1"/>
    <xf numFmtId="0" fontId="0" fillId="0" borderId="4" xfId="0" applyBorder="1"/>
    <xf numFmtId="2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9" fontId="0" fillId="0" borderId="0" xfId="1" applyFont="1"/>
    <xf numFmtId="0" fontId="0" fillId="2" borderId="3" xfId="0" applyFill="1" applyBorder="1"/>
    <xf numFmtId="0" fontId="0" fillId="0" borderId="3" xfId="0" applyBorder="1"/>
    <xf numFmtId="0" fontId="2" fillId="3" borderId="5" xfId="0" applyFont="1" applyFill="1" applyBorder="1"/>
    <xf numFmtId="0" fontId="2" fillId="3" borderId="1" xfId="0" applyFont="1" applyFill="1" applyBorder="1"/>
    <xf numFmtId="0" fontId="0" fillId="2" borderId="2" xfId="0" applyFill="1" applyBorder="1"/>
    <xf numFmtId="0" fontId="0" fillId="2" borderId="6" xfId="0" applyFill="1" applyBorder="1"/>
  </cellXfs>
  <cellStyles count="2">
    <cellStyle name="Normal" xfId="0" builtinId="0"/>
    <cellStyle name="Percent" xfId="1" builtinId="5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&quot;₹&quot;\ #,##0.0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numFmt numFmtId="2" formatCode="0.00"/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[EcoMart.xlsx]Financial_Analysis!PivotTable8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4444444444444446E-2"/>
              <c:y val="-1.38888888888889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2777777777777778E-2"/>
              <c:y val="-3.2407407407407489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0277777777777778"/>
              <c:y val="-1.6975112544026657E-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1111111111111112E-2"/>
              <c:y val="0.12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77777777777777"/>
              <c:y val="3.240740740740738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Financial_Analysis!$B$13</c:f>
              <c:strCache>
                <c:ptCount val="1"/>
                <c:pt idx="0">
                  <c:v>Average of units_sold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D7A-4A6C-BE91-DEB75C4CBF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7A-4A6C-BE91-DEB75C4CBF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7A-4A6C-BE91-DEB75C4CBF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D7A-4A6C-BE91-DEB75C4CBF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D7A-4A6C-BE91-DEB75C4CBF71}"/>
              </c:ext>
            </c:extLst>
          </c:dPt>
          <c:dLbls>
            <c:dLbl>
              <c:idx val="0"/>
              <c:layout>
                <c:manualLayout>
                  <c:x val="4.4444444444444446E-2"/>
                  <c:y val="-1.38888888888889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7A-4A6C-BE91-DEB75C4CBF71}"/>
                </c:ext>
              </c:extLst>
            </c:dLbl>
            <c:dLbl>
              <c:idx val="1"/>
              <c:layout>
                <c:manualLayout>
                  <c:x val="5.2777777777777778E-2"/>
                  <c:y val="-3.240740740740748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7A-4A6C-BE91-DEB75C4CBF71}"/>
                </c:ext>
              </c:extLst>
            </c:dLbl>
            <c:dLbl>
              <c:idx val="2"/>
              <c:layout>
                <c:manualLayout>
                  <c:x val="0.20277777777777778"/>
                  <c:y val="-1.6975112544026657E-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7A-4A6C-BE91-DEB75C4CBF71}"/>
                </c:ext>
              </c:extLst>
            </c:dLbl>
            <c:dLbl>
              <c:idx val="3"/>
              <c:layout>
                <c:manualLayout>
                  <c:x val="-1.1111111111111112E-2"/>
                  <c:y val="0.12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D7A-4A6C-BE91-DEB75C4CBF71}"/>
                </c:ext>
              </c:extLst>
            </c:dLbl>
            <c:dLbl>
              <c:idx val="4"/>
              <c:layout>
                <c:manualLayout>
                  <c:x val="-0.10277777777777777"/>
                  <c:y val="3.240740740740738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D7A-4A6C-BE91-DEB75C4CBF7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Financial_Analysis!$A$14:$A$19</c:f>
              <c:strCache>
                <c:ptCount val="5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  <c:pt idx="3">
                  <c:v>Perishables</c:v>
                </c:pt>
                <c:pt idx="4">
                  <c:v>Toys</c:v>
                </c:pt>
              </c:strCache>
            </c:strRef>
          </c:cat>
          <c:val>
            <c:numRef>
              <c:f>Financial_Analysis!$B$14:$B$19</c:f>
              <c:numCache>
                <c:formatCode>General</c:formatCode>
                <c:ptCount val="5"/>
                <c:pt idx="0">
                  <c:v>30.438356164383563</c:v>
                </c:pt>
                <c:pt idx="1">
                  <c:v>31.479452054794521</c:v>
                </c:pt>
                <c:pt idx="2">
                  <c:v>30.473972602739725</c:v>
                </c:pt>
                <c:pt idx="3">
                  <c:v>31.794520547945204</c:v>
                </c:pt>
                <c:pt idx="4">
                  <c:v>29.463013698630139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A-4A6C-BE91-DEB75C4CBF71}"/>
            </c:ext>
          </c:extLst>
        </c:ser>
        <c:ser>
          <c:idx val="1"/>
          <c:order val="1"/>
          <c:tx>
            <c:strRef>
              <c:f>Financial_Analysis!$C$13</c:f>
              <c:strCache>
                <c:ptCount val="1"/>
                <c:pt idx="0">
                  <c:v>Average of unit_price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A8A-484E-BDFB-FDFE25D629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A8A-484E-BDFB-FDFE25D629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A8A-484E-BDFB-FDFE25D629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A8A-484E-BDFB-FDFE25D6299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A8A-484E-BDFB-FDFE25D62990}"/>
              </c:ext>
            </c:extLst>
          </c:dPt>
          <c:cat>
            <c:strRef>
              <c:f>Financial_Analysis!$A$14:$A$19</c:f>
              <c:strCache>
                <c:ptCount val="5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  <c:pt idx="3">
                  <c:v>Perishables</c:v>
                </c:pt>
                <c:pt idx="4">
                  <c:v>Toys</c:v>
                </c:pt>
              </c:strCache>
            </c:strRef>
          </c:cat>
          <c:val>
            <c:numRef>
              <c:f>Financial_Analysis!$C$14:$C$19</c:f>
              <c:numCache>
                <c:formatCode>General</c:formatCode>
                <c:ptCount val="5"/>
                <c:pt idx="0">
                  <c:v>35</c:v>
                </c:pt>
                <c:pt idx="1">
                  <c:v>45</c:v>
                </c:pt>
                <c:pt idx="2">
                  <c:v>120</c:v>
                </c:pt>
                <c:pt idx="3">
                  <c:v>12.5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7A-4A6C-BE91-DEB75C4CB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[EcoMart.xlsx]Financial_Analysis!PivotTable2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90084388185654E-2"/>
              <c:y val="-5.27811611855460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746835443037975E-2"/>
              <c:y val="-2.84206252537556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3291139240506389E-2"/>
              <c:y val="-9.13520097442143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7.9819719924249979E-2"/>
                  <c:h val="4.5154587101703642E-2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4831223628691935E-2"/>
              <c:y val="-8.120178643930166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9662447257384009E-2"/>
              <c:y val="-5.88712951684937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7.7182589122562206E-2"/>
                  <c:h val="6.5455033711529054E-2"/>
                </c:manualLayout>
              </c15:layout>
            </c:ext>
          </c:extLst>
        </c:dLbl>
      </c:pivotFmt>
      <c:pivotFmt>
        <c:idx val="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0654008438818574E-2"/>
              <c:y val="6.49614291514414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7.4545458320874433E-2"/>
                  <c:h val="8.1695390999389397E-2"/>
                </c:manualLayout>
              </c15:layout>
            </c:ext>
          </c:extLst>
        </c:dLbl>
      </c:pivotFmt>
      <c:pivotFmt>
        <c:idx val="9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90084388185654E-2"/>
              <c:y val="-2.84206252537556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0008204588993902E-2"/>
              <c:y val="-2.84206252537555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4282700421941023E-2"/>
              <c:y val="-1.62403572878603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1.3293624715726923E-2"/>
              <c:y val="-2.03004466098254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1.5822784810126583E-2"/>
              <c:y val="-3.65408038976857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4.746835443037975E-2"/>
              <c:y val="-1.62403572878603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Financial_Analysis!$B$3</c:f>
              <c:strCache>
                <c:ptCount val="1"/>
                <c:pt idx="0">
                  <c:v>Sum of total_daily_holding_cost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A986-400A-A9BE-733FBC6095C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A986-400A-A9BE-733FBC6095C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A986-400A-A9BE-733FBC6095C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A986-400A-A9BE-733FBC6095C7}"/>
              </c:ext>
            </c:extLst>
          </c:dPt>
          <c:dLbls>
            <c:dLbl>
              <c:idx val="0"/>
              <c:layout>
                <c:manualLayout>
                  <c:x val="-2.90084388185654E-2"/>
                  <c:y val="-5.2781161185546079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86-400A-A9BE-733FBC6095C7}"/>
                </c:ext>
              </c:extLst>
            </c:dLbl>
            <c:dLbl>
              <c:idx val="1"/>
              <c:layout>
                <c:manualLayout>
                  <c:x val="-4.746835443037975E-2"/>
                  <c:y val="-2.8420625253755657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86-400A-A9BE-733FBC6095C7}"/>
                </c:ext>
              </c:extLst>
            </c:dLbl>
            <c:dLbl>
              <c:idx val="2"/>
              <c:layout>
                <c:manualLayout>
                  <c:x val="-4.4831223628691935E-2"/>
                  <c:y val="-8.1201786439301666E-3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986-400A-A9BE-733FBC6095C7}"/>
                </c:ext>
              </c:extLst>
            </c:dLbl>
            <c:dLbl>
              <c:idx val="4"/>
              <c:layout>
                <c:manualLayout>
                  <c:x val="-3.4282700421941023E-2"/>
                  <c:y val="-1.6240357287860333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986-400A-A9BE-733FBC6095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Financial_Analysis!$A$4:$A$9</c:f>
              <c:strCache>
                <c:ptCount val="5"/>
                <c:pt idx="0">
                  <c:v>P-101</c:v>
                </c:pt>
                <c:pt idx="1">
                  <c:v>P-102</c:v>
                </c:pt>
                <c:pt idx="2">
                  <c:v>P-103</c:v>
                </c:pt>
                <c:pt idx="3">
                  <c:v>P-104</c:v>
                </c:pt>
                <c:pt idx="4">
                  <c:v>P-105</c:v>
                </c:pt>
              </c:strCache>
            </c:strRef>
          </c:cat>
          <c:val>
            <c:numRef>
              <c:f>Financial_Analysis!$B$4:$B$9</c:f>
              <c:numCache>
                <c:formatCode>General</c:formatCode>
                <c:ptCount val="5"/>
                <c:pt idx="0">
                  <c:v>186.95000000000002</c:v>
                </c:pt>
                <c:pt idx="1">
                  <c:v>65.5</c:v>
                </c:pt>
                <c:pt idx="2">
                  <c:v>164.76</c:v>
                </c:pt>
                <c:pt idx="3">
                  <c:v>551.55000000000007</c:v>
                </c:pt>
                <c:pt idx="4">
                  <c:v>119.97000000000003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6-400A-A9BE-733FBC6095C7}"/>
            </c:ext>
          </c:extLst>
        </c:ser>
        <c:ser>
          <c:idx val="1"/>
          <c:order val="1"/>
          <c:tx>
            <c:strRef>
              <c:f>Financial_Analysis!$C$3</c:f>
              <c:strCache>
                <c:ptCount val="1"/>
                <c:pt idx="0">
                  <c:v>Count of stock_on_hand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986-400A-A9BE-733FBC6095C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986-400A-A9BE-733FBC6095C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986-400A-A9BE-733FBC6095C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986-400A-A9BE-733FBC6095C7}"/>
              </c:ext>
            </c:extLst>
          </c:dPt>
          <c:dLbls>
            <c:dLbl>
              <c:idx val="0"/>
              <c:layout>
                <c:manualLayout>
                  <c:x val="-4.746835443037975E-2"/>
                  <c:y val="-1.6240357287860333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986-400A-A9BE-733FBC6095C7}"/>
                </c:ext>
              </c:extLst>
            </c:dLbl>
            <c:dLbl>
              <c:idx val="1"/>
              <c:layout>
                <c:manualLayout>
                  <c:x val="-1.5822784810126583E-2"/>
                  <c:y val="-3.6540803897685749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986-400A-A9BE-733FBC6095C7}"/>
                </c:ext>
              </c:extLst>
            </c:dLbl>
            <c:dLbl>
              <c:idx val="3"/>
              <c:layout>
                <c:manualLayout>
                  <c:x val="1.0008204588993902E-2"/>
                  <c:y val="-2.8420625253755584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986-400A-A9BE-733FBC6095C7}"/>
                </c:ext>
              </c:extLst>
            </c:dLbl>
            <c:dLbl>
              <c:idx val="4"/>
              <c:layout>
                <c:manualLayout>
                  <c:x val="-1.3293624715726923E-2"/>
                  <c:y val="-2.0300446609825416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986-400A-A9BE-733FBC6095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Financial_Analysis!$A$4:$A$9</c:f>
              <c:strCache>
                <c:ptCount val="5"/>
                <c:pt idx="0">
                  <c:v>P-101</c:v>
                </c:pt>
                <c:pt idx="1">
                  <c:v>P-102</c:v>
                </c:pt>
                <c:pt idx="2">
                  <c:v>P-103</c:v>
                </c:pt>
                <c:pt idx="3">
                  <c:v>P-104</c:v>
                </c:pt>
                <c:pt idx="4">
                  <c:v>P-105</c:v>
                </c:pt>
              </c:strCache>
            </c:strRef>
          </c:cat>
          <c:val>
            <c:numRef>
              <c:f>Financial_Analysis!$C$4:$C$9</c:f>
              <c:numCache>
                <c:formatCode>General</c:formatCode>
                <c:ptCount val="5"/>
                <c:pt idx="0">
                  <c:v>365</c:v>
                </c:pt>
                <c:pt idx="1">
                  <c:v>365</c:v>
                </c:pt>
                <c:pt idx="2">
                  <c:v>365</c:v>
                </c:pt>
                <c:pt idx="3">
                  <c:v>365</c:v>
                </c:pt>
                <c:pt idx="4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86-400A-A9BE-733FBC609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7925855"/>
        <c:axId val="807930175"/>
      </c:barChart>
      <c:lineChart>
        <c:grouping val="standard"/>
        <c:varyColors val="0"/>
        <c:ser>
          <c:idx val="2"/>
          <c:order val="2"/>
          <c:tx>
            <c:strRef>
              <c:f>Financial_Analysis!$D$3</c:f>
              <c:strCache>
                <c:ptCount val="1"/>
                <c:pt idx="0">
                  <c:v>Sum of Is_Stockout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A986-400A-A9BE-733FBC6095C7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A986-400A-A9BE-733FBC6095C7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986-400A-A9BE-733FBC6095C7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A986-400A-A9BE-733FBC6095C7}"/>
              </c:ext>
            </c:extLst>
          </c:dPt>
          <c:dLbls>
            <c:dLbl>
              <c:idx val="0"/>
              <c:layout>
                <c:manualLayout>
                  <c:x val="-8.9662447257384009E-2"/>
                  <c:y val="-5.887129516849370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7182589122562206E-2"/>
                      <c:h val="6.545503371152905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A986-400A-A9BE-733FBC6095C7}"/>
                </c:ext>
              </c:extLst>
            </c:dLbl>
            <c:dLbl>
              <c:idx val="1"/>
              <c:layout>
                <c:manualLayout>
                  <c:x val="-6.3291139240506389E-2"/>
                  <c:y val="-9.135200974421436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9819719924249979E-2"/>
                      <c:h val="4.515458710170364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A986-400A-A9BE-733FBC6095C7}"/>
                </c:ext>
              </c:extLst>
            </c:dLbl>
            <c:dLbl>
              <c:idx val="2"/>
              <c:layout>
                <c:manualLayout>
                  <c:x val="-6.0654008438818574E-2"/>
                  <c:y val="6.49614291514414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4545458320874433E-2"/>
                      <c:h val="8.169539099938939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A986-400A-A9BE-733FBC6095C7}"/>
                </c:ext>
              </c:extLst>
            </c:dLbl>
            <c:dLbl>
              <c:idx val="3"/>
              <c:layout>
                <c:manualLayout>
                  <c:x val="-2.90084388185654E-2"/>
                  <c:y val="-2.8420625253755657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986-400A-A9BE-733FBC6095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Financial_Analysis!$A$4:$A$9</c:f>
              <c:strCache>
                <c:ptCount val="5"/>
                <c:pt idx="0">
                  <c:v>P-101</c:v>
                </c:pt>
                <c:pt idx="1">
                  <c:v>P-102</c:v>
                </c:pt>
                <c:pt idx="2">
                  <c:v>P-103</c:v>
                </c:pt>
                <c:pt idx="3">
                  <c:v>P-104</c:v>
                </c:pt>
                <c:pt idx="4">
                  <c:v>P-105</c:v>
                </c:pt>
              </c:strCache>
            </c:strRef>
          </c:cat>
          <c:val>
            <c:numRef>
              <c:f>Financial_Analysis!$D$4:$D$9</c:f>
              <c:numCache>
                <c:formatCode>General</c:formatCode>
                <c:ptCount val="5"/>
                <c:pt idx="0">
                  <c:v>26</c:v>
                </c:pt>
                <c:pt idx="1">
                  <c:v>11</c:v>
                </c:pt>
                <c:pt idx="2">
                  <c:v>12</c:v>
                </c:pt>
                <c:pt idx="3">
                  <c:v>15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86-400A-A9BE-733FBC609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934975"/>
        <c:axId val="807934495"/>
      </c:lineChart>
      <c:catAx>
        <c:axId val="80792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930175"/>
        <c:crosses val="autoZero"/>
        <c:auto val="1"/>
        <c:lblAlgn val="ctr"/>
        <c:lblOffset val="100"/>
        <c:noMultiLvlLbl val="0"/>
      </c:catAx>
      <c:valAx>
        <c:axId val="80793017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925855"/>
        <c:crosses val="autoZero"/>
        <c:crossBetween val="between"/>
      </c:valAx>
      <c:valAx>
        <c:axId val="8079344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934975"/>
        <c:crosses val="max"/>
        <c:crossBetween val="between"/>
      </c:valAx>
      <c:catAx>
        <c:axId val="8079349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079344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91223749284688993"/>
          <c:w val="1"/>
          <c:h val="8.4345318589134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Stockout</a:t>
            </a:r>
            <a:r>
              <a:rPr lang="en-IN" baseline="0"/>
              <a:t> Days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ROI_Calculator!$C$7:$C$11</c:f>
              <c:numCache>
                <c:formatCode>General</c:formatCode>
                <c:ptCount val="5"/>
                <c:pt idx="0">
                  <c:v>26</c:v>
                </c:pt>
                <c:pt idx="1">
                  <c:v>11</c:v>
                </c:pt>
                <c:pt idx="2">
                  <c:v>12</c:v>
                </c:pt>
                <c:pt idx="3">
                  <c:v>15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D-4C87-B75F-BAFA0EAF2E0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38"/>
        <c:axId val="725744767"/>
        <c:axId val="725738047"/>
      </c:barChart>
      <c:catAx>
        <c:axId val="72574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738047"/>
        <c:crosses val="autoZero"/>
        <c:auto val="1"/>
        <c:lblAlgn val="ctr"/>
        <c:lblOffset val="100"/>
        <c:noMultiLvlLbl val="0"/>
      </c:catAx>
      <c:valAx>
        <c:axId val="725738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744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Project</a:t>
            </a:r>
            <a:r>
              <a:rPr lang="en-IN" baseline="0"/>
              <a:t> Annual Saving via AI Inventory Optimization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ROI_Calculator!$F$6</c:f>
              <c:strCache>
                <c:ptCount val="1"/>
                <c:pt idx="0">
                  <c:v>Projected Savings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ROI_Calculator!$F$7:$F$11</c:f>
              <c:numCache>
                <c:formatCode>General</c:formatCode>
                <c:ptCount val="5"/>
                <c:pt idx="0">
                  <c:v>28.042500000000018</c:v>
                </c:pt>
                <c:pt idx="1">
                  <c:v>9.8250000000000028</c:v>
                </c:pt>
                <c:pt idx="2">
                  <c:v>24.713999999999999</c:v>
                </c:pt>
                <c:pt idx="3">
                  <c:v>82.732500000000016</c:v>
                </c:pt>
                <c:pt idx="4">
                  <c:v>17.995500000000007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56-41AC-BF4F-8B080AD026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51560719"/>
        <c:axId val="751563599"/>
      </c:barChart>
      <c:catAx>
        <c:axId val="751560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563599"/>
        <c:crosses val="autoZero"/>
        <c:auto val="1"/>
        <c:lblAlgn val="ctr"/>
        <c:lblOffset val="100"/>
        <c:noMultiLvlLbl val="0"/>
      </c:catAx>
      <c:valAx>
        <c:axId val="75156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560719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140970</xdr:rowOff>
    </xdr:from>
    <xdr:to>
      <xdr:col>10</xdr:col>
      <xdr:colOff>30480</xdr:colOff>
      <xdr:row>24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6132AE-AC8F-F922-F92E-3FE7C61AD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60960</xdr:colOff>
      <xdr:row>0</xdr:row>
      <xdr:rowOff>118110</xdr:rowOff>
    </xdr:from>
    <xdr:to>
      <xdr:col>18</xdr:col>
      <xdr:colOff>205740</xdr:colOff>
      <xdr:row>17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366BE8-941E-B3FA-ACA6-E702A3088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1623060</xdr:colOff>
      <xdr:row>11</xdr:row>
      <xdr:rowOff>72390</xdr:rowOff>
    </xdr:from>
    <xdr:to>
      <xdr:col>4</xdr:col>
      <xdr:colOff>7620</xdr:colOff>
      <xdr:row>26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310544-6D8B-F12B-B3E5-5A3B5843A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480060</xdr:colOff>
      <xdr:row>10</xdr:row>
      <xdr:rowOff>34290</xdr:rowOff>
    </xdr:from>
    <xdr:to>
      <xdr:col>12</xdr:col>
      <xdr:colOff>53340</xdr:colOff>
      <xdr:row>25</xdr:row>
      <xdr:rowOff>34290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472F28-661A-000D-6671-5AF2100C6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i Janghu" refreshedDate="46189.628984490744" createdVersion="8" refreshedVersion="8" minRefreshableVersion="3" recordCount="1825" xr:uid="{47E4164D-57A8-4F75-AD0D-4905547EEA7A}">
  <cacheSource type="worksheet">
    <worksheetSource name="inventory__Data"/>
  </cacheSource>
  <cacheFields count="8">
    <cacheField name="date" numFmtId="14">
      <sharedItems containsSemiMixedTypes="0" containsNonDate="0" containsDate="1" containsString="0" minDate="2025-01-01T00:00:00" maxDate="2026-01-01T00:00:00"/>
    </cacheField>
    <cacheField name="product_id" numFmtId="0">
      <sharedItems count="5">
        <s v="P-101"/>
        <s v="P-102"/>
        <s v="P-103"/>
        <s v="P-104"/>
        <s v="P-105"/>
      </sharedItems>
    </cacheField>
    <cacheField name="stock_on_hand" numFmtId="0">
      <sharedItems containsSemiMixedTypes="0" containsString="0" containsNumber="1" containsInteger="1" minValue="0" maxValue="901"/>
    </cacheField>
    <cacheField name="holding_cost_per_unit" numFmtId="0">
      <sharedItems containsSemiMixedTypes="0" containsString="0" containsNumber="1" minValue="0.02" maxValue="0.15"/>
    </cacheField>
    <cacheField name="total_daily_holding_cost" numFmtId="0">
      <sharedItems containsSemiMixedTypes="0" containsString="0" containsNumber="1" minValue="0" maxValue="68.7"/>
    </cacheField>
    <cacheField name="supplier_lead_time_days" numFmtId="0">
      <sharedItems containsSemiMixedTypes="0" containsString="0" containsNumber="1" containsInteger="1" minValue="2" maxValue="15"/>
    </cacheField>
    <cacheField name="restock_arrived" numFmtId="0">
      <sharedItems/>
    </cacheField>
    <cacheField name="Is_Stockou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i Janghu" refreshedDate="46189.628984953706" createdVersion="8" refreshedVersion="8" minRefreshableVersion="3" recordCount="1825" xr:uid="{3A5523EF-1AE8-4B08-809F-1E038C415160}">
  <cacheSource type="worksheet">
    <worksheetSource name="sales_Data"/>
  </cacheSource>
  <cacheFields count="10">
    <cacheField name="order_id" numFmtId="0">
      <sharedItems/>
    </cacheField>
    <cacheField name="date" numFmtId="14">
      <sharedItems containsSemiMixedTypes="0" containsNonDate="0" containsDate="1" containsString="0" minDate="2025-01-01T00:00:00" maxDate="2026-01-01T00:00:00"/>
    </cacheField>
    <cacheField name="product_id" numFmtId="0">
      <sharedItems count="5">
        <s v="P-101"/>
        <s v="P-102"/>
        <s v="P-103"/>
        <s v="P-104"/>
        <s v="P-105"/>
      </sharedItems>
    </cacheField>
    <cacheField name="category" numFmtId="0">
      <sharedItems count="5">
        <s v="Electronics"/>
        <s v="Perishables"/>
        <s v="Apparel"/>
        <s v="Home Goods"/>
        <s v="Toys"/>
      </sharedItems>
    </cacheField>
    <cacheField name="unit_price" numFmtId="0">
      <sharedItems containsSemiMixedTypes="0" containsString="0" containsNumber="1" minValue="12.5" maxValue="120"/>
    </cacheField>
    <cacheField name="units_sold" numFmtId="0">
      <sharedItems containsSemiMixedTypes="0" containsString="0" containsNumber="1" containsInteger="1" minValue="5" maxValue="73"/>
    </cacheField>
    <cacheField name="discount_applied" numFmtId="0">
      <sharedItems containsSemiMixedTypes="0" containsString="0" containsNumber="1" minValue="0" maxValue="0.2"/>
    </cacheField>
    <cacheField name="revenue_generated" numFmtId="0">
      <sharedItems containsSemiMixedTypes="0" containsString="0" containsNumber="1" minValue="56.25" maxValue="8640"/>
    </cacheField>
    <cacheField name="average of daily sales" numFmtId="0">
      <sharedItems containsSemiMixedTypes="0" containsString="0" containsNumber="1" minValue="29.463013698630139" maxValue="31.794520547945204"/>
    </cacheField>
    <cacheField name="Avg, Unit price" numFmtId="0">
      <sharedItems containsSemiMixedTypes="0" containsString="0" containsNumber="1" minValue="12.5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5">
  <r>
    <d v="2025-01-01T00:00:00"/>
    <x v="0"/>
    <n v="480"/>
    <n v="0.05"/>
    <n v="24"/>
    <n v="5"/>
    <b v="0"/>
    <n v="0"/>
  </r>
  <r>
    <d v="2025-01-01T00:00:00"/>
    <x v="1"/>
    <n v="460"/>
    <n v="0.02"/>
    <n v="9.1999999999999993"/>
    <n v="2"/>
    <b v="0"/>
    <n v="0"/>
  </r>
  <r>
    <d v="2025-01-01T00:00:00"/>
    <x v="2"/>
    <n v="495"/>
    <n v="0.04"/>
    <n v="19.8"/>
    <n v="2"/>
    <b v="0"/>
    <n v="0"/>
  </r>
  <r>
    <d v="2025-01-01T00:00:00"/>
    <x v="3"/>
    <n v="458"/>
    <n v="0.15"/>
    <n v="68.7"/>
    <n v="5"/>
    <b v="0"/>
    <n v="0"/>
  </r>
  <r>
    <d v="2025-01-01T00:00:00"/>
    <x v="4"/>
    <n v="463"/>
    <n v="0.03"/>
    <n v="13.89"/>
    <n v="2"/>
    <b v="0"/>
    <n v="0"/>
  </r>
  <r>
    <d v="2025-01-02T00:00:00"/>
    <x v="0"/>
    <n v="467"/>
    <n v="0.05"/>
    <n v="23.35"/>
    <n v="15"/>
    <b v="0"/>
    <n v="0"/>
  </r>
  <r>
    <d v="2025-01-02T00:00:00"/>
    <x v="1"/>
    <n v="419"/>
    <n v="0.02"/>
    <n v="8.3800000000000008"/>
    <n v="2"/>
    <b v="0"/>
    <n v="0"/>
  </r>
  <r>
    <d v="2025-01-02T00:00:00"/>
    <x v="2"/>
    <n v="467"/>
    <n v="0.04"/>
    <n v="18.68"/>
    <n v="2"/>
    <b v="0"/>
    <n v="0"/>
  </r>
  <r>
    <d v="2025-01-02T00:00:00"/>
    <x v="3"/>
    <n v="437"/>
    <n v="0.15"/>
    <n v="65.55"/>
    <n v="10"/>
    <b v="0"/>
    <n v="0"/>
  </r>
  <r>
    <d v="2025-01-02T00:00:00"/>
    <x v="4"/>
    <n v="423"/>
    <n v="0.03"/>
    <n v="12.69"/>
    <n v="2"/>
    <b v="0"/>
    <n v="0"/>
  </r>
  <r>
    <d v="2025-01-03T00:00:00"/>
    <x v="0"/>
    <n v="444"/>
    <n v="0.05"/>
    <n v="22.2"/>
    <n v="5"/>
    <b v="0"/>
    <n v="0"/>
  </r>
  <r>
    <d v="2025-01-03T00:00:00"/>
    <x v="1"/>
    <n v="396"/>
    <n v="0.02"/>
    <n v="7.92"/>
    <n v="2"/>
    <b v="0"/>
    <n v="0"/>
  </r>
  <r>
    <d v="2025-01-03T00:00:00"/>
    <x v="2"/>
    <n v="445"/>
    <n v="0.04"/>
    <n v="17.8"/>
    <n v="5"/>
    <b v="0"/>
    <n v="0"/>
  </r>
  <r>
    <d v="2025-01-03T00:00:00"/>
    <x v="3"/>
    <n v="410"/>
    <n v="0.15"/>
    <n v="61.5"/>
    <n v="2"/>
    <b v="0"/>
    <n v="0"/>
  </r>
  <r>
    <d v="2025-01-03T00:00:00"/>
    <x v="4"/>
    <n v="410"/>
    <n v="0.03"/>
    <n v="12.3"/>
    <n v="2"/>
    <b v="0"/>
    <n v="0"/>
  </r>
  <r>
    <d v="2025-01-04T00:00:00"/>
    <x v="0"/>
    <n v="381"/>
    <n v="0.05"/>
    <n v="19.05"/>
    <n v="2"/>
    <b v="0"/>
    <n v="0"/>
  </r>
  <r>
    <d v="2025-01-04T00:00:00"/>
    <x v="1"/>
    <n v="333"/>
    <n v="0.02"/>
    <n v="6.66"/>
    <n v="10"/>
    <b v="0"/>
    <n v="0"/>
  </r>
  <r>
    <d v="2025-01-04T00:00:00"/>
    <x v="2"/>
    <n v="379"/>
    <n v="0.04"/>
    <n v="15.16"/>
    <n v="2"/>
    <b v="0"/>
    <n v="0"/>
  </r>
  <r>
    <d v="2025-01-04T00:00:00"/>
    <x v="3"/>
    <n v="379"/>
    <n v="0.15"/>
    <n v="56.85"/>
    <n v="5"/>
    <b v="0"/>
    <n v="0"/>
  </r>
  <r>
    <d v="2025-01-04T00:00:00"/>
    <x v="4"/>
    <n v="368"/>
    <n v="0.03"/>
    <n v="11.04"/>
    <n v="2"/>
    <b v="0"/>
    <n v="0"/>
  </r>
  <r>
    <d v="2025-01-05T00:00:00"/>
    <x v="0"/>
    <n v="374"/>
    <n v="0.05"/>
    <n v="18.7"/>
    <n v="5"/>
    <b v="0"/>
    <n v="0"/>
  </r>
  <r>
    <d v="2025-01-05T00:00:00"/>
    <x v="1"/>
    <n v="291"/>
    <n v="0.02"/>
    <n v="5.82"/>
    <n v="5"/>
    <b v="0"/>
    <n v="0"/>
  </r>
  <r>
    <d v="2025-01-05T00:00:00"/>
    <x v="2"/>
    <n v="349"/>
    <n v="0.04"/>
    <n v="13.96"/>
    <n v="2"/>
    <b v="0"/>
    <n v="0"/>
  </r>
  <r>
    <d v="2025-01-05T00:00:00"/>
    <x v="3"/>
    <n v="345"/>
    <n v="0.15"/>
    <n v="51.75"/>
    <n v="2"/>
    <b v="0"/>
    <n v="0"/>
  </r>
  <r>
    <d v="2025-01-05T00:00:00"/>
    <x v="4"/>
    <n v="305"/>
    <n v="0.03"/>
    <n v="9.15"/>
    <n v="2"/>
    <b v="0"/>
    <n v="0"/>
  </r>
  <r>
    <d v="2025-01-06T00:00:00"/>
    <x v="0"/>
    <n v="348"/>
    <n v="0.05"/>
    <n v="17.399999999999999"/>
    <n v="15"/>
    <b v="0"/>
    <n v="0"/>
  </r>
  <r>
    <d v="2025-01-06T00:00:00"/>
    <x v="1"/>
    <n v="260"/>
    <n v="0.02"/>
    <n v="5.2"/>
    <n v="10"/>
    <b v="0"/>
    <n v="0"/>
  </r>
  <r>
    <d v="2025-01-06T00:00:00"/>
    <x v="2"/>
    <n v="332"/>
    <n v="0.04"/>
    <n v="13.28"/>
    <n v="2"/>
    <b v="0"/>
    <n v="0"/>
  </r>
  <r>
    <d v="2025-01-06T00:00:00"/>
    <x v="3"/>
    <n v="322"/>
    <n v="0.15"/>
    <n v="48.3"/>
    <n v="5"/>
    <b v="0"/>
    <n v="0"/>
  </r>
  <r>
    <d v="2025-01-06T00:00:00"/>
    <x v="4"/>
    <n v="289"/>
    <n v="0.03"/>
    <n v="8.67"/>
    <n v="2"/>
    <b v="0"/>
    <n v="0"/>
  </r>
  <r>
    <d v="2025-01-07T00:00:00"/>
    <x v="0"/>
    <n v="300"/>
    <n v="0.05"/>
    <n v="15"/>
    <n v="5"/>
    <b v="0"/>
    <n v="0"/>
  </r>
  <r>
    <d v="2025-01-07T00:00:00"/>
    <x v="1"/>
    <n v="231"/>
    <n v="0.02"/>
    <n v="4.62"/>
    <n v="2"/>
    <b v="0"/>
    <n v="0"/>
  </r>
  <r>
    <d v="2025-01-07T00:00:00"/>
    <x v="2"/>
    <n v="284"/>
    <n v="0.04"/>
    <n v="11.36"/>
    <n v="5"/>
    <b v="0"/>
    <n v="0"/>
  </r>
  <r>
    <d v="2025-01-07T00:00:00"/>
    <x v="3"/>
    <n v="280"/>
    <n v="0.15"/>
    <n v="42"/>
    <n v="2"/>
    <b v="0"/>
    <n v="0"/>
  </r>
  <r>
    <d v="2025-01-07T00:00:00"/>
    <x v="4"/>
    <n v="249"/>
    <n v="0.03"/>
    <n v="7.47"/>
    <n v="2"/>
    <b v="0"/>
    <n v="0"/>
  </r>
  <r>
    <d v="2025-01-08T00:00:00"/>
    <x v="0"/>
    <n v="260"/>
    <n v="0.05"/>
    <n v="13"/>
    <n v="5"/>
    <b v="0"/>
    <n v="0"/>
  </r>
  <r>
    <d v="2025-01-08T00:00:00"/>
    <x v="1"/>
    <n v="213"/>
    <n v="0.02"/>
    <n v="4.26"/>
    <n v="2"/>
    <b v="0"/>
    <n v="0"/>
  </r>
  <r>
    <d v="2025-01-08T00:00:00"/>
    <x v="2"/>
    <n v="274"/>
    <n v="0.04"/>
    <n v="10.96"/>
    <n v="5"/>
    <b v="0"/>
    <n v="0"/>
  </r>
  <r>
    <d v="2025-01-08T00:00:00"/>
    <x v="3"/>
    <n v="255"/>
    <n v="0.15"/>
    <n v="38.25"/>
    <n v="2"/>
    <b v="0"/>
    <n v="0"/>
  </r>
  <r>
    <d v="2025-01-08T00:00:00"/>
    <x v="4"/>
    <n v="244"/>
    <n v="0.03"/>
    <n v="7.32"/>
    <n v="2"/>
    <b v="0"/>
    <n v="0"/>
  </r>
  <r>
    <d v="2025-01-09T00:00:00"/>
    <x v="0"/>
    <n v="229"/>
    <n v="0.05"/>
    <n v="11.45"/>
    <n v="2"/>
    <b v="0"/>
    <n v="0"/>
  </r>
  <r>
    <d v="2025-01-09T00:00:00"/>
    <x v="1"/>
    <n v="199"/>
    <n v="0.02"/>
    <n v="3.98"/>
    <n v="5"/>
    <b v="0"/>
    <n v="0"/>
  </r>
  <r>
    <d v="2025-01-09T00:00:00"/>
    <x v="2"/>
    <n v="248"/>
    <n v="0.04"/>
    <n v="9.92"/>
    <n v="15"/>
    <b v="0"/>
    <n v="0"/>
  </r>
  <r>
    <d v="2025-01-09T00:00:00"/>
    <x v="3"/>
    <n v="210"/>
    <n v="0.15"/>
    <n v="31.5"/>
    <n v="2"/>
    <b v="0"/>
    <n v="0"/>
  </r>
  <r>
    <d v="2025-01-09T00:00:00"/>
    <x v="4"/>
    <n v="217"/>
    <n v="0.03"/>
    <n v="6.51"/>
    <n v="5"/>
    <b v="0"/>
    <n v="0"/>
  </r>
  <r>
    <d v="2025-01-10T00:00:00"/>
    <x v="0"/>
    <n v="196"/>
    <n v="0.05"/>
    <n v="9.8000000000000007"/>
    <n v="2"/>
    <b v="0"/>
    <n v="0"/>
  </r>
  <r>
    <d v="2025-01-10T00:00:00"/>
    <x v="1"/>
    <n v="171"/>
    <n v="0.02"/>
    <n v="3.42"/>
    <n v="5"/>
    <b v="0"/>
    <n v="0"/>
  </r>
  <r>
    <d v="2025-01-10T00:00:00"/>
    <x v="2"/>
    <n v="228"/>
    <n v="0.04"/>
    <n v="9.1199999999999992"/>
    <n v="5"/>
    <b v="0"/>
    <n v="0"/>
  </r>
  <r>
    <d v="2025-01-10T00:00:00"/>
    <x v="3"/>
    <n v="170"/>
    <n v="0.15"/>
    <n v="25.5"/>
    <n v="2"/>
    <b v="0"/>
    <n v="0"/>
  </r>
  <r>
    <d v="2025-01-10T00:00:00"/>
    <x v="4"/>
    <n v="205"/>
    <n v="0.03"/>
    <n v="6.15"/>
    <n v="2"/>
    <b v="0"/>
    <n v="0"/>
  </r>
  <r>
    <d v="2025-01-11T00:00:00"/>
    <x v="0"/>
    <n v="127"/>
    <n v="0.05"/>
    <n v="6.35"/>
    <n v="2"/>
    <b v="0"/>
    <n v="0"/>
  </r>
  <r>
    <d v="2025-01-11T00:00:00"/>
    <x v="1"/>
    <n v="110"/>
    <n v="0.02"/>
    <n v="2.2000000000000002"/>
    <n v="5"/>
    <b v="0"/>
    <n v="0"/>
  </r>
  <r>
    <d v="2025-01-11T00:00:00"/>
    <x v="2"/>
    <n v="203"/>
    <n v="0.04"/>
    <n v="8.1199999999999992"/>
    <n v="5"/>
    <b v="0"/>
    <n v="0"/>
  </r>
  <r>
    <d v="2025-01-11T00:00:00"/>
    <x v="3"/>
    <n v="157"/>
    <n v="0.15"/>
    <n v="23.55"/>
    <n v="2"/>
    <b v="0"/>
    <n v="0"/>
  </r>
  <r>
    <d v="2025-01-11T00:00:00"/>
    <x v="4"/>
    <n v="163"/>
    <n v="0.03"/>
    <n v="4.8899999999999997"/>
    <n v="15"/>
    <b v="0"/>
    <n v="0"/>
  </r>
  <r>
    <d v="2025-01-12T00:00:00"/>
    <x v="0"/>
    <n v="66"/>
    <n v="0.05"/>
    <n v="3.3"/>
    <n v="5"/>
    <b v="0"/>
    <n v="0"/>
  </r>
  <r>
    <d v="2025-01-12T00:00:00"/>
    <x v="1"/>
    <n v="71"/>
    <n v="0.02"/>
    <n v="1.42"/>
    <n v="2"/>
    <b v="0"/>
    <n v="0"/>
  </r>
  <r>
    <d v="2025-01-12T00:00:00"/>
    <x v="2"/>
    <n v="130"/>
    <n v="0.04"/>
    <n v="5.2"/>
    <n v="2"/>
    <b v="0"/>
    <n v="0"/>
  </r>
  <r>
    <d v="2025-01-12T00:00:00"/>
    <x v="3"/>
    <n v="106"/>
    <n v="0.15"/>
    <n v="15.9"/>
    <n v="10"/>
    <b v="0"/>
    <n v="0"/>
  </r>
  <r>
    <d v="2025-01-12T00:00:00"/>
    <x v="4"/>
    <n v="148"/>
    <n v="0.03"/>
    <n v="4.4400000000000004"/>
    <n v="2"/>
    <b v="0"/>
    <n v="0"/>
  </r>
  <r>
    <d v="2025-01-13T00:00:00"/>
    <x v="0"/>
    <n v="36"/>
    <n v="0.05"/>
    <n v="1.8"/>
    <n v="2"/>
    <b v="0"/>
    <n v="0"/>
  </r>
  <r>
    <d v="2025-01-13T00:00:00"/>
    <x v="1"/>
    <n v="61"/>
    <n v="0.02"/>
    <n v="1.22"/>
    <n v="5"/>
    <b v="0"/>
    <n v="0"/>
  </r>
  <r>
    <d v="2025-01-13T00:00:00"/>
    <x v="2"/>
    <n v="125"/>
    <n v="0.04"/>
    <n v="5"/>
    <n v="5"/>
    <b v="0"/>
    <n v="0"/>
  </r>
  <r>
    <d v="2025-01-13T00:00:00"/>
    <x v="3"/>
    <n v="89"/>
    <n v="0.15"/>
    <n v="13.35"/>
    <n v="5"/>
    <b v="0"/>
    <n v="0"/>
  </r>
  <r>
    <d v="2025-01-13T00:00:00"/>
    <x v="4"/>
    <n v="142"/>
    <n v="0.03"/>
    <n v="4.26"/>
    <n v="10"/>
    <b v="0"/>
    <n v="0"/>
  </r>
  <r>
    <d v="2025-01-14T00:00:00"/>
    <x v="0"/>
    <n v="31"/>
    <n v="0.05"/>
    <n v="1.55"/>
    <n v="2"/>
    <b v="0"/>
    <n v="0"/>
  </r>
  <r>
    <d v="2025-01-14T00:00:00"/>
    <x v="1"/>
    <n v="36"/>
    <n v="0.02"/>
    <n v="0.72"/>
    <n v="2"/>
    <b v="0"/>
    <n v="0"/>
  </r>
  <r>
    <d v="2025-01-14T00:00:00"/>
    <x v="2"/>
    <n v="81"/>
    <n v="0.04"/>
    <n v="3.24"/>
    <n v="5"/>
    <b v="0"/>
    <n v="0"/>
  </r>
  <r>
    <d v="2025-01-14T00:00:00"/>
    <x v="3"/>
    <n v="53"/>
    <n v="0.15"/>
    <n v="7.95"/>
    <n v="2"/>
    <b v="0"/>
    <n v="0"/>
  </r>
  <r>
    <d v="2025-01-14T00:00:00"/>
    <x v="4"/>
    <n v="128"/>
    <n v="0.03"/>
    <n v="3.84"/>
    <n v="2"/>
    <b v="0"/>
    <n v="0"/>
  </r>
  <r>
    <d v="2025-01-15T00:00:00"/>
    <x v="0"/>
    <n v="0"/>
    <n v="0.05"/>
    <n v="0"/>
    <n v="15"/>
    <b v="0"/>
    <n v="1"/>
  </r>
  <r>
    <d v="2025-01-15T00:00:00"/>
    <x v="1"/>
    <n v="24"/>
    <n v="0.02"/>
    <n v="0.48"/>
    <n v="10"/>
    <b v="0"/>
    <n v="0"/>
  </r>
  <r>
    <d v="2025-01-15T00:00:00"/>
    <x v="2"/>
    <n v="58"/>
    <n v="0.04"/>
    <n v="2.3199999999999998"/>
    <n v="2"/>
    <b v="0"/>
    <n v="0"/>
  </r>
  <r>
    <d v="2025-01-15T00:00:00"/>
    <x v="3"/>
    <n v="6"/>
    <n v="0.15"/>
    <n v="0.9"/>
    <n v="2"/>
    <b v="0"/>
    <n v="0"/>
  </r>
  <r>
    <d v="2025-01-15T00:00:00"/>
    <x v="4"/>
    <n v="118"/>
    <n v="0.03"/>
    <n v="3.54"/>
    <n v="5"/>
    <b v="0"/>
    <n v="0"/>
  </r>
  <r>
    <d v="2025-01-16T00:00:00"/>
    <x v="0"/>
    <n v="0"/>
    <n v="0.05"/>
    <n v="0"/>
    <n v="2"/>
    <b v="0"/>
    <n v="1"/>
  </r>
  <r>
    <d v="2025-01-16T00:00:00"/>
    <x v="1"/>
    <n v="0"/>
    <n v="0.02"/>
    <n v="0"/>
    <n v="5"/>
    <b v="0"/>
    <n v="1"/>
  </r>
  <r>
    <d v="2025-01-16T00:00:00"/>
    <x v="2"/>
    <n v="21"/>
    <n v="0.04"/>
    <n v="0.84"/>
    <n v="2"/>
    <b v="0"/>
    <n v="0"/>
  </r>
  <r>
    <d v="2025-01-16T00:00:00"/>
    <x v="3"/>
    <n v="0"/>
    <n v="0.15"/>
    <n v="0"/>
    <n v="10"/>
    <b v="0"/>
    <n v="1"/>
  </r>
  <r>
    <d v="2025-01-16T00:00:00"/>
    <x v="4"/>
    <n v="76"/>
    <n v="0.03"/>
    <n v="2.2799999999999998"/>
    <n v="5"/>
    <b v="0"/>
    <n v="0"/>
  </r>
  <r>
    <d v="2025-01-17T00:00:00"/>
    <x v="0"/>
    <n v="0"/>
    <n v="0.05"/>
    <n v="0"/>
    <n v="10"/>
    <b v="0"/>
    <n v="1"/>
  </r>
  <r>
    <d v="2025-01-17T00:00:00"/>
    <x v="1"/>
    <n v="0"/>
    <n v="0.02"/>
    <n v="0"/>
    <n v="2"/>
    <b v="0"/>
    <n v="1"/>
  </r>
  <r>
    <d v="2025-01-17T00:00:00"/>
    <x v="2"/>
    <n v="0"/>
    <n v="0.04"/>
    <n v="0"/>
    <n v="5"/>
    <b v="0"/>
    <n v="1"/>
  </r>
  <r>
    <d v="2025-01-17T00:00:00"/>
    <x v="3"/>
    <n v="0"/>
    <n v="0.15"/>
    <n v="0"/>
    <n v="5"/>
    <b v="0"/>
    <n v="1"/>
  </r>
  <r>
    <d v="2025-01-17T00:00:00"/>
    <x v="4"/>
    <n v="51"/>
    <n v="0.03"/>
    <n v="1.53"/>
    <n v="15"/>
    <b v="0"/>
    <n v="0"/>
  </r>
  <r>
    <d v="2025-01-18T00:00:00"/>
    <x v="0"/>
    <n v="0"/>
    <n v="0.05"/>
    <n v="0"/>
    <n v="2"/>
    <b v="0"/>
    <n v="1"/>
  </r>
  <r>
    <d v="2025-01-18T00:00:00"/>
    <x v="1"/>
    <n v="0"/>
    <n v="0.02"/>
    <n v="0"/>
    <n v="2"/>
    <b v="0"/>
    <n v="1"/>
  </r>
  <r>
    <d v="2025-01-18T00:00:00"/>
    <x v="2"/>
    <n v="0"/>
    <n v="0.04"/>
    <n v="0"/>
    <n v="2"/>
    <b v="0"/>
    <n v="1"/>
  </r>
  <r>
    <d v="2025-01-18T00:00:00"/>
    <x v="3"/>
    <n v="0"/>
    <n v="0.15"/>
    <n v="0"/>
    <n v="15"/>
    <b v="0"/>
    <n v="1"/>
  </r>
  <r>
    <d v="2025-01-18T00:00:00"/>
    <x v="4"/>
    <n v="0"/>
    <n v="0.03"/>
    <n v="0"/>
    <n v="2"/>
    <b v="0"/>
    <n v="1"/>
  </r>
  <r>
    <d v="2025-01-19T00:00:00"/>
    <x v="0"/>
    <n v="0"/>
    <n v="0.05"/>
    <n v="0"/>
    <n v="2"/>
    <b v="0"/>
    <n v="1"/>
  </r>
  <r>
    <d v="2025-01-19T00:00:00"/>
    <x v="1"/>
    <n v="65"/>
    <n v="0.02"/>
    <n v="0"/>
    <n v="2"/>
    <b v="0"/>
    <n v="0"/>
  </r>
  <r>
    <d v="2025-01-19T00:00:00"/>
    <x v="2"/>
    <n v="840"/>
    <n v="0.04"/>
    <n v="0"/>
    <n v="2"/>
    <b v="0"/>
    <n v="0"/>
  </r>
  <r>
    <d v="2025-01-19T00:00:00"/>
    <x v="3"/>
    <n v="645"/>
    <n v="0.15"/>
    <n v="0"/>
    <n v="2"/>
    <b v="0"/>
    <n v="0"/>
  </r>
  <r>
    <d v="2025-01-19T00:00:00"/>
    <x v="4"/>
    <n v="187"/>
    <n v="0.03"/>
    <n v="0"/>
    <n v="2"/>
    <b v="0"/>
    <n v="0"/>
  </r>
  <r>
    <d v="2025-01-20T00:00:00"/>
    <x v="0"/>
    <n v="0"/>
    <n v="0.05"/>
    <n v="0"/>
    <n v="2"/>
    <b v="0"/>
    <n v="1"/>
  </r>
  <r>
    <d v="2025-01-20T00:00:00"/>
    <x v="1"/>
    <n v="37"/>
    <n v="0.02"/>
    <n v="0"/>
    <n v="5"/>
    <b v="0"/>
    <n v="0"/>
  </r>
  <r>
    <d v="2025-01-20T00:00:00"/>
    <x v="2"/>
    <n v="5"/>
    <n v="0.04"/>
    <n v="0"/>
    <n v="2"/>
    <b v="0"/>
    <n v="0"/>
  </r>
  <r>
    <d v="2025-01-20T00:00:00"/>
    <x v="3"/>
    <n v="538"/>
    <n v="0.15"/>
    <n v="0"/>
    <n v="2"/>
    <b v="0"/>
    <n v="0"/>
  </r>
  <r>
    <d v="2025-01-20T00:00:00"/>
    <x v="4"/>
    <n v="177"/>
    <n v="0.03"/>
    <n v="0"/>
    <n v="5"/>
    <b v="0"/>
    <n v="0"/>
  </r>
  <r>
    <d v="2025-01-21T00:00:00"/>
    <x v="0"/>
    <n v="86"/>
    <n v="0.05"/>
    <n v="0"/>
    <n v="2"/>
    <b v="0"/>
    <n v="0"/>
  </r>
  <r>
    <d v="2025-01-21T00:00:00"/>
    <x v="1"/>
    <n v="281"/>
    <n v="0.02"/>
    <n v="0"/>
    <n v="5"/>
    <b v="0"/>
    <n v="0"/>
  </r>
  <r>
    <d v="2025-01-21T00:00:00"/>
    <x v="2"/>
    <n v="434"/>
    <n v="0.04"/>
    <n v="0"/>
    <n v="2"/>
    <b v="0"/>
    <n v="0"/>
  </r>
  <r>
    <d v="2025-01-21T00:00:00"/>
    <x v="3"/>
    <n v="656"/>
    <n v="0.15"/>
    <n v="0"/>
    <n v="2"/>
    <b v="0"/>
    <n v="0"/>
  </r>
  <r>
    <d v="2025-01-21T00:00:00"/>
    <x v="4"/>
    <n v="823"/>
    <n v="0.03"/>
    <n v="0"/>
    <n v="2"/>
    <b v="0"/>
    <n v="0"/>
  </r>
  <r>
    <d v="2025-01-22T00:00:00"/>
    <x v="0"/>
    <n v="370"/>
    <n v="0.05"/>
    <n v="0"/>
    <n v="5"/>
    <b v="0"/>
    <n v="0"/>
  </r>
  <r>
    <d v="2025-01-22T00:00:00"/>
    <x v="1"/>
    <n v="475"/>
    <n v="0.02"/>
    <n v="0"/>
    <n v="2"/>
    <b v="0"/>
    <n v="0"/>
  </r>
  <r>
    <d v="2025-01-22T00:00:00"/>
    <x v="2"/>
    <n v="757"/>
    <n v="0.04"/>
    <n v="0"/>
    <n v="15"/>
    <b v="0"/>
    <n v="0"/>
  </r>
  <r>
    <d v="2025-01-22T00:00:00"/>
    <x v="3"/>
    <n v="514"/>
    <n v="0.15"/>
    <n v="0"/>
    <n v="2"/>
    <b v="0"/>
    <n v="0"/>
  </r>
  <r>
    <d v="2025-01-22T00:00:00"/>
    <x v="4"/>
    <n v="0"/>
    <n v="0.03"/>
    <n v="0"/>
    <n v="5"/>
    <b v="0"/>
    <n v="1"/>
  </r>
  <r>
    <d v="2025-01-23T00:00:00"/>
    <x v="0"/>
    <n v="627"/>
    <n v="0.05"/>
    <n v="0"/>
    <n v="5"/>
    <b v="0"/>
    <n v="0"/>
  </r>
  <r>
    <d v="2025-01-23T00:00:00"/>
    <x v="1"/>
    <n v="463"/>
    <n v="0.02"/>
    <n v="0"/>
    <n v="5"/>
    <b v="0"/>
    <n v="0"/>
  </r>
  <r>
    <d v="2025-01-23T00:00:00"/>
    <x v="2"/>
    <n v="632"/>
    <n v="0.04"/>
    <n v="0"/>
    <n v="15"/>
    <b v="0"/>
    <n v="0"/>
  </r>
  <r>
    <d v="2025-01-23T00:00:00"/>
    <x v="3"/>
    <n v="141"/>
    <n v="0.15"/>
    <n v="0"/>
    <n v="15"/>
    <b v="0"/>
    <n v="0"/>
  </r>
  <r>
    <d v="2025-01-23T00:00:00"/>
    <x v="4"/>
    <n v="881"/>
    <n v="0.03"/>
    <n v="0"/>
    <n v="5"/>
    <b v="0"/>
    <n v="0"/>
  </r>
  <r>
    <d v="2025-01-24T00:00:00"/>
    <x v="0"/>
    <n v="0"/>
    <n v="0.05"/>
    <n v="0"/>
    <n v="2"/>
    <b v="0"/>
    <n v="1"/>
  </r>
  <r>
    <d v="2025-01-24T00:00:00"/>
    <x v="1"/>
    <n v="221"/>
    <n v="0.02"/>
    <n v="0"/>
    <n v="5"/>
    <b v="0"/>
    <n v="0"/>
  </r>
  <r>
    <d v="2025-01-24T00:00:00"/>
    <x v="2"/>
    <n v="583"/>
    <n v="0.04"/>
    <n v="0"/>
    <n v="2"/>
    <b v="0"/>
    <n v="0"/>
  </r>
  <r>
    <d v="2025-01-24T00:00:00"/>
    <x v="3"/>
    <n v="688"/>
    <n v="0.15"/>
    <n v="0"/>
    <n v="2"/>
    <b v="0"/>
    <n v="0"/>
  </r>
  <r>
    <d v="2025-01-24T00:00:00"/>
    <x v="4"/>
    <n v="0"/>
    <n v="0.03"/>
    <n v="0"/>
    <n v="2"/>
    <b v="0"/>
    <n v="1"/>
  </r>
  <r>
    <d v="2025-01-25T00:00:00"/>
    <x v="0"/>
    <n v="654"/>
    <n v="0.05"/>
    <n v="0"/>
    <n v="2"/>
    <b v="0"/>
    <n v="0"/>
  </r>
  <r>
    <d v="2025-01-25T00:00:00"/>
    <x v="1"/>
    <n v="736"/>
    <n v="0.02"/>
    <n v="0"/>
    <n v="2"/>
    <b v="0"/>
    <n v="0"/>
  </r>
  <r>
    <d v="2025-01-25T00:00:00"/>
    <x v="2"/>
    <n v="638"/>
    <n v="0.04"/>
    <n v="0"/>
    <n v="2"/>
    <b v="0"/>
    <n v="0"/>
  </r>
  <r>
    <d v="2025-01-25T00:00:00"/>
    <x v="3"/>
    <n v="72"/>
    <n v="0.15"/>
    <n v="0"/>
    <n v="2"/>
    <b v="0"/>
    <n v="0"/>
  </r>
  <r>
    <d v="2025-01-25T00:00:00"/>
    <x v="4"/>
    <n v="598"/>
    <n v="0.03"/>
    <n v="0"/>
    <n v="10"/>
    <b v="0"/>
    <n v="0"/>
  </r>
  <r>
    <d v="2025-01-26T00:00:00"/>
    <x v="0"/>
    <n v="259"/>
    <n v="0.05"/>
    <n v="0"/>
    <n v="5"/>
    <b v="0"/>
    <n v="0"/>
  </r>
  <r>
    <d v="2025-01-26T00:00:00"/>
    <x v="1"/>
    <n v="162"/>
    <n v="0.02"/>
    <n v="0"/>
    <n v="5"/>
    <b v="0"/>
    <n v="0"/>
  </r>
  <r>
    <d v="2025-01-26T00:00:00"/>
    <x v="2"/>
    <n v="568"/>
    <n v="0.04"/>
    <n v="0"/>
    <n v="10"/>
    <b v="0"/>
    <n v="0"/>
  </r>
  <r>
    <d v="2025-01-26T00:00:00"/>
    <x v="3"/>
    <n v="657"/>
    <n v="0.15"/>
    <n v="0"/>
    <n v="2"/>
    <b v="0"/>
    <n v="0"/>
  </r>
  <r>
    <d v="2025-01-26T00:00:00"/>
    <x v="4"/>
    <n v="344"/>
    <n v="0.03"/>
    <n v="0"/>
    <n v="5"/>
    <b v="0"/>
    <n v="0"/>
  </r>
  <r>
    <d v="2025-01-27T00:00:00"/>
    <x v="0"/>
    <n v="0"/>
    <n v="0.05"/>
    <n v="0"/>
    <n v="2"/>
    <b v="0"/>
    <n v="1"/>
  </r>
  <r>
    <d v="2025-01-27T00:00:00"/>
    <x v="1"/>
    <n v="224"/>
    <n v="0.02"/>
    <n v="0"/>
    <n v="2"/>
    <b v="0"/>
    <n v="0"/>
  </r>
  <r>
    <d v="2025-01-27T00:00:00"/>
    <x v="2"/>
    <n v="284"/>
    <n v="0.04"/>
    <n v="0"/>
    <n v="2"/>
    <b v="0"/>
    <n v="0"/>
  </r>
  <r>
    <d v="2025-01-27T00:00:00"/>
    <x v="3"/>
    <n v="127"/>
    <n v="0.15"/>
    <n v="0"/>
    <n v="2"/>
    <b v="0"/>
    <n v="0"/>
  </r>
  <r>
    <d v="2025-01-27T00:00:00"/>
    <x v="4"/>
    <n v="383"/>
    <n v="0.03"/>
    <n v="0"/>
    <n v="10"/>
    <b v="0"/>
    <n v="0"/>
  </r>
  <r>
    <d v="2025-01-28T00:00:00"/>
    <x v="0"/>
    <n v="470"/>
    <n v="0.05"/>
    <n v="0"/>
    <n v="2"/>
    <b v="0"/>
    <n v="0"/>
  </r>
  <r>
    <d v="2025-01-28T00:00:00"/>
    <x v="1"/>
    <n v="0"/>
    <n v="0.02"/>
    <n v="0"/>
    <n v="2"/>
    <b v="0"/>
    <n v="1"/>
  </r>
  <r>
    <d v="2025-01-28T00:00:00"/>
    <x v="2"/>
    <n v="335"/>
    <n v="0.04"/>
    <n v="0"/>
    <n v="2"/>
    <b v="0"/>
    <n v="0"/>
  </r>
  <r>
    <d v="2025-01-28T00:00:00"/>
    <x v="3"/>
    <n v="35"/>
    <n v="0.15"/>
    <n v="0"/>
    <n v="5"/>
    <b v="0"/>
    <n v="0"/>
  </r>
  <r>
    <d v="2025-01-28T00:00:00"/>
    <x v="4"/>
    <n v="173"/>
    <n v="0.03"/>
    <n v="0"/>
    <n v="2"/>
    <b v="0"/>
    <n v="0"/>
  </r>
  <r>
    <d v="2025-01-29T00:00:00"/>
    <x v="0"/>
    <n v="822"/>
    <n v="0.05"/>
    <n v="0"/>
    <n v="2"/>
    <b v="0"/>
    <n v="0"/>
  </r>
  <r>
    <d v="2025-01-29T00:00:00"/>
    <x v="1"/>
    <n v="0"/>
    <n v="0.02"/>
    <n v="0"/>
    <n v="2"/>
    <b v="0"/>
    <n v="1"/>
  </r>
  <r>
    <d v="2025-01-29T00:00:00"/>
    <x v="2"/>
    <n v="527"/>
    <n v="0.04"/>
    <n v="0"/>
    <n v="5"/>
    <b v="0"/>
    <n v="0"/>
  </r>
  <r>
    <d v="2025-01-29T00:00:00"/>
    <x v="3"/>
    <n v="299"/>
    <n v="0.15"/>
    <n v="0"/>
    <n v="10"/>
    <b v="0"/>
    <n v="0"/>
  </r>
  <r>
    <d v="2025-01-29T00:00:00"/>
    <x v="4"/>
    <n v="434"/>
    <n v="0.03"/>
    <n v="0"/>
    <n v="2"/>
    <b v="0"/>
    <n v="0"/>
  </r>
  <r>
    <d v="2025-01-30T00:00:00"/>
    <x v="0"/>
    <n v="285"/>
    <n v="0.05"/>
    <n v="0"/>
    <n v="2"/>
    <b v="0"/>
    <n v="0"/>
  </r>
  <r>
    <d v="2025-01-30T00:00:00"/>
    <x v="1"/>
    <n v="182"/>
    <n v="0.02"/>
    <n v="0"/>
    <n v="5"/>
    <b v="0"/>
    <n v="0"/>
  </r>
  <r>
    <d v="2025-01-30T00:00:00"/>
    <x v="2"/>
    <n v="747"/>
    <n v="0.04"/>
    <n v="0"/>
    <n v="5"/>
    <b v="0"/>
    <n v="0"/>
  </r>
  <r>
    <d v="2025-01-30T00:00:00"/>
    <x v="3"/>
    <n v="474"/>
    <n v="0.15"/>
    <n v="0"/>
    <n v="15"/>
    <b v="0"/>
    <n v="0"/>
  </r>
  <r>
    <d v="2025-01-30T00:00:00"/>
    <x v="4"/>
    <n v="421"/>
    <n v="0.03"/>
    <n v="0"/>
    <n v="2"/>
    <b v="0"/>
    <n v="0"/>
  </r>
  <r>
    <d v="2025-01-31T00:00:00"/>
    <x v="0"/>
    <n v="187"/>
    <n v="0.05"/>
    <n v="0"/>
    <n v="2"/>
    <b v="0"/>
    <n v="0"/>
  </r>
  <r>
    <d v="2025-01-31T00:00:00"/>
    <x v="1"/>
    <n v="706"/>
    <n v="0.02"/>
    <n v="0"/>
    <n v="2"/>
    <b v="0"/>
    <n v="0"/>
  </r>
  <r>
    <d v="2025-01-31T00:00:00"/>
    <x v="2"/>
    <n v="835"/>
    <n v="0.04"/>
    <n v="0"/>
    <n v="2"/>
    <b v="0"/>
    <n v="0"/>
  </r>
  <r>
    <d v="2025-01-31T00:00:00"/>
    <x v="3"/>
    <n v="687"/>
    <n v="0.15"/>
    <n v="0"/>
    <n v="10"/>
    <b v="0"/>
    <n v="0"/>
  </r>
  <r>
    <d v="2025-01-31T00:00:00"/>
    <x v="4"/>
    <n v="564"/>
    <n v="0.03"/>
    <n v="0"/>
    <n v="2"/>
    <b v="0"/>
    <n v="0"/>
  </r>
  <r>
    <d v="2025-02-01T00:00:00"/>
    <x v="0"/>
    <n v="846"/>
    <n v="0.05"/>
    <n v="0"/>
    <n v="10"/>
    <b v="0"/>
    <n v="0"/>
  </r>
  <r>
    <d v="2025-02-01T00:00:00"/>
    <x v="1"/>
    <n v="476"/>
    <n v="0.02"/>
    <n v="0"/>
    <n v="2"/>
    <b v="0"/>
    <n v="0"/>
  </r>
  <r>
    <d v="2025-02-01T00:00:00"/>
    <x v="2"/>
    <n v="546"/>
    <n v="0.04"/>
    <n v="0"/>
    <n v="2"/>
    <b v="0"/>
    <n v="0"/>
  </r>
  <r>
    <d v="2025-02-01T00:00:00"/>
    <x v="3"/>
    <n v="467"/>
    <n v="0.15"/>
    <n v="0"/>
    <n v="2"/>
    <b v="0"/>
    <n v="0"/>
  </r>
  <r>
    <d v="2025-02-01T00:00:00"/>
    <x v="4"/>
    <n v="106"/>
    <n v="0.03"/>
    <n v="0"/>
    <n v="2"/>
    <b v="0"/>
    <n v="0"/>
  </r>
  <r>
    <d v="2025-02-02T00:00:00"/>
    <x v="0"/>
    <n v="476"/>
    <n v="0.05"/>
    <n v="0"/>
    <n v="2"/>
    <b v="0"/>
    <n v="0"/>
  </r>
  <r>
    <d v="2025-02-02T00:00:00"/>
    <x v="1"/>
    <n v="36"/>
    <n v="0.02"/>
    <n v="0"/>
    <n v="2"/>
    <b v="0"/>
    <n v="0"/>
  </r>
  <r>
    <d v="2025-02-02T00:00:00"/>
    <x v="2"/>
    <n v="16"/>
    <n v="0.04"/>
    <n v="0"/>
    <n v="5"/>
    <b v="0"/>
    <n v="0"/>
  </r>
  <r>
    <d v="2025-02-02T00:00:00"/>
    <x v="3"/>
    <n v="568"/>
    <n v="0.15"/>
    <n v="0"/>
    <n v="5"/>
    <b v="0"/>
    <n v="0"/>
  </r>
  <r>
    <d v="2025-02-02T00:00:00"/>
    <x v="4"/>
    <n v="876"/>
    <n v="0.03"/>
    <n v="0"/>
    <n v="5"/>
    <b v="0"/>
    <n v="0"/>
  </r>
  <r>
    <d v="2025-02-03T00:00:00"/>
    <x v="0"/>
    <n v="0"/>
    <n v="0.05"/>
    <n v="0"/>
    <n v="2"/>
    <b v="0"/>
    <n v="1"/>
  </r>
  <r>
    <d v="2025-02-03T00:00:00"/>
    <x v="1"/>
    <n v="33"/>
    <n v="0.02"/>
    <n v="0"/>
    <n v="2"/>
    <b v="0"/>
    <n v="0"/>
  </r>
  <r>
    <d v="2025-02-03T00:00:00"/>
    <x v="2"/>
    <n v="193"/>
    <n v="0.04"/>
    <n v="0"/>
    <n v="2"/>
    <b v="0"/>
    <n v="0"/>
  </r>
  <r>
    <d v="2025-02-03T00:00:00"/>
    <x v="3"/>
    <n v="65"/>
    <n v="0.15"/>
    <n v="0"/>
    <n v="5"/>
    <b v="0"/>
    <n v="0"/>
  </r>
  <r>
    <d v="2025-02-03T00:00:00"/>
    <x v="4"/>
    <n v="204"/>
    <n v="0.03"/>
    <n v="0"/>
    <n v="15"/>
    <b v="0"/>
    <n v="0"/>
  </r>
  <r>
    <d v="2025-02-04T00:00:00"/>
    <x v="0"/>
    <n v="25"/>
    <n v="0.05"/>
    <n v="0"/>
    <n v="2"/>
    <b v="0"/>
    <n v="0"/>
  </r>
  <r>
    <d v="2025-02-04T00:00:00"/>
    <x v="1"/>
    <n v="705"/>
    <n v="0.02"/>
    <n v="0"/>
    <n v="5"/>
    <b v="0"/>
    <n v="0"/>
  </r>
  <r>
    <d v="2025-02-04T00:00:00"/>
    <x v="2"/>
    <n v="487"/>
    <n v="0.04"/>
    <n v="0"/>
    <n v="2"/>
    <b v="0"/>
    <n v="0"/>
  </r>
  <r>
    <d v="2025-02-04T00:00:00"/>
    <x v="3"/>
    <n v="742"/>
    <n v="0.15"/>
    <n v="0"/>
    <n v="2"/>
    <b v="0"/>
    <n v="0"/>
  </r>
  <r>
    <d v="2025-02-04T00:00:00"/>
    <x v="4"/>
    <n v="616"/>
    <n v="0.03"/>
    <n v="0"/>
    <n v="2"/>
    <b v="0"/>
    <n v="0"/>
  </r>
  <r>
    <d v="2025-02-05T00:00:00"/>
    <x v="0"/>
    <n v="745"/>
    <n v="0.05"/>
    <n v="0"/>
    <n v="2"/>
    <b v="0"/>
    <n v="0"/>
  </r>
  <r>
    <d v="2025-02-05T00:00:00"/>
    <x v="1"/>
    <n v="124"/>
    <n v="0.02"/>
    <n v="0"/>
    <n v="5"/>
    <b v="0"/>
    <n v="0"/>
  </r>
  <r>
    <d v="2025-02-05T00:00:00"/>
    <x v="2"/>
    <n v="21"/>
    <n v="0.04"/>
    <n v="0"/>
    <n v="5"/>
    <b v="0"/>
    <n v="0"/>
  </r>
  <r>
    <d v="2025-02-05T00:00:00"/>
    <x v="3"/>
    <n v="675"/>
    <n v="0.15"/>
    <n v="0"/>
    <n v="2"/>
    <b v="0"/>
    <n v="0"/>
  </r>
  <r>
    <d v="2025-02-05T00:00:00"/>
    <x v="4"/>
    <n v="749"/>
    <n v="0.03"/>
    <n v="0"/>
    <n v="2"/>
    <b v="0"/>
    <n v="0"/>
  </r>
  <r>
    <d v="2025-02-06T00:00:00"/>
    <x v="0"/>
    <n v="718"/>
    <n v="0.05"/>
    <n v="0"/>
    <n v="2"/>
    <b v="0"/>
    <n v="0"/>
  </r>
  <r>
    <d v="2025-02-06T00:00:00"/>
    <x v="1"/>
    <n v="436"/>
    <n v="0.02"/>
    <n v="0"/>
    <n v="5"/>
    <b v="0"/>
    <n v="0"/>
  </r>
  <r>
    <d v="2025-02-06T00:00:00"/>
    <x v="2"/>
    <n v="26"/>
    <n v="0.04"/>
    <n v="0"/>
    <n v="2"/>
    <b v="0"/>
    <n v="0"/>
  </r>
  <r>
    <d v="2025-02-06T00:00:00"/>
    <x v="3"/>
    <n v="59"/>
    <n v="0.15"/>
    <n v="0"/>
    <n v="2"/>
    <b v="0"/>
    <n v="0"/>
  </r>
  <r>
    <d v="2025-02-06T00:00:00"/>
    <x v="4"/>
    <n v="70"/>
    <n v="0.03"/>
    <n v="0"/>
    <n v="2"/>
    <b v="0"/>
    <n v="0"/>
  </r>
  <r>
    <d v="2025-02-07T00:00:00"/>
    <x v="0"/>
    <n v="16"/>
    <n v="0.05"/>
    <n v="0"/>
    <n v="2"/>
    <b v="0"/>
    <n v="0"/>
  </r>
  <r>
    <d v="2025-02-07T00:00:00"/>
    <x v="1"/>
    <n v="52"/>
    <n v="0.02"/>
    <n v="0"/>
    <n v="2"/>
    <b v="0"/>
    <n v="0"/>
  </r>
  <r>
    <d v="2025-02-07T00:00:00"/>
    <x v="2"/>
    <n v="40"/>
    <n v="0.04"/>
    <n v="0"/>
    <n v="2"/>
    <b v="0"/>
    <n v="0"/>
  </r>
  <r>
    <d v="2025-02-07T00:00:00"/>
    <x v="3"/>
    <n v="358"/>
    <n v="0.15"/>
    <n v="0"/>
    <n v="2"/>
    <b v="0"/>
    <n v="0"/>
  </r>
  <r>
    <d v="2025-02-07T00:00:00"/>
    <x v="4"/>
    <n v="281"/>
    <n v="0.03"/>
    <n v="0"/>
    <n v="2"/>
    <b v="0"/>
    <n v="0"/>
  </r>
  <r>
    <d v="2025-02-08T00:00:00"/>
    <x v="0"/>
    <n v="872"/>
    <n v="0.05"/>
    <n v="0"/>
    <n v="5"/>
    <b v="0"/>
    <n v="0"/>
  </r>
  <r>
    <d v="2025-02-08T00:00:00"/>
    <x v="1"/>
    <n v="0"/>
    <n v="0.02"/>
    <n v="0"/>
    <n v="5"/>
    <b v="0"/>
    <n v="1"/>
  </r>
  <r>
    <d v="2025-02-08T00:00:00"/>
    <x v="2"/>
    <n v="197"/>
    <n v="0.04"/>
    <n v="0"/>
    <n v="2"/>
    <b v="0"/>
    <n v="0"/>
  </r>
  <r>
    <d v="2025-02-08T00:00:00"/>
    <x v="3"/>
    <n v="535"/>
    <n v="0.15"/>
    <n v="0"/>
    <n v="5"/>
    <b v="0"/>
    <n v="0"/>
  </r>
  <r>
    <d v="2025-02-08T00:00:00"/>
    <x v="4"/>
    <n v="166"/>
    <n v="0.03"/>
    <n v="0"/>
    <n v="2"/>
    <b v="0"/>
    <n v="0"/>
  </r>
  <r>
    <d v="2025-02-09T00:00:00"/>
    <x v="0"/>
    <n v="215"/>
    <n v="0.05"/>
    <n v="0"/>
    <n v="10"/>
    <b v="0"/>
    <n v="0"/>
  </r>
  <r>
    <d v="2025-02-09T00:00:00"/>
    <x v="1"/>
    <n v="705"/>
    <n v="0.02"/>
    <n v="0"/>
    <n v="2"/>
    <b v="0"/>
    <n v="0"/>
  </r>
  <r>
    <d v="2025-02-09T00:00:00"/>
    <x v="2"/>
    <n v="476"/>
    <n v="0.04"/>
    <n v="0"/>
    <n v="15"/>
    <b v="0"/>
    <n v="0"/>
  </r>
  <r>
    <d v="2025-02-09T00:00:00"/>
    <x v="3"/>
    <n v="539"/>
    <n v="0.15"/>
    <n v="0"/>
    <n v="2"/>
    <b v="0"/>
    <n v="0"/>
  </r>
  <r>
    <d v="2025-02-09T00:00:00"/>
    <x v="4"/>
    <n v="288"/>
    <n v="0.03"/>
    <n v="0"/>
    <n v="2"/>
    <b v="0"/>
    <n v="0"/>
  </r>
  <r>
    <d v="2025-02-10T00:00:00"/>
    <x v="0"/>
    <n v="464"/>
    <n v="0.05"/>
    <n v="0"/>
    <n v="2"/>
    <b v="0"/>
    <n v="0"/>
  </r>
  <r>
    <d v="2025-02-10T00:00:00"/>
    <x v="1"/>
    <n v="50"/>
    <n v="0.02"/>
    <n v="0"/>
    <n v="2"/>
    <b v="0"/>
    <n v="0"/>
  </r>
  <r>
    <d v="2025-02-10T00:00:00"/>
    <x v="2"/>
    <n v="338"/>
    <n v="0.04"/>
    <n v="0"/>
    <n v="5"/>
    <b v="0"/>
    <n v="0"/>
  </r>
  <r>
    <d v="2025-02-10T00:00:00"/>
    <x v="3"/>
    <n v="473"/>
    <n v="0.15"/>
    <n v="0"/>
    <n v="15"/>
    <b v="0"/>
    <n v="0"/>
  </r>
  <r>
    <d v="2025-02-10T00:00:00"/>
    <x v="4"/>
    <n v="885"/>
    <n v="0.03"/>
    <n v="0"/>
    <n v="2"/>
    <b v="0"/>
    <n v="0"/>
  </r>
  <r>
    <d v="2025-02-11T00:00:00"/>
    <x v="0"/>
    <n v="324"/>
    <n v="0.05"/>
    <n v="0"/>
    <n v="2"/>
    <b v="0"/>
    <n v="0"/>
  </r>
  <r>
    <d v="2025-02-11T00:00:00"/>
    <x v="1"/>
    <n v="665"/>
    <n v="0.02"/>
    <n v="0"/>
    <n v="2"/>
    <b v="0"/>
    <n v="0"/>
  </r>
  <r>
    <d v="2025-02-11T00:00:00"/>
    <x v="2"/>
    <n v="525"/>
    <n v="0.04"/>
    <n v="0"/>
    <n v="5"/>
    <b v="0"/>
    <n v="0"/>
  </r>
  <r>
    <d v="2025-02-11T00:00:00"/>
    <x v="3"/>
    <n v="353"/>
    <n v="0.15"/>
    <n v="0"/>
    <n v="2"/>
    <b v="0"/>
    <n v="0"/>
  </r>
  <r>
    <d v="2025-02-11T00:00:00"/>
    <x v="4"/>
    <n v="0"/>
    <n v="0.03"/>
    <n v="0"/>
    <n v="2"/>
    <b v="0"/>
    <n v="1"/>
  </r>
  <r>
    <d v="2025-02-12T00:00:00"/>
    <x v="0"/>
    <n v="246"/>
    <n v="0.05"/>
    <n v="0"/>
    <n v="2"/>
    <b v="0"/>
    <n v="0"/>
  </r>
  <r>
    <d v="2025-02-12T00:00:00"/>
    <x v="1"/>
    <n v="117"/>
    <n v="0.02"/>
    <n v="0"/>
    <n v="2"/>
    <b v="0"/>
    <n v="0"/>
  </r>
  <r>
    <d v="2025-02-12T00:00:00"/>
    <x v="2"/>
    <n v="665"/>
    <n v="0.04"/>
    <n v="0"/>
    <n v="2"/>
    <b v="0"/>
    <n v="0"/>
  </r>
  <r>
    <d v="2025-02-12T00:00:00"/>
    <x v="3"/>
    <n v="506"/>
    <n v="0.15"/>
    <n v="0"/>
    <n v="2"/>
    <b v="0"/>
    <n v="0"/>
  </r>
  <r>
    <d v="2025-02-12T00:00:00"/>
    <x v="4"/>
    <n v="865"/>
    <n v="0.03"/>
    <n v="0"/>
    <n v="5"/>
    <b v="0"/>
    <n v="0"/>
  </r>
  <r>
    <d v="2025-02-13T00:00:00"/>
    <x v="0"/>
    <n v="870"/>
    <n v="0.05"/>
    <n v="0"/>
    <n v="2"/>
    <b v="0"/>
    <n v="0"/>
  </r>
  <r>
    <d v="2025-02-13T00:00:00"/>
    <x v="1"/>
    <n v="185"/>
    <n v="0.02"/>
    <n v="0"/>
    <n v="5"/>
    <b v="0"/>
    <n v="0"/>
  </r>
  <r>
    <d v="2025-02-13T00:00:00"/>
    <x v="2"/>
    <n v="499"/>
    <n v="0.04"/>
    <n v="0"/>
    <n v="2"/>
    <b v="0"/>
    <n v="0"/>
  </r>
  <r>
    <d v="2025-02-13T00:00:00"/>
    <x v="3"/>
    <n v="100"/>
    <n v="0.15"/>
    <n v="0"/>
    <n v="5"/>
    <b v="0"/>
    <n v="0"/>
  </r>
  <r>
    <d v="2025-02-13T00:00:00"/>
    <x v="4"/>
    <n v="185"/>
    <n v="0.03"/>
    <n v="0"/>
    <n v="2"/>
    <b v="0"/>
    <n v="0"/>
  </r>
  <r>
    <d v="2025-02-14T00:00:00"/>
    <x v="0"/>
    <n v="715"/>
    <n v="0.05"/>
    <n v="0"/>
    <n v="2"/>
    <b v="0"/>
    <n v="0"/>
  </r>
  <r>
    <d v="2025-02-14T00:00:00"/>
    <x v="1"/>
    <n v="775"/>
    <n v="0.02"/>
    <n v="0"/>
    <n v="2"/>
    <b v="0"/>
    <n v="0"/>
  </r>
  <r>
    <d v="2025-02-14T00:00:00"/>
    <x v="2"/>
    <n v="411"/>
    <n v="0.04"/>
    <n v="0"/>
    <n v="2"/>
    <b v="0"/>
    <n v="0"/>
  </r>
  <r>
    <d v="2025-02-14T00:00:00"/>
    <x v="3"/>
    <n v="707"/>
    <n v="0.15"/>
    <n v="0"/>
    <n v="5"/>
    <b v="0"/>
    <n v="0"/>
  </r>
  <r>
    <d v="2025-02-14T00:00:00"/>
    <x v="4"/>
    <n v="314"/>
    <n v="0.03"/>
    <n v="0"/>
    <n v="5"/>
    <b v="0"/>
    <n v="0"/>
  </r>
  <r>
    <d v="2025-02-15T00:00:00"/>
    <x v="0"/>
    <n v="161"/>
    <n v="0.05"/>
    <n v="0"/>
    <n v="2"/>
    <b v="0"/>
    <n v="0"/>
  </r>
  <r>
    <d v="2025-02-15T00:00:00"/>
    <x v="1"/>
    <n v="849"/>
    <n v="0.02"/>
    <n v="0"/>
    <n v="2"/>
    <b v="0"/>
    <n v="0"/>
  </r>
  <r>
    <d v="2025-02-15T00:00:00"/>
    <x v="2"/>
    <n v="84"/>
    <n v="0.04"/>
    <n v="0"/>
    <n v="2"/>
    <b v="0"/>
    <n v="0"/>
  </r>
  <r>
    <d v="2025-02-15T00:00:00"/>
    <x v="3"/>
    <n v="273"/>
    <n v="0.15"/>
    <n v="0"/>
    <n v="2"/>
    <b v="0"/>
    <n v="0"/>
  </r>
  <r>
    <d v="2025-02-15T00:00:00"/>
    <x v="4"/>
    <n v="478"/>
    <n v="0.03"/>
    <n v="0"/>
    <n v="2"/>
    <b v="0"/>
    <n v="0"/>
  </r>
  <r>
    <d v="2025-02-16T00:00:00"/>
    <x v="0"/>
    <n v="442"/>
    <n v="0.05"/>
    <n v="0"/>
    <n v="2"/>
    <b v="0"/>
    <n v="0"/>
  </r>
  <r>
    <d v="2025-02-16T00:00:00"/>
    <x v="1"/>
    <n v="200"/>
    <n v="0.02"/>
    <n v="0"/>
    <n v="10"/>
    <b v="0"/>
    <n v="0"/>
  </r>
  <r>
    <d v="2025-02-16T00:00:00"/>
    <x v="2"/>
    <n v="819"/>
    <n v="0.04"/>
    <n v="0"/>
    <n v="2"/>
    <b v="0"/>
    <n v="0"/>
  </r>
  <r>
    <d v="2025-02-16T00:00:00"/>
    <x v="3"/>
    <n v="863"/>
    <n v="0.15"/>
    <n v="0"/>
    <n v="2"/>
    <b v="0"/>
    <n v="0"/>
  </r>
  <r>
    <d v="2025-02-16T00:00:00"/>
    <x v="4"/>
    <n v="840"/>
    <n v="0.03"/>
    <n v="0"/>
    <n v="5"/>
    <b v="0"/>
    <n v="0"/>
  </r>
  <r>
    <d v="2025-02-17T00:00:00"/>
    <x v="0"/>
    <n v="413"/>
    <n v="0.05"/>
    <n v="0"/>
    <n v="2"/>
    <b v="0"/>
    <n v="0"/>
  </r>
  <r>
    <d v="2025-02-17T00:00:00"/>
    <x v="1"/>
    <n v="766"/>
    <n v="0.02"/>
    <n v="0"/>
    <n v="2"/>
    <b v="0"/>
    <n v="0"/>
  </r>
  <r>
    <d v="2025-02-17T00:00:00"/>
    <x v="2"/>
    <n v="344"/>
    <n v="0.04"/>
    <n v="0"/>
    <n v="2"/>
    <b v="0"/>
    <n v="0"/>
  </r>
  <r>
    <d v="2025-02-17T00:00:00"/>
    <x v="3"/>
    <n v="378"/>
    <n v="0.15"/>
    <n v="0"/>
    <n v="5"/>
    <b v="0"/>
    <n v="0"/>
  </r>
  <r>
    <d v="2025-02-17T00:00:00"/>
    <x v="4"/>
    <n v="0"/>
    <n v="0.03"/>
    <n v="0"/>
    <n v="2"/>
    <b v="0"/>
    <n v="1"/>
  </r>
  <r>
    <d v="2025-02-18T00:00:00"/>
    <x v="0"/>
    <n v="129"/>
    <n v="0.05"/>
    <n v="0"/>
    <n v="5"/>
    <b v="0"/>
    <n v="0"/>
  </r>
  <r>
    <d v="2025-02-18T00:00:00"/>
    <x v="1"/>
    <n v="664"/>
    <n v="0.02"/>
    <n v="0"/>
    <n v="2"/>
    <b v="0"/>
    <n v="0"/>
  </r>
  <r>
    <d v="2025-02-18T00:00:00"/>
    <x v="2"/>
    <n v="685"/>
    <n v="0.04"/>
    <n v="0"/>
    <n v="5"/>
    <b v="0"/>
    <n v="0"/>
  </r>
  <r>
    <d v="2025-02-18T00:00:00"/>
    <x v="3"/>
    <n v="666"/>
    <n v="0.15"/>
    <n v="0"/>
    <n v="2"/>
    <b v="0"/>
    <n v="0"/>
  </r>
  <r>
    <d v="2025-02-18T00:00:00"/>
    <x v="4"/>
    <n v="550"/>
    <n v="0.03"/>
    <n v="0"/>
    <n v="10"/>
    <b v="0"/>
    <n v="0"/>
  </r>
  <r>
    <d v="2025-02-19T00:00:00"/>
    <x v="0"/>
    <n v="156"/>
    <n v="0.05"/>
    <n v="0"/>
    <n v="5"/>
    <b v="0"/>
    <n v="0"/>
  </r>
  <r>
    <d v="2025-02-19T00:00:00"/>
    <x v="1"/>
    <n v="409"/>
    <n v="0.02"/>
    <n v="0"/>
    <n v="10"/>
    <b v="0"/>
    <n v="0"/>
  </r>
  <r>
    <d v="2025-02-19T00:00:00"/>
    <x v="2"/>
    <n v="272"/>
    <n v="0.04"/>
    <n v="0"/>
    <n v="2"/>
    <b v="0"/>
    <n v="0"/>
  </r>
  <r>
    <d v="2025-02-19T00:00:00"/>
    <x v="3"/>
    <n v="305"/>
    <n v="0.15"/>
    <n v="0"/>
    <n v="2"/>
    <b v="0"/>
    <n v="0"/>
  </r>
  <r>
    <d v="2025-02-19T00:00:00"/>
    <x v="4"/>
    <n v="5"/>
    <n v="0.03"/>
    <n v="0"/>
    <n v="10"/>
    <b v="0"/>
    <n v="0"/>
  </r>
  <r>
    <d v="2025-02-20T00:00:00"/>
    <x v="0"/>
    <n v="437"/>
    <n v="0.05"/>
    <n v="0"/>
    <n v="5"/>
    <b v="0"/>
    <n v="0"/>
  </r>
  <r>
    <d v="2025-02-20T00:00:00"/>
    <x v="1"/>
    <n v="870"/>
    <n v="0.02"/>
    <n v="0"/>
    <n v="5"/>
    <b v="0"/>
    <n v="0"/>
  </r>
  <r>
    <d v="2025-02-20T00:00:00"/>
    <x v="2"/>
    <n v="650"/>
    <n v="0.04"/>
    <n v="0"/>
    <n v="2"/>
    <b v="0"/>
    <n v="0"/>
  </r>
  <r>
    <d v="2025-02-20T00:00:00"/>
    <x v="3"/>
    <n v="54"/>
    <n v="0.15"/>
    <n v="0"/>
    <n v="2"/>
    <b v="0"/>
    <n v="0"/>
  </r>
  <r>
    <d v="2025-02-20T00:00:00"/>
    <x v="4"/>
    <n v="534"/>
    <n v="0.03"/>
    <n v="0"/>
    <n v="2"/>
    <b v="0"/>
    <n v="0"/>
  </r>
  <r>
    <d v="2025-02-21T00:00:00"/>
    <x v="0"/>
    <n v="176"/>
    <n v="0.05"/>
    <n v="0"/>
    <n v="2"/>
    <b v="0"/>
    <n v="0"/>
  </r>
  <r>
    <d v="2025-02-21T00:00:00"/>
    <x v="1"/>
    <n v="746"/>
    <n v="0.02"/>
    <n v="0"/>
    <n v="2"/>
    <b v="0"/>
    <n v="0"/>
  </r>
  <r>
    <d v="2025-02-21T00:00:00"/>
    <x v="2"/>
    <n v="157"/>
    <n v="0.04"/>
    <n v="0"/>
    <n v="2"/>
    <b v="0"/>
    <n v="0"/>
  </r>
  <r>
    <d v="2025-02-21T00:00:00"/>
    <x v="3"/>
    <n v="855"/>
    <n v="0.15"/>
    <n v="0"/>
    <n v="2"/>
    <b v="0"/>
    <n v="0"/>
  </r>
  <r>
    <d v="2025-02-21T00:00:00"/>
    <x v="4"/>
    <n v="526"/>
    <n v="0.03"/>
    <n v="0"/>
    <n v="5"/>
    <b v="0"/>
    <n v="0"/>
  </r>
  <r>
    <d v="2025-02-22T00:00:00"/>
    <x v="0"/>
    <n v="722"/>
    <n v="0.05"/>
    <n v="0"/>
    <n v="2"/>
    <b v="0"/>
    <n v="0"/>
  </r>
  <r>
    <d v="2025-02-22T00:00:00"/>
    <x v="1"/>
    <n v="498"/>
    <n v="0.02"/>
    <n v="0"/>
    <n v="2"/>
    <b v="0"/>
    <n v="0"/>
  </r>
  <r>
    <d v="2025-02-22T00:00:00"/>
    <x v="2"/>
    <n v="877"/>
    <n v="0.04"/>
    <n v="0"/>
    <n v="5"/>
    <b v="0"/>
    <n v="0"/>
  </r>
  <r>
    <d v="2025-02-22T00:00:00"/>
    <x v="3"/>
    <n v="741"/>
    <n v="0.15"/>
    <n v="0"/>
    <n v="2"/>
    <b v="0"/>
    <n v="0"/>
  </r>
  <r>
    <d v="2025-02-22T00:00:00"/>
    <x v="4"/>
    <n v="333"/>
    <n v="0.03"/>
    <n v="0"/>
    <n v="2"/>
    <b v="0"/>
    <n v="0"/>
  </r>
  <r>
    <d v="2025-02-23T00:00:00"/>
    <x v="0"/>
    <n v="497"/>
    <n v="0.05"/>
    <n v="0"/>
    <n v="2"/>
    <b v="0"/>
    <n v="0"/>
  </r>
  <r>
    <d v="2025-02-23T00:00:00"/>
    <x v="1"/>
    <n v="787"/>
    <n v="0.02"/>
    <n v="0"/>
    <n v="5"/>
    <b v="0"/>
    <n v="0"/>
  </r>
  <r>
    <d v="2025-02-23T00:00:00"/>
    <x v="2"/>
    <n v="795"/>
    <n v="0.04"/>
    <n v="0"/>
    <n v="2"/>
    <b v="0"/>
    <n v="0"/>
  </r>
  <r>
    <d v="2025-02-23T00:00:00"/>
    <x v="3"/>
    <n v="511"/>
    <n v="0.15"/>
    <n v="0"/>
    <n v="2"/>
    <b v="0"/>
    <n v="0"/>
  </r>
  <r>
    <d v="2025-02-23T00:00:00"/>
    <x v="4"/>
    <n v="0"/>
    <n v="0.03"/>
    <n v="0"/>
    <n v="2"/>
    <b v="0"/>
    <n v="1"/>
  </r>
  <r>
    <d v="2025-02-24T00:00:00"/>
    <x v="0"/>
    <n v="537"/>
    <n v="0.05"/>
    <n v="0"/>
    <n v="2"/>
    <b v="0"/>
    <n v="0"/>
  </r>
  <r>
    <d v="2025-02-24T00:00:00"/>
    <x v="1"/>
    <n v="153"/>
    <n v="0.02"/>
    <n v="0"/>
    <n v="2"/>
    <b v="0"/>
    <n v="0"/>
  </r>
  <r>
    <d v="2025-02-24T00:00:00"/>
    <x v="2"/>
    <n v="160"/>
    <n v="0.04"/>
    <n v="0"/>
    <n v="2"/>
    <b v="0"/>
    <n v="0"/>
  </r>
  <r>
    <d v="2025-02-24T00:00:00"/>
    <x v="3"/>
    <n v="586"/>
    <n v="0.15"/>
    <n v="0"/>
    <n v="2"/>
    <b v="0"/>
    <n v="0"/>
  </r>
  <r>
    <d v="2025-02-24T00:00:00"/>
    <x v="4"/>
    <n v="131"/>
    <n v="0.03"/>
    <n v="0"/>
    <n v="5"/>
    <b v="0"/>
    <n v="0"/>
  </r>
  <r>
    <d v="2025-02-25T00:00:00"/>
    <x v="0"/>
    <n v="295"/>
    <n v="0.05"/>
    <n v="0"/>
    <n v="2"/>
    <b v="0"/>
    <n v="0"/>
  </r>
  <r>
    <d v="2025-02-25T00:00:00"/>
    <x v="1"/>
    <n v="238"/>
    <n v="0.02"/>
    <n v="0"/>
    <n v="2"/>
    <b v="0"/>
    <n v="0"/>
  </r>
  <r>
    <d v="2025-02-25T00:00:00"/>
    <x v="2"/>
    <n v="620"/>
    <n v="0.04"/>
    <n v="0"/>
    <n v="5"/>
    <b v="0"/>
    <n v="0"/>
  </r>
  <r>
    <d v="2025-02-25T00:00:00"/>
    <x v="3"/>
    <n v="66"/>
    <n v="0.15"/>
    <n v="0"/>
    <n v="10"/>
    <b v="0"/>
    <n v="0"/>
  </r>
  <r>
    <d v="2025-02-25T00:00:00"/>
    <x v="4"/>
    <n v="858"/>
    <n v="0.03"/>
    <n v="0"/>
    <n v="2"/>
    <b v="0"/>
    <n v="0"/>
  </r>
  <r>
    <d v="2025-02-26T00:00:00"/>
    <x v="0"/>
    <n v="668"/>
    <n v="0.05"/>
    <n v="0"/>
    <n v="15"/>
    <b v="0"/>
    <n v="0"/>
  </r>
  <r>
    <d v="2025-02-26T00:00:00"/>
    <x v="1"/>
    <n v="725"/>
    <n v="0.02"/>
    <n v="0"/>
    <n v="2"/>
    <b v="0"/>
    <n v="0"/>
  </r>
  <r>
    <d v="2025-02-26T00:00:00"/>
    <x v="2"/>
    <n v="293"/>
    <n v="0.04"/>
    <n v="0"/>
    <n v="2"/>
    <b v="0"/>
    <n v="0"/>
  </r>
  <r>
    <d v="2025-02-26T00:00:00"/>
    <x v="3"/>
    <n v="431"/>
    <n v="0.15"/>
    <n v="0"/>
    <n v="5"/>
    <b v="0"/>
    <n v="0"/>
  </r>
  <r>
    <d v="2025-02-26T00:00:00"/>
    <x v="4"/>
    <n v="732"/>
    <n v="0.03"/>
    <n v="0"/>
    <n v="2"/>
    <b v="0"/>
    <n v="0"/>
  </r>
  <r>
    <d v="2025-02-27T00:00:00"/>
    <x v="0"/>
    <n v="633"/>
    <n v="0.05"/>
    <n v="0"/>
    <n v="5"/>
    <b v="0"/>
    <n v="0"/>
  </r>
  <r>
    <d v="2025-02-27T00:00:00"/>
    <x v="1"/>
    <n v="692"/>
    <n v="0.02"/>
    <n v="0"/>
    <n v="5"/>
    <b v="0"/>
    <n v="0"/>
  </r>
  <r>
    <d v="2025-02-27T00:00:00"/>
    <x v="2"/>
    <n v="896"/>
    <n v="0.04"/>
    <n v="0"/>
    <n v="2"/>
    <b v="0"/>
    <n v="0"/>
  </r>
  <r>
    <d v="2025-02-27T00:00:00"/>
    <x v="3"/>
    <n v="657"/>
    <n v="0.15"/>
    <n v="0"/>
    <n v="15"/>
    <b v="0"/>
    <n v="0"/>
  </r>
  <r>
    <d v="2025-02-27T00:00:00"/>
    <x v="4"/>
    <n v="367"/>
    <n v="0.03"/>
    <n v="0"/>
    <n v="5"/>
    <b v="0"/>
    <n v="0"/>
  </r>
  <r>
    <d v="2025-02-28T00:00:00"/>
    <x v="0"/>
    <n v="188"/>
    <n v="0.05"/>
    <n v="0"/>
    <n v="5"/>
    <b v="0"/>
    <n v="0"/>
  </r>
  <r>
    <d v="2025-02-28T00:00:00"/>
    <x v="1"/>
    <n v="194"/>
    <n v="0.02"/>
    <n v="0"/>
    <n v="2"/>
    <b v="0"/>
    <n v="0"/>
  </r>
  <r>
    <d v="2025-02-28T00:00:00"/>
    <x v="2"/>
    <n v="40"/>
    <n v="0.04"/>
    <n v="0"/>
    <n v="2"/>
    <b v="0"/>
    <n v="0"/>
  </r>
  <r>
    <d v="2025-02-28T00:00:00"/>
    <x v="3"/>
    <n v="196"/>
    <n v="0.15"/>
    <n v="0"/>
    <n v="10"/>
    <b v="0"/>
    <n v="0"/>
  </r>
  <r>
    <d v="2025-02-28T00:00:00"/>
    <x v="4"/>
    <n v="25"/>
    <n v="0.03"/>
    <n v="0"/>
    <n v="2"/>
    <b v="0"/>
    <n v="0"/>
  </r>
  <r>
    <d v="2025-03-01T00:00:00"/>
    <x v="0"/>
    <n v="665"/>
    <n v="0.05"/>
    <n v="0"/>
    <n v="5"/>
    <b v="0"/>
    <n v="0"/>
  </r>
  <r>
    <d v="2025-03-01T00:00:00"/>
    <x v="1"/>
    <n v="271"/>
    <n v="0.02"/>
    <n v="0"/>
    <n v="2"/>
    <b v="0"/>
    <n v="0"/>
  </r>
  <r>
    <d v="2025-03-01T00:00:00"/>
    <x v="2"/>
    <n v="559"/>
    <n v="0.04"/>
    <n v="0"/>
    <n v="2"/>
    <b v="0"/>
    <n v="0"/>
  </r>
  <r>
    <d v="2025-03-01T00:00:00"/>
    <x v="3"/>
    <n v="776"/>
    <n v="0.15"/>
    <n v="0"/>
    <n v="2"/>
    <b v="0"/>
    <n v="0"/>
  </r>
  <r>
    <d v="2025-03-01T00:00:00"/>
    <x v="4"/>
    <n v="438"/>
    <n v="0.03"/>
    <n v="0"/>
    <n v="5"/>
    <b v="0"/>
    <n v="0"/>
  </r>
  <r>
    <d v="2025-03-02T00:00:00"/>
    <x v="0"/>
    <n v="0"/>
    <n v="0.05"/>
    <n v="0"/>
    <n v="2"/>
    <b v="0"/>
    <n v="1"/>
  </r>
  <r>
    <d v="2025-03-02T00:00:00"/>
    <x v="1"/>
    <n v="308"/>
    <n v="0.02"/>
    <n v="0"/>
    <n v="2"/>
    <b v="0"/>
    <n v="0"/>
  </r>
  <r>
    <d v="2025-03-02T00:00:00"/>
    <x v="2"/>
    <n v="503"/>
    <n v="0.04"/>
    <n v="0"/>
    <n v="5"/>
    <b v="0"/>
    <n v="0"/>
  </r>
  <r>
    <d v="2025-03-02T00:00:00"/>
    <x v="3"/>
    <n v="178"/>
    <n v="0.15"/>
    <n v="0"/>
    <n v="5"/>
    <b v="0"/>
    <n v="0"/>
  </r>
  <r>
    <d v="2025-03-02T00:00:00"/>
    <x v="4"/>
    <n v="883"/>
    <n v="0.03"/>
    <n v="0"/>
    <n v="5"/>
    <b v="0"/>
    <n v="0"/>
  </r>
  <r>
    <d v="2025-03-03T00:00:00"/>
    <x v="0"/>
    <n v="571"/>
    <n v="0.05"/>
    <n v="0"/>
    <n v="2"/>
    <b v="0"/>
    <n v="0"/>
  </r>
  <r>
    <d v="2025-03-03T00:00:00"/>
    <x v="1"/>
    <n v="631"/>
    <n v="0.02"/>
    <n v="0"/>
    <n v="2"/>
    <b v="0"/>
    <n v="0"/>
  </r>
  <r>
    <d v="2025-03-03T00:00:00"/>
    <x v="2"/>
    <n v="24"/>
    <n v="0.04"/>
    <n v="0"/>
    <n v="2"/>
    <b v="0"/>
    <n v="0"/>
  </r>
  <r>
    <d v="2025-03-03T00:00:00"/>
    <x v="3"/>
    <n v="64"/>
    <n v="0.15"/>
    <n v="0"/>
    <n v="5"/>
    <b v="0"/>
    <n v="0"/>
  </r>
  <r>
    <d v="2025-03-03T00:00:00"/>
    <x v="4"/>
    <n v="627"/>
    <n v="0.03"/>
    <n v="0"/>
    <n v="2"/>
    <b v="0"/>
    <n v="0"/>
  </r>
  <r>
    <d v="2025-03-04T00:00:00"/>
    <x v="0"/>
    <n v="138"/>
    <n v="0.05"/>
    <n v="0"/>
    <n v="5"/>
    <b v="0"/>
    <n v="0"/>
  </r>
  <r>
    <d v="2025-03-04T00:00:00"/>
    <x v="1"/>
    <n v="685"/>
    <n v="0.02"/>
    <n v="0"/>
    <n v="2"/>
    <b v="0"/>
    <n v="0"/>
  </r>
  <r>
    <d v="2025-03-04T00:00:00"/>
    <x v="2"/>
    <n v="257"/>
    <n v="0.04"/>
    <n v="0"/>
    <n v="5"/>
    <b v="0"/>
    <n v="0"/>
  </r>
  <r>
    <d v="2025-03-04T00:00:00"/>
    <x v="3"/>
    <n v="753"/>
    <n v="0.15"/>
    <n v="0"/>
    <n v="2"/>
    <b v="0"/>
    <n v="0"/>
  </r>
  <r>
    <d v="2025-03-04T00:00:00"/>
    <x v="4"/>
    <n v="425"/>
    <n v="0.03"/>
    <n v="0"/>
    <n v="5"/>
    <b v="0"/>
    <n v="0"/>
  </r>
  <r>
    <d v="2025-03-05T00:00:00"/>
    <x v="0"/>
    <n v="397"/>
    <n v="0.05"/>
    <n v="0"/>
    <n v="2"/>
    <b v="0"/>
    <n v="0"/>
  </r>
  <r>
    <d v="2025-03-05T00:00:00"/>
    <x v="1"/>
    <n v="537"/>
    <n v="0.02"/>
    <n v="0"/>
    <n v="2"/>
    <b v="0"/>
    <n v="0"/>
  </r>
  <r>
    <d v="2025-03-05T00:00:00"/>
    <x v="2"/>
    <n v="640"/>
    <n v="0.04"/>
    <n v="0"/>
    <n v="15"/>
    <b v="0"/>
    <n v="0"/>
  </r>
  <r>
    <d v="2025-03-05T00:00:00"/>
    <x v="3"/>
    <n v="613"/>
    <n v="0.15"/>
    <n v="0"/>
    <n v="5"/>
    <b v="0"/>
    <n v="0"/>
  </r>
  <r>
    <d v="2025-03-05T00:00:00"/>
    <x v="4"/>
    <n v="595"/>
    <n v="0.03"/>
    <n v="0"/>
    <n v="2"/>
    <b v="0"/>
    <n v="0"/>
  </r>
  <r>
    <d v="2025-03-06T00:00:00"/>
    <x v="0"/>
    <n v="438"/>
    <n v="0.05"/>
    <n v="0"/>
    <n v="2"/>
    <b v="0"/>
    <n v="0"/>
  </r>
  <r>
    <d v="2025-03-06T00:00:00"/>
    <x v="1"/>
    <n v="352"/>
    <n v="0.02"/>
    <n v="0"/>
    <n v="15"/>
    <b v="0"/>
    <n v="0"/>
  </r>
  <r>
    <d v="2025-03-06T00:00:00"/>
    <x v="2"/>
    <n v="696"/>
    <n v="0.04"/>
    <n v="0"/>
    <n v="5"/>
    <b v="0"/>
    <n v="0"/>
  </r>
  <r>
    <d v="2025-03-06T00:00:00"/>
    <x v="3"/>
    <n v="844"/>
    <n v="0.15"/>
    <n v="0"/>
    <n v="5"/>
    <b v="0"/>
    <n v="0"/>
  </r>
  <r>
    <d v="2025-03-06T00:00:00"/>
    <x v="4"/>
    <n v="292"/>
    <n v="0.03"/>
    <n v="0"/>
    <n v="15"/>
    <b v="0"/>
    <n v="0"/>
  </r>
  <r>
    <d v="2025-03-07T00:00:00"/>
    <x v="0"/>
    <n v="85"/>
    <n v="0.05"/>
    <n v="0"/>
    <n v="5"/>
    <b v="0"/>
    <n v="0"/>
  </r>
  <r>
    <d v="2025-03-07T00:00:00"/>
    <x v="1"/>
    <n v="383"/>
    <n v="0.02"/>
    <n v="0"/>
    <n v="2"/>
    <b v="0"/>
    <n v="0"/>
  </r>
  <r>
    <d v="2025-03-07T00:00:00"/>
    <x v="2"/>
    <n v="898"/>
    <n v="0.04"/>
    <n v="0"/>
    <n v="2"/>
    <b v="0"/>
    <n v="0"/>
  </r>
  <r>
    <d v="2025-03-07T00:00:00"/>
    <x v="3"/>
    <n v="517"/>
    <n v="0.15"/>
    <n v="0"/>
    <n v="2"/>
    <b v="0"/>
    <n v="0"/>
  </r>
  <r>
    <d v="2025-03-07T00:00:00"/>
    <x v="4"/>
    <n v="790"/>
    <n v="0.03"/>
    <n v="0"/>
    <n v="5"/>
    <b v="0"/>
    <n v="0"/>
  </r>
  <r>
    <d v="2025-03-08T00:00:00"/>
    <x v="0"/>
    <n v="723"/>
    <n v="0.05"/>
    <n v="0"/>
    <n v="2"/>
    <b v="0"/>
    <n v="0"/>
  </r>
  <r>
    <d v="2025-03-08T00:00:00"/>
    <x v="1"/>
    <n v="775"/>
    <n v="0.02"/>
    <n v="0"/>
    <n v="2"/>
    <b v="0"/>
    <n v="0"/>
  </r>
  <r>
    <d v="2025-03-08T00:00:00"/>
    <x v="2"/>
    <n v="592"/>
    <n v="0.04"/>
    <n v="0"/>
    <n v="2"/>
    <b v="0"/>
    <n v="0"/>
  </r>
  <r>
    <d v="2025-03-08T00:00:00"/>
    <x v="3"/>
    <n v="0"/>
    <n v="0.15"/>
    <n v="0"/>
    <n v="2"/>
    <b v="0"/>
    <n v="1"/>
  </r>
  <r>
    <d v="2025-03-08T00:00:00"/>
    <x v="4"/>
    <n v="50"/>
    <n v="0.03"/>
    <n v="0"/>
    <n v="5"/>
    <b v="0"/>
    <n v="0"/>
  </r>
  <r>
    <d v="2025-03-09T00:00:00"/>
    <x v="0"/>
    <n v="288"/>
    <n v="0.05"/>
    <n v="0"/>
    <n v="2"/>
    <b v="0"/>
    <n v="0"/>
  </r>
  <r>
    <d v="2025-03-09T00:00:00"/>
    <x v="1"/>
    <n v="899"/>
    <n v="0.02"/>
    <n v="0"/>
    <n v="2"/>
    <b v="0"/>
    <n v="0"/>
  </r>
  <r>
    <d v="2025-03-09T00:00:00"/>
    <x v="2"/>
    <n v="450"/>
    <n v="0.04"/>
    <n v="0"/>
    <n v="2"/>
    <b v="0"/>
    <n v="0"/>
  </r>
  <r>
    <d v="2025-03-09T00:00:00"/>
    <x v="3"/>
    <n v="496"/>
    <n v="0.15"/>
    <n v="0"/>
    <n v="2"/>
    <b v="0"/>
    <n v="0"/>
  </r>
  <r>
    <d v="2025-03-09T00:00:00"/>
    <x v="4"/>
    <n v="116"/>
    <n v="0.03"/>
    <n v="0"/>
    <n v="2"/>
    <b v="0"/>
    <n v="0"/>
  </r>
  <r>
    <d v="2025-03-10T00:00:00"/>
    <x v="0"/>
    <n v="181"/>
    <n v="0.05"/>
    <n v="0"/>
    <n v="2"/>
    <b v="0"/>
    <n v="0"/>
  </r>
  <r>
    <d v="2025-03-10T00:00:00"/>
    <x v="1"/>
    <n v="96"/>
    <n v="0.02"/>
    <n v="0"/>
    <n v="5"/>
    <b v="0"/>
    <n v="0"/>
  </r>
  <r>
    <d v="2025-03-10T00:00:00"/>
    <x v="2"/>
    <n v="630"/>
    <n v="0.04"/>
    <n v="0"/>
    <n v="5"/>
    <b v="0"/>
    <n v="0"/>
  </r>
  <r>
    <d v="2025-03-10T00:00:00"/>
    <x v="3"/>
    <n v="860"/>
    <n v="0.15"/>
    <n v="0"/>
    <n v="2"/>
    <b v="0"/>
    <n v="0"/>
  </r>
  <r>
    <d v="2025-03-10T00:00:00"/>
    <x v="4"/>
    <n v="118"/>
    <n v="0.03"/>
    <n v="0"/>
    <n v="2"/>
    <b v="0"/>
    <n v="0"/>
  </r>
  <r>
    <d v="2025-03-11T00:00:00"/>
    <x v="0"/>
    <n v="302"/>
    <n v="0.05"/>
    <n v="0"/>
    <n v="2"/>
    <b v="0"/>
    <n v="0"/>
  </r>
  <r>
    <d v="2025-03-11T00:00:00"/>
    <x v="1"/>
    <n v="777"/>
    <n v="0.02"/>
    <n v="0"/>
    <n v="2"/>
    <b v="0"/>
    <n v="0"/>
  </r>
  <r>
    <d v="2025-03-11T00:00:00"/>
    <x v="2"/>
    <n v="52"/>
    <n v="0.04"/>
    <n v="0"/>
    <n v="2"/>
    <b v="0"/>
    <n v="0"/>
  </r>
  <r>
    <d v="2025-03-11T00:00:00"/>
    <x v="3"/>
    <n v="215"/>
    <n v="0.15"/>
    <n v="0"/>
    <n v="15"/>
    <b v="0"/>
    <n v="0"/>
  </r>
  <r>
    <d v="2025-03-11T00:00:00"/>
    <x v="4"/>
    <n v="365"/>
    <n v="0.03"/>
    <n v="0"/>
    <n v="2"/>
    <b v="0"/>
    <n v="0"/>
  </r>
  <r>
    <d v="2025-03-12T00:00:00"/>
    <x v="0"/>
    <n v="772"/>
    <n v="0.05"/>
    <n v="0"/>
    <n v="2"/>
    <b v="0"/>
    <n v="0"/>
  </r>
  <r>
    <d v="2025-03-12T00:00:00"/>
    <x v="1"/>
    <n v="64"/>
    <n v="0.02"/>
    <n v="0"/>
    <n v="5"/>
    <b v="0"/>
    <n v="0"/>
  </r>
  <r>
    <d v="2025-03-12T00:00:00"/>
    <x v="2"/>
    <n v="582"/>
    <n v="0.04"/>
    <n v="0"/>
    <n v="2"/>
    <b v="0"/>
    <n v="0"/>
  </r>
  <r>
    <d v="2025-03-12T00:00:00"/>
    <x v="3"/>
    <n v="673"/>
    <n v="0.15"/>
    <n v="0"/>
    <n v="2"/>
    <b v="0"/>
    <n v="0"/>
  </r>
  <r>
    <d v="2025-03-12T00:00:00"/>
    <x v="4"/>
    <n v="156"/>
    <n v="0.03"/>
    <n v="0"/>
    <n v="5"/>
    <b v="0"/>
    <n v="0"/>
  </r>
  <r>
    <d v="2025-03-13T00:00:00"/>
    <x v="0"/>
    <n v="149"/>
    <n v="0.05"/>
    <n v="0"/>
    <n v="2"/>
    <b v="0"/>
    <n v="0"/>
  </r>
  <r>
    <d v="2025-03-13T00:00:00"/>
    <x v="1"/>
    <n v="353"/>
    <n v="0.02"/>
    <n v="0"/>
    <n v="5"/>
    <b v="0"/>
    <n v="0"/>
  </r>
  <r>
    <d v="2025-03-13T00:00:00"/>
    <x v="2"/>
    <n v="238"/>
    <n v="0.04"/>
    <n v="0"/>
    <n v="2"/>
    <b v="0"/>
    <n v="0"/>
  </r>
  <r>
    <d v="2025-03-13T00:00:00"/>
    <x v="3"/>
    <n v="22"/>
    <n v="0.15"/>
    <n v="0"/>
    <n v="10"/>
    <b v="0"/>
    <n v="0"/>
  </r>
  <r>
    <d v="2025-03-13T00:00:00"/>
    <x v="4"/>
    <n v="446"/>
    <n v="0.03"/>
    <n v="0"/>
    <n v="2"/>
    <b v="0"/>
    <n v="0"/>
  </r>
  <r>
    <d v="2025-03-14T00:00:00"/>
    <x v="0"/>
    <n v="162"/>
    <n v="0.05"/>
    <n v="0"/>
    <n v="2"/>
    <b v="0"/>
    <n v="0"/>
  </r>
  <r>
    <d v="2025-03-14T00:00:00"/>
    <x v="1"/>
    <n v="421"/>
    <n v="0.02"/>
    <n v="0"/>
    <n v="5"/>
    <b v="0"/>
    <n v="0"/>
  </r>
  <r>
    <d v="2025-03-14T00:00:00"/>
    <x v="2"/>
    <n v="48"/>
    <n v="0.04"/>
    <n v="0"/>
    <n v="10"/>
    <b v="0"/>
    <n v="0"/>
  </r>
  <r>
    <d v="2025-03-14T00:00:00"/>
    <x v="3"/>
    <n v="626"/>
    <n v="0.15"/>
    <n v="0"/>
    <n v="2"/>
    <b v="0"/>
    <n v="0"/>
  </r>
  <r>
    <d v="2025-03-14T00:00:00"/>
    <x v="4"/>
    <n v="105"/>
    <n v="0.03"/>
    <n v="0"/>
    <n v="2"/>
    <b v="0"/>
    <n v="0"/>
  </r>
  <r>
    <d v="2025-03-15T00:00:00"/>
    <x v="0"/>
    <n v="265"/>
    <n v="0.05"/>
    <n v="0"/>
    <n v="2"/>
    <b v="0"/>
    <n v="0"/>
  </r>
  <r>
    <d v="2025-03-15T00:00:00"/>
    <x v="1"/>
    <n v="0"/>
    <n v="0.02"/>
    <n v="0"/>
    <n v="5"/>
    <b v="0"/>
    <n v="1"/>
  </r>
  <r>
    <d v="2025-03-15T00:00:00"/>
    <x v="2"/>
    <n v="346"/>
    <n v="0.04"/>
    <n v="0"/>
    <n v="15"/>
    <b v="0"/>
    <n v="0"/>
  </r>
  <r>
    <d v="2025-03-15T00:00:00"/>
    <x v="3"/>
    <n v="103"/>
    <n v="0.15"/>
    <n v="0"/>
    <n v="2"/>
    <b v="0"/>
    <n v="0"/>
  </r>
  <r>
    <d v="2025-03-15T00:00:00"/>
    <x v="4"/>
    <n v="783"/>
    <n v="0.03"/>
    <n v="0"/>
    <n v="2"/>
    <b v="0"/>
    <n v="0"/>
  </r>
  <r>
    <d v="2025-03-16T00:00:00"/>
    <x v="0"/>
    <n v="404"/>
    <n v="0.05"/>
    <n v="0"/>
    <n v="2"/>
    <b v="0"/>
    <n v="0"/>
  </r>
  <r>
    <d v="2025-03-16T00:00:00"/>
    <x v="1"/>
    <n v="519"/>
    <n v="0.02"/>
    <n v="0"/>
    <n v="5"/>
    <b v="0"/>
    <n v="0"/>
  </r>
  <r>
    <d v="2025-03-16T00:00:00"/>
    <x v="2"/>
    <n v="400"/>
    <n v="0.04"/>
    <n v="0"/>
    <n v="2"/>
    <b v="0"/>
    <n v="0"/>
  </r>
  <r>
    <d v="2025-03-16T00:00:00"/>
    <x v="3"/>
    <n v="655"/>
    <n v="0.15"/>
    <n v="0"/>
    <n v="10"/>
    <b v="0"/>
    <n v="0"/>
  </r>
  <r>
    <d v="2025-03-16T00:00:00"/>
    <x v="4"/>
    <n v="360"/>
    <n v="0.03"/>
    <n v="0"/>
    <n v="2"/>
    <b v="0"/>
    <n v="0"/>
  </r>
  <r>
    <d v="2025-03-17T00:00:00"/>
    <x v="0"/>
    <n v="108"/>
    <n v="0.05"/>
    <n v="0"/>
    <n v="2"/>
    <b v="0"/>
    <n v="0"/>
  </r>
  <r>
    <d v="2025-03-17T00:00:00"/>
    <x v="1"/>
    <n v="780"/>
    <n v="0.02"/>
    <n v="0"/>
    <n v="5"/>
    <b v="0"/>
    <n v="0"/>
  </r>
  <r>
    <d v="2025-03-17T00:00:00"/>
    <x v="2"/>
    <n v="588"/>
    <n v="0.04"/>
    <n v="0"/>
    <n v="15"/>
    <b v="0"/>
    <n v="0"/>
  </r>
  <r>
    <d v="2025-03-17T00:00:00"/>
    <x v="3"/>
    <n v="285"/>
    <n v="0.15"/>
    <n v="0"/>
    <n v="2"/>
    <b v="0"/>
    <n v="0"/>
  </r>
  <r>
    <d v="2025-03-17T00:00:00"/>
    <x v="4"/>
    <n v="170"/>
    <n v="0.03"/>
    <n v="0"/>
    <n v="2"/>
    <b v="0"/>
    <n v="0"/>
  </r>
  <r>
    <d v="2025-03-18T00:00:00"/>
    <x v="0"/>
    <n v="788"/>
    <n v="0.05"/>
    <n v="0"/>
    <n v="15"/>
    <b v="0"/>
    <n v="0"/>
  </r>
  <r>
    <d v="2025-03-18T00:00:00"/>
    <x v="1"/>
    <n v="297"/>
    <n v="0.02"/>
    <n v="0"/>
    <n v="2"/>
    <b v="0"/>
    <n v="0"/>
  </r>
  <r>
    <d v="2025-03-18T00:00:00"/>
    <x v="2"/>
    <n v="851"/>
    <n v="0.04"/>
    <n v="0"/>
    <n v="5"/>
    <b v="0"/>
    <n v="0"/>
  </r>
  <r>
    <d v="2025-03-18T00:00:00"/>
    <x v="3"/>
    <n v="467"/>
    <n v="0.15"/>
    <n v="0"/>
    <n v="15"/>
    <b v="0"/>
    <n v="0"/>
  </r>
  <r>
    <d v="2025-03-18T00:00:00"/>
    <x v="4"/>
    <n v="402"/>
    <n v="0.03"/>
    <n v="0"/>
    <n v="2"/>
    <b v="0"/>
    <n v="0"/>
  </r>
  <r>
    <d v="2025-03-19T00:00:00"/>
    <x v="0"/>
    <n v="659"/>
    <n v="0.05"/>
    <n v="0"/>
    <n v="2"/>
    <b v="0"/>
    <n v="0"/>
  </r>
  <r>
    <d v="2025-03-19T00:00:00"/>
    <x v="1"/>
    <n v="531"/>
    <n v="0.02"/>
    <n v="0"/>
    <n v="2"/>
    <b v="0"/>
    <n v="0"/>
  </r>
  <r>
    <d v="2025-03-19T00:00:00"/>
    <x v="2"/>
    <n v="87"/>
    <n v="0.04"/>
    <n v="0"/>
    <n v="5"/>
    <b v="0"/>
    <n v="0"/>
  </r>
  <r>
    <d v="2025-03-19T00:00:00"/>
    <x v="3"/>
    <n v="21"/>
    <n v="0.15"/>
    <n v="0"/>
    <n v="15"/>
    <b v="0"/>
    <n v="0"/>
  </r>
  <r>
    <d v="2025-03-19T00:00:00"/>
    <x v="4"/>
    <n v="528"/>
    <n v="0.03"/>
    <n v="0"/>
    <n v="2"/>
    <b v="0"/>
    <n v="0"/>
  </r>
  <r>
    <d v="2025-03-20T00:00:00"/>
    <x v="0"/>
    <n v="199"/>
    <n v="0.05"/>
    <n v="0"/>
    <n v="5"/>
    <b v="0"/>
    <n v="0"/>
  </r>
  <r>
    <d v="2025-03-20T00:00:00"/>
    <x v="1"/>
    <n v="429"/>
    <n v="0.02"/>
    <n v="0"/>
    <n v="2"/>
    <b v="0"/>
    <n v="0"/>
  </r>
  <r>
    <d v="2025-03-20T00:00:00"/>
    <x v="2"/>
    <n v="89"/>
    <n v="0.04"/>
    <n v="0"/>
    <n v="15"/>
    <b v="0"/>
    <n v="0"/>
  </r>
  <r>
    <d v="2025-03-20T00:00:00"/>
    <x v="3"/>
    <n v="513"/>
    <n v="0.15"/>
    <n v="0"/>
    <n v="5"/>
    <b v="0"/>
    <n v="0"/>
  </r>
  <r>
    <d v="2025-03-20T00:00:00"/>
    <x v="4"/>
    <n v="179"/>
    <n v="0.03"/>
    <n v="0"/>
    <n v="5"/>
    <b v="0"/>
    <n v="0"/>
  </r>
  <r>
    <d v="2025-03-21T00:00:00"/>
    <x v="0"/>
    <n v="666"/>
    <n v="0.05"/>
    <n v="0"/>
    <n v="5"/>
    <b v="0"/>
    <n v="0"/>
  </r>
  <r>
    <d v="2025-03-21T00:00:00"/>
    <x v="1"/>
    <n v="287"/>
    <n v="0.02"/>
    <n v="0"/>
    <n v="10"/>
    <b v="0"/>
    <n v="0"/>
  </r>
  <r>
    <d v="2025-03-21T00:00:00"/>
    <x v="2"/>
    <n v="709"/>
    <n v="0.04"/>
    <n v="0"/>
    <n v="2"/>
    <b v="0"/>
    <n v="0"/>
  </r>
  <r>
    <d v="2025-03-21T00:00:00"/>
    <x v="3"/>
    <n v="0"/>
    <n v="0.15"/>
    <n v="0"/>
    <n v="5"/>
    <b v="0"/>
    <n v="1"/>
  </r>
  <r>
    <d v="2025-03-21T00:00:00"/>
    <x v="4"/>
    <n v="822"/>
    <n v="0.03"/>
    <n v="0"/>
    <n v="2"/>
    <b v="0"/>
    <n v="0"/>
  </r>
  <r>
    <d v="2025-03-22T00:00:00"/>
    <x v="0"/>
    <n v="840"/>
    <n v="0.05"/>
    <n v="0"/>
    <n v="5"/>
    <b v="0"/>
    <n v="0"/>
  </r>
  <r>
    <d v="2025-03-22T00:00:00"/>
    <x v="1"/>
    <n v="688"/>
    <n v="0.02"/>
    <n v="0"/>
    <n v="2"/>
    <b v="0"/>
    <n v="0"/>
  </r>
  <r>
    <d v="2025-03-22T00:00:00"/>
    <x v="2"/>
    <n v="115"/>
    <n v="0.04"/>
    <n v="0"/>
    <n v="2"/>
    <b v="0"/>
    <n v="0"/>
  </r>
  <r>
    <d v="2025-03-22T00:00:00"/>
    <x v="3"/>
    <n v="755"/>
    <n v="0.15"/>
    <n v="0"/>
    <n v="15"/>
    <b v="0"/>
    <n v="0"/>
  </r>
  <r>
    <d v="2025-03-22T00:00:00"/>
    <x v="4"/>
    <n v="611"/>
    <n v="0.03"/>
    <n v="0"/>
    <n v="2"/>
    <b v="0"/>
    <n v="0"/>
  </r>
  <r>
    <d v="2025-03-23T00:00:00"/>
    <x v="0"/>
    <n v="345"/>
    <n v="0.05"/>
    <n v="0"/>
    <n v="15"/>
    <b v="0"/>
    <n v="0"/>
  </r>
  <r>
    <d v="2025-03-23T00:00:00"/>
    <x v="1"/>
    <n v="538"/>
    <n v="0.02"/>
    <n v="0"/>
    <n v="5"/>
    <b v="0"/>
    <n v="0"/>
  </r>
  <r>
    <d v="2025-03-23T00:00:00"/>
    <x v="2"/>
    <n v="273"/>
    <n v="0.04"/>
    <n v="0"/>
    <n v="2"/>
    <b v="0"/>
    <n v="0"/>
  </r>
  <r>
    <d v="2025-03-23T00:00:00"/>
    <x v="3"/>
    <n v="639"/>
    <n v="0.15"/>
    <n v="0"/>
    <n v="10"/>
    <b v="0"/>
    <n v="0"/>
  </r>
  <r>
    <d v="2025-03-23T00:00:00"/>
    <x v="4"/>
    <n v="418"/>
    <n v="0.03"/>
    <n v="0"/>
    <n v="2"/>
    <b v="0"/>
    <n v="0"/>
  </r>
  <r>
    <d v="2025-03-24T00:00:00"/>
    <x v="0"/>
    <n v="118"/>
    <n v="0.05"/>
    <n v="0"/>
    <n v="2"/>
    <b v="0"/>
    <n v="0"/>
  </r>
  <r>
    <d v="2025-03-24T00:00:00"/>
    <x v="1"/>
    <n v="819"/>
    <n v="0.02"/>
    <n v="0"/>
    <n v="5"/>
    <b v="0"/>
    <n v="0"/>
  </r>
  <r>
    <d v="2025-03-24T00:00:00"/>
    <x v="2"/>
    <n v="556"/>
    <n v="0.04"/>
    <n v="0"/>
    <n v="5"/>
    <b v="0"/>
    <n v="0"/>
  </r>
  <r>
    <d v="2025-03-24T00:00:00"/>
    <x v="3"/>
    <n v="655"/>
    <n v="0.15"/>
    <n v="0"/>
    <n v="2"/>
    <b v="0"/>
    <n v="0"/>
  </r>
  <r>
    <d v="2025-03-24T00:00:00"/>
    <x v="4"/>
    <n v="763"/>
    <n v="0.03"/>
    <n v="0"/>
    <n v="2"/>
    <b v="0"/>
    <n v="0"/>
  </r>
  <r>
    <d v="2025-03-25T00:00:00"/>
    <x v="0"/>
    <n v="393"/>
    <n v="0.05"/>
    <n v="0"/>
    <n v="5"/>
    <b v="0"/>
    <n v="0"/>
  </r>
  <r>
    <d v="2025-03-25T00:00:00"/>
    <x v="1"/>
    <n v="793"/>
    <n v="0.02"/>
    <n v="0"/>
    <n v="2"/>
    <b v="0"/>
    <n v="0"/>
  </r>
  <r>
    <d v="2025-03-25T00:00:00"/>
    <x v="2"/>
    <n v="323"/>
    <n v="0.04"/>
    <n v="0"/>
    <n v="2"/>
    <b v="0"/>
    <n v="0"/>
  </r>
  <r>
    <d v="2025-03-25T00:00:00"/>
    <x v="3"/>
    <n v="173"/>
    <n v="0.15"/>
    <n v="0"/>
    <n v="2"/>
    <b v="0"/>
    <n v="0"/>
  </r>
  <r>
    <d v="2025-03-25T00:00:00"/>
    <x v="4"/>
    <n v="869"/>
    <n v="0.03"/>
    <n v="0"/>
    <n v="2"/>
    <b v="0"/>
    <n v="0"/>
  </r>
  <r>
    <d v="2025-03-26T00:00:00"/>
    <x v="0"/>
    <n v="478"/>
    <n v="0.05"/>
    <n v="0"/>
    <n v="5"/>
    <b v="0"/>
    <n v="0"/>
  </r>
  <r>
    <d v="2025-03-26T00:00:00"/>
    <x v="1"/>
    <n v="669"/>
    <n v="0.02"/>
    <n v="0"/>
    <n v="2"/>
    <b v="0"/>
    <n v="0"/>
  </r>
  <r>
    <d v="2025-03-26T00:00:00"/>
    <x v="2"/>
    <n v="593"/>
    <n v="0.04"/>
    <n v="0"/>
    <n v="2"/>
    <b v="0"/>
    <n v="0"/>
  </r>
  <r>
    <d v="2025-03-26T00:00:00"/>
    <x v="3"/>
    <n v="537"/>
    <n v="0.15"/>
    <n v="0"/>
    <n v="2"/>
    <b v="0"/>
    <n v="0"/>
  </r>
  <r>
    <d v="2025-03-26T00:00:00"/>
    <x v="4"/>
    <n v="377"/>
    <n v="0.03"/>
    <n v="0"/>
    <n v="2"/>
    <b v="0"/>
    <n v="0"/>
  </r>
  <r>
    <d v="2025-03-27T00:00:00"/>
    <x v="0"/>
    <n v="42"/>
    <n v="0.05"/>
    <n v="0"/>
    <n v="2"/>
    <b v="0"/>
    <n v="0"/>
  </r>
  <r>
    <d v="2025-03-27T00:00:00"/>
    <x v="1"/>
    <n v="620"/>
    <n v="0.02"/>
    <n v="0"/>
    <n v="10"/>
    <b v="0"/>
    <n v="0"/>
  </r>
  <r>
    <d v="2025-03-27T00:00:00"/>
    <x v="2"/>
    <n v="132"/>
    <n v="0.04"/>
    <n v="0"/>
    <n v="2"/>
    <b v="0"/>
    <n v="0"/>
  </r>
  <r>
    <d v="2025-03-27T00:00:00"/>
    <x v="3"/>
    <n v="97"/>
    <n v="0.15"/>
    <n v="0"/>
    <n v="5"/>
    <b v="0"/>
    <n v="0"/>
  </r>
  <r>
    <d v="2025-03-27T00:00:00"/>
    <x v="4"/>
    <n v="155"/>
    <n v="0.03"/>
    <n v="0"/>
    <n v="2"/>
    <b v="0"/>
    <n v="0"/>
  </r>
  <r>
    <d v="2025-03-28T00:00:00"/>
    <x v="0"/>
    <n v="0"/>
    <n v="0.05"/>
    <n v="0"/>
    <n v="2"/>
    <b v="0"/>
    <n v="1"/>
  </r>
  <r>
    <d v="2025-03-28T00:00:00"/>
    <x v="1"/>
    <n v="219"/>
    <n v="0.02"/>
    <n v="0"/>
    <n v="2"/>
    <b v="0"/>
    <n v="0"/>
  </r>
  <r>
    <d v="2025-03-28T00:00:00"/>
    <x v="2"/>
    <n v="265"/>
    <n v="0.04"/>
    <n v="0"/>
    <n v="2"/>
    <b v="0"/>
    <n v="0"/>
  </r>
  <r>
    <d v="2025-03-28T00:00:00"/>
    <x v="3"/>
    <n v="63"/>
    <n v="0.15"/>
    <n v="0"/>
    <n v="2"/>
    <b v="0"/>
    <n v="0"/>
  </r>
  <r>
    <d v="2025-03-28T00:00:00"/>
    <x v="4"/>
    <n v="710"/>
    <n v="0.03"/>
    <n v="0"/>
    <n v="2"/>
    <b v="0"/>
    <n v="0"/>
  </r>
  <r>
    <d v="2025-03-29T00:00:00"/>
    <x v="0"/>
    <n v="487"/>
    <n v="0.05"/>
    <n v="0"/>
    <n v="2"/>
    <b v="0"/>
    <n v="0"/>
  </r>
  <r>
    <d v="2025-03-29T00:00:00"/>
    <x v="1"/>
    <n v="172"/>
    <n v="0.02"/>
    <n v="0"/>
    <n v="5"/>
    <b v="0"/>
    <n v="0"/>
  </r>
  <r>
    <d v="2025-03-29T00:00:00"/>
    <x v="2"/>
    <n v="515"/>
    <n v="0.04"/>
    <n v="0"/>
    <n v="5"/>
    <b v="0"/>
    <n v="0"/>
  </r>
  <r>
    <d v="2025-03-29T00:00:00"/>
    <x v="3"/>
    <n v="94"/>
    <n v="0.15"/>
    <n v="0"/>
    <n v="2"/>
    <b v="0"/>
    <n v="0"/>
  </r>
  <r>
    <d v="2025-03-29T00:00:00"/>
    <x v="4"/>
    <n v="385"/>
    <n v="0.03"/>
    <n v="0"/>
    <n v="5"/>
    <b v="0"/>
    <n v="0"/>
  </r>
  <r>
    <d v="2025-03-30T00:00:00"/>
    <x v="0"/>
    <n v="19"/>
    <n v="0.05"/>
    <n v="0"/>
    <n v="2"/>
    <b v="0"/>
    <n v="0"/>
  </r>
  <r>
    <d v="2025-03-30T00:00:00"/>
    <x v="1"/>
    <n v="783"/>
    <n v="0.02"/>
    <n v="0"/>
    <n v="2"/>
    <b v="0"/>
    <n v="0"/>
  </r>
  <r>
    <d v="2025-03-30T00:00:00"/>
    <x v="2"/>
    <n v="289"/>
    <n v="0.04"/>
    <n v="0"/>
    <n v="2"/>
    <b v="0"/>
    <n v="0"/>
  </r>
  <r>
    <d v="2025-03-30T00:00:00"/>
    <x v="3"/>
    <n v="168"/>
    <n v="0.15"/>
    <n v="0"/>
    <n v="2"/>
    <b v="0"/>
    <n v="0"/>
  </r>
  <r>
    <d v="2025-03-30T00:00:00"/>
    <x v="4"/>
    <n v="89"/>
    <n v="0.03"/>
    <n v="0"/>
    <n v="10"/>
    <b v="0"/>
    <n v="0"/>
  </r>
  <r>
    <d v="2025-03-31T00:00:00"/>
    <x v="0"/>
    <n v="13"/>
    <n v="0.05"/>
    <n v="0"/>
    <n v="5"/>
    <b v="0"/>
    <n v="0"/>
  </r>
  <r>
    <d v="2025-03-31T00:00:00"/>
    <x v="1"/>
    <n v="699"/>
    <n v="0.02"/>
    <n v="0"/>
    <n v="2"/>
    <b v="0"/>
    <n v="0"/>
  </r>
  <r>
    <d v="2025-03-31T00:00:00"/>
    <x v="2"/>
    <n v="23"/>
    <n v="0.04"/>
    <n v="0"/>
    <n v="15"/>
    <b v="0"/>
    <n v="0"/>
  </r>
  <r>
    <d v="2025-03-31T00:00:00"/>
    <x v="3"/>
    <n v="387"/>
    <n v="0.15"/>
    <n v="0"/>
    <n v="5"/>
    <b v="0"/>
    <n v="0"/>
  </r>
  <r>
    <d v="2025-03-31T00:00:00"/>
    <x v="4"/>
    <n v="611"/>
    <n v="0.03"/>
    <n v="0"/>
    <n v="2"/>
    <b v="0"/>
    <n v="0"/>
  </r>
  <r>
    <d v="2025-04-01T00:00:00"/>
    <x v="0"/>
    <n v="145"/>
    <n v="0.05"/>
    <n v="0"/>
    <n v="15"/>
    <b v="0"/>
    <n v="0"/>
  </r>
  <r>
    <d v="2025-04-01T00:00:00"/>
    <x v="1"/>
    <n v="195"/>
    <n v="0.02"/>
    <n v="0"/>
    <n v="2"/>
    <b v="0"/>
    <n v="0"/>
  </r>
  <r>
    <d v="2025-04-01T00:00:00"/>
    <x v="2"/>
    <n v="738"/>
    <n v="0.04"/>
    <n v="0"/>
    <n v="2"/>
    <b v="0"/>
    <n v="0"/>
  </r>
  <r>
    <d v="2025-04-01T00:00:00"/>
    <x v="3"/>
    <n v="830"/>
    <n v="0.15"/>
    <n v="0"/>
    <n v="2"/>
    <b v="0"/>
    <n v="0"/>
  </r>
  <r>
    <d v="2025-04-01T00:00:00"/>
    <x v="4"/>
    <n v="873"/>
    <n v="0.03"/>
    <n v="0"/>
    <n v="2"/>
    <b v="0"/>
    <n v="0"/>
  </r>
  <r>
    <d v="2025-04-02T00:00:00"/>
    <x v="0"/>
    <n v="183"/>
    <n v="0.05"/>
    <n v="0"/>
    <n v="2"/>
    <b v="0"/>
    <n v="0"/>
  </r>
  <r>
    <d v="2025-04-02T00:00:00"/>
    <x v="1"/>
    <n v="804"/>
    <n v="0.02"/>
    <n v="0"/>
    <n v="10"/>
    <b v="0"/>
    <n v="0"/>
  </r>
  <r>
    <d v="2025-04-02T00:00:00"/>
    <x v="2"/>
    <n v="498"/>
    <n v="0.04"/>
    <n v="0"/>
    <n v="5"/>
    <b v="0"/>
    <n v="0"/>
  </r>
  <r>
    <d v="2025-04-02T00:00:00"/>
    <x v="3"/>
    <n v="0"/>
    <n v="0.15"/>
    <n v="0"/>
    <n v="10"/>
    <b v="0"/>
    <n v="1"/>
  </r>
  <r>
    <d v="2025-04-02T00:00:00"/>
    <x v="4"/>
    <n v="292"/>
    <n v="0.03"/>
    <n v="0"/>
    <n v="2"/>
    <b v="0"/>
    <n v="0"/>
  </r>
  <r>
    <d v="2025-04-03T00:00:00"/>
    <x v="0"/>
    <n v="648"/>
    <n v="0.05"/>
    <n v="0"/>
    <n v="2"/>
    <b v="0"/>
    <n v="0"/>
  </r>
  <r>
    <d v="2025-04-03T00:00:00"/>
    <x v="1"/>
    <n v="629"/>
    <n v="0.02"/>
    <n v="0"/>
    <n v="2"/>
    <b v="0"/>
    <n v="0"/>
  </r>
  <r>
    <d v="2025-04-03T00:00:00"/>
    <x v="2"/>
    <n v="427"/>
    <n v="0.04"/>
    <n v="0"/>
    <n v="2"/>
    <b v="0"/>
    <n v="0"/>
  </r>
  <r>
    <d v="2025-04-03T00:00:00"/>
    <x v="3"/>
    <n v="665"/>
    <n v="0.15"/>
    <n v="0"/>
    <n v="5"/>
    <b v="0"/>
    <n v="0"/>
  </r>
  <r>
    <d v="2025-04-03T00:00:00"/>
    <x v="4"/>
    <n v="726"/>
    <n v="0.03"/>
    <n v="0"/>
    <n v="5"/>
    <b v="0"/>
    <n v="0"/>
  </r>
  <r>
    <d v="2025-04-04T00:00:00"/>
    <x v="0"/>
    <n v="464"/>
    <n v="0.05"/>
    <n v="0"/>
    <n v="5"/>
    <b v="0"/>
    <n v="0"/>
  </r>
  <r>
    <d v="2025-04-04T00:00:00"/>
    <x v="1"/>
    <n v="179"/>
    <n v="0.02"/>
    <n v="0"/>
    <n v="10"/>
    <b v="0"/>
    <n v="0"/>
  </r>
  <r>
    <d v="2025-04-04T00:00:00"/>
    <x v="2"/>
    <n v="85"/>
    <n v="0.04"/>
    <n v="0"/>
    <n v="2"/>
    <b v="0"/>
    <n v="0"/>
  </r>
  <r>
    <d v="2025-04-04T00:00:00"/>
    <x v="3"/>
    <n v="443"/>
    <n v="0.15"/>
    <n v="0"/>
    <n v="2"/>
    <b v="0"/>
    <n v="0"/>
  </r>
  <r>
    <d v="2025-04-04T00:00:00"/>
    <x v="4"/>
    <n v="816"/>
    <n v="0.03"/>
    <n v="0"/>
    <n v="2"/>
    <b v="0"/>
    <n v="0"/>
  </r>
  <r>
    <d v="2025-04-05T00:00:00"/>
    <x v="0"/>
    <n v="129"/>
    <n v="0.05"/>
    <n v="0"/>
    <n v="5"/>
    <b v="0"/>
    <n v="0"/>
  </r>
  <r>
    <d v="2025-04-05T00:00:00"/>
    <x v="1"/>
    <n v="848"/>
    <n v="0.02"/>
    <n v="0"/>
    <n v="2"/>
    <b v="0"/>
    <n v="0"/>
  </r>
  <r>
    <d v="2025-04-05T00:00:00"/>
    <x v="2"/>
    <n v="335"/>
    <n v="0.04"/>
    <n v="0"/>
    <n v="2"/>
    <b v="0"/>
    <n v="0"/>
  </r>
  <r>
    <d v="2025-04-05T00:00:00"/>
    <x v="3"/>
    <n v="249"/>
    <n v="0.15"/>
    <n v="0"/>
    <n v="15"/>
    <b v="0"/>
    <n v="0"/>
  </r>
  <r>
    <d v="2025-04-05T00:00:00"/>
    <x v="4"/>
    <n v="125"/>
    <n v="0.03"/>
    <n v="0"/>
    <n v="10"/>
    <b v="0"/>
    <n v="0"/>
  </r>
  <r>
    <d v="2025-04-06T00:00:00"/>
    <x v="0"/>
    <n v="673"/>
    <n v="0.05"/>
    <n v="0"/>
    <n v="2"/>
    <b v="0"/>
    <n v="0"/>
  </r>
  <r>
    <d v="2025-04-06T00:00:00"/>
    <x v="1"/>
    <n v="716"/>
    <n v="0.02"/>
    <n v="0"/>
    <n v="2"/>
    <b v="0"/>
    <n v="0"/>
  </r>
  <r>
    <d v="2025-04-06T00:00:00"/>
    <x v="2"/>
    <n v="778"/>
    <n v="0.04"/>
    <n v="0"/>
    <n v="2"/>
    <b v="0"/>
    <n v="0"/>
  </r>
  <r>
    <d v="2025-04-06T00:00:00"/>
    <x v="3"/>
    <n v="153"/>
    <n v="0.15"/>
    <n v="0"/>
    <n v="2"/>
    <b v="0"/>
    <n v="0"/>
  </r>
  <r>
    <d v="2025-04-06T00:00:00"/>
    <x v="4"/>
    <n v="531"/>
    <n v="0.03"/>
    <n v="0"/>
    <n v="5"/>
    <b v="0"/>
    <n v="0"/>
  </r>
  <r>
    <d v="2025-04-07T00:00:00"/>
    <x v="0"/>
    <n v="561"/>
    <n v="0.05"/>
    <n v="0"/>
    <n v="5"/>
    <b v="0"/>
    <n v="0"/>
  </r>
  <r>
    <d v="2025-04-07T00:00:00"/>
    <x v="1"/>
    <n v="809"/>
    <n v="0.02"/>
    <n v="0"/>
    <n v="2"/>
    <b v="0"/>
    <n v="0"/>
  </r>
  <r>
    <d v="2025-04-07T00:00:00"/>
    <x v="2"/>
    <n v="562"/>
    <n v="0.04"/>
    <n v="0"/>
    <n v="2"/>
    <b v="0"/>
    <n v="0"/>
  </r>
  <r>
    <d v="2025-04-07T00:00:00"/>
    <x v="3"/>
    <n v="363"/>
    <n v="0.15"/>
    <n v="0"/>
    <n v="2"/>
    <b v="0"/>
    <n v="0"/>
  </r>
  <r>
    <d v="2025-04-07T00:00:00"/>
    <x v="4"/>
    <n v="305"/>
    <n v="0.03"/>
    <n v="0"/>
    <n v="5"/>
    <b v="0"/>
    <n v="0"/>
  </r>
  <r>
    <d v="2025-04-08T00:00:00"/>
    <x v="0"/>
    <n v="282"/>
    <n v="0.05"/>
    <n v="0"/>
    <n v="2"/>
    <b v="0"/>
    <n v="0"/>
  </r>
  <r>
    <d v="2025-04-08T00:00:00"/>
    <x v="1"/>
    <n v="653"/>
    <n v="0.02"/>
    <n v="0"/>
    <n v="2"/>
    <b v="0"/>
    <n v="0"/>
  </r>
  <r>
    <d v="2025-04-08T00:00:00"/>
    <x v="2"/>
    <n v="342"/>
    <n v="0.04"/>
    <n v="0"/>
    <n v="2"/>
    <b v="0"/>
    <n v="0"/>
  </r>
  <r>
    <d v="2025-04-08T00:00:00"/>
    <x v="3"/>
    <n v="0"/>
    <n v="0.15"/>
    <n v="0"/>
    <n v="2"/>
    <b v="0"/>
    <n v="1"/>
  </r>
  <r>
    <d v="2025-04-08T00:00:00"/>
    <x v="4"/>
    <n v="81"/>
    <n v="0.03"/>
    <n v="0"/>
    <n v="2"/>
    <b v="0"/>
    <n v="0"/>
  </r>
  <r>
    <d v="2025-04-09T00:00:00"/>
    <x v="0"/>
    <n v="296"/>
    <n v="0.05"/>
    <n v="0"/>
    <n v="5"/>
    <b v="0"/>
    <n v="0"/>
  </r>
  <r>
    <d v="2025-04-09T00:00:00"/>
    <x v="1"/>
    <n v="161"/>
    <n v="0.02"/>
    <n v="0"/>
    <n v="2"/>
    <b v="0"/>
    <n v="0"/>
  </r>
  <r>
    <d v="2025-04-09T00:00:00"/>
    <x v="2"/>
    <n v="489"/>
    <n v="0.04"/>
    <n v="0"/>
    <n v="5"/>
    <b v="0"/>
    <n v="0"/>
  </r>
  <r>
    <d v="2025-04-09T00:00:00"/>
    <x v="3"/>
    <n v="112"/>
    <n v="0.15"/>
    <n v="0"/>
    <n v="5"/>
    <b v="0"/>
    <n v="0"/>
  </r>
  <r>
    <d v="2025-04-09T00:00:00"/>
    <x v="4"/>
    <n v="146"/>
    <n v="0.03"/>
    <n v="0"/>
    <n v="2"/>
    <b v="0"/>
    <n v="0"/>
  </r>
  <r>
    <d v="2025-04-10T00:00:00"/>
    <x v="0"/>
    <n v="675"/>
    <n v="0.05"/>
    <n v="0"/>
    <n v="10"/>
    <b v="0"/>
    <n v="0"/>
  </r>
  <r>
    <d v="2025-04-10T00:00:00"/>
    <x v="1"/>
    <n v="514"/>
    <n v="0.02"/>
    <n v="0"/>
    <n v="5"/>
    <b v="0"/>
    <n v="0"/>
  </r>
  <r>
    <d v="2025-04-10T00:00:00"/>
    <x v="2"/>
    <n v="746"/>
    <n v="0.04"/>
    <n v="0"/>
    <n v="5"/>
    <b v="0"/>
    <n v="0"/>
  </r>
  <r>
    <d v="2025-04-10T00:00:00"/>
    <x v="3"/>
    <n v="224"/>
    <n v="0.15"/>
    <n v="0"/>
    <n v="2"/>
    <b v="0"/>
    <n v="0"/>
  </r>
  <r>
    <d v="2025-04-10T00:00:00"/>
    <x v="4"/>
    <n v="733"/>
    <n v="0.03"/>
    <n v="0"/>
    <n v="5"/>
    <b v="0"/>
    <n v="0"/>
  </r>
  <r>
    <d v="2025-04-11T00:00:00"/>
    <x v="0"/>
    <n v="604"/>
    <n v="0.05"/>
    <n v="0"/>
    <n v="2"/>
    <b v="0"/>
    <n v="0"/>
  </r>
  <r>
    <d v="2025-04-11T00:00:00"/>
    <x v="1"/>
    <n v="797"/>
    <n v="0.02"/>
    <n v="0"/>
    <n v="2"/>
    <b v="0"/>
    <n v="0"/>
  </r>
  <r>
    <d v="2025-04-11T00:00:00"/>
    <x v="2"/>
    <n v="56"/>
    <n v="0.04"/>
    <n v="0"/>
    <n v="10"/>
    <b v="0"/>
    <n v="0"/>
  </r>
  <r>
    <d v="2025-04-11T00:00:00"/>
    <x v="3"/>
    <n v="481"/>
    <n v="0.15"/>
    <n v="0"/>
    <n v="2"/>
    <b v="0"/>
    <n v="0"/>
  </r>
  <r>
    <d v="2025-04-11T00:00:00"/>
    <x v="4"/>
    <n v="374"/>
    <n v="0.03"/>
    <n v="0"/>
    <n v="2"/>
    <b v="0"/>
    <n v="0"/>
  </r>
  <r>
    <d v="2025-04-12T00:00:00"/>
    <x v="0"/>
    <n v="247"/>
    <n v="0.05"/>
    <n v="0"/>
    <n v="2"/>
    <b v="0"/>
    <n v="0"/>
  </r>
  <r>
    <d v="2025-04-12T00:00:00"/>
    <x v="1"/>
    <n v="159"/>
    <n v="0.02"/>
    <n v="0"/>
    <n v="2"/>
    <b v="0"/>
    <n v="0"/>
  </r>
  <r>
    <d v="2025-04-12T00:00:00"/>
    <x v="2"/>
    <n v="0"/>
    <n v="0.04"/>
    <n v="0"/>
    <n v="15"/>
    <b v="0"/>
    <n v="1"/>
  </r>
  <r>
    <d v="2025-04-12T00:00:00"/>
    <x v="3"/>
    <n v="362"/>
    <n v="0.15"/>
    <n v="0"/>
    <n v="2"/>
    <b v="0"/>
    <n v="0"/>
  </r>
  <r>
    <d v="2025-04-12T00:00:00"/>
    <x v="4"/>
    <n v="582"/>
    <n v="0.03"/>
    <n v="0"/>
    <n v="5"/>
    <b v="0"/>
    <n v="0"/>
  </r>
  <r>
    <d v="2025-04-13T00:00:00"/>
    <x v="0"/>
    <n v="563"/>
    <n v="0.05"/>
    <n v="0"/>
    <n v="2"/>
    <b v="0"/>
    <n v="0"/>
  </r>
  <r>
    <d v="2025-04-13T00:00:00"/>
    <x v="1"/>
    <n v="417"/>
    <n v="0.02"/>
    <n v="0"/>
    <n v="2"/>
    <b v="0"/>
    <n v="0"/>
  </r>
  <r>
    <d v="2025-04-13T00:00:00"/>
    <x v="2"/>
    <n v="712"/>
    <n v="0.04"/>
    <n v="0"/>
    <n v="15"/>
    <b v="0"/>
    <n v="0"/>
  </r>
  <r>
    <d v="2025-04-13T00:00:00"/>
    <x v="3"/>
    <n v="885"/>
    <n v="0.15"/>
    <n v="0"/>
    <n v="2"/>
    <b v="0"/>
    <n v="0"/>
  </r>
  <r>
    <d v="2025-04-13T00:00:00"/>
    <x v="4"/>
    <n v="126"/>
    <n v="0.03"/>
    <n v="0"/>
    <n v="15"/>
    <b v="0"/>
    <n v="0"/>
  </r>
  <r>
    <d v="2025-04-14T00:00:00"/>
    <x v="0"/>
    <n v="777"/>
    <n v="0.05"/>
    <n v="0"/>
    <n v="5"/>
    <b v="0"/>
    <n v="0"/>
  </r>
  <r>
    <d v="2025-04-14T00:00:00"/>
    <x v="1"/>
    <n v="7"/>
    <n v="0.02"/>
    <n v="0"/>
    <n v="5"/>
    <b v="0"/>
    <n v="0"/>
  </r>
  <r>
    <d v="2025-04-14T00:00:00"/>
    <x v="2"/>
    <n v="101"/>
    <n v="0.04"/>
    <n v="0"/>
    <n v="5"/>
    <b v="0"/>
    <n v="0"/>
  </r>
  <r>
    <d v="2025-04-14T00:00:00"/>
    <x v="3"/>
    <n v="733"/>
    <n v="0.15"/>
    <n v="0"/>
    <n v="2"/>
    <b v="0"/>
    <n v="0"/>
  </r>
  <r>
    <d v="2025-04-14T00:00:00"/>
    <x v="4"/>
    <n v="242"/>
    <n v="0.03"/>
    <n v="0"/>
    <n v="2"/>
    <b v="0"/>
    <n v="0"/>
  </r>
  <r>
    <d v="2025-04-15T00:00:00"/>
    <x v="0"/>
    <n v="671"/>
    <n v="0.05"/>
    <n v="0"/>
    <n v="10"/>
    <b v="0"/>
    <n v="0"/>
  </r>
  <r>
    <d v="2025-04-15T00:00:00"/>
    <x v="1"/>
    <n v="655"/>
    <n v="0.02"/>
    <n v="0"/>
    <n v="5"/>
    <b v="0"/>
    <n v="0"/>
  </r>
  <r>
    <d v="2025-04-15T00:00:00"/>
    <x v="2"/>
    <n v="725"/>
    <n v="0.04"/>
    <n v="0"/>
    <n v="5"/>
    <b v="0"/>
    <n v="0"/>
  </r>
  <r>
    <d v="2025-04-15T00:00:00"/>
    <x v="3"/>
    <n v="534"/>
    <n v="0.15"/>
    <n v="0"/>
    <n v="2"/>
    <b v="0"/>
    <n v="0"/>
  </r>
  <r>
    <d v="2025-04-15T00:00:00"/>
    <x v="4"/>
    <n v="867"/>
    <n v="0.03"/>
    <n v="0"/>
    <n v="2"/>
    <b v="0"/>
    <n v="0"/>
  </r>
  <r>
    <d v="2025-04-16T00:00:00"/>
    <x v="0"/>
    <n v="722"/>
    <n v="0.05"/>
    <n v="0"/>
    <n v="5"/>
    <b v="0"/>
    <n v="0"/>
  </r>
  <r>
    <d v="2025-04-16T00:00:00"/>
    <x v="1"/>
    <n v="622"/>
    <n v="0.02"/>
    <n v="0"/>
    <n v="5"/>
    <b v="0"/>
    <n v="0"/>
  </r>
  <r>
    <d v="2025-04-16T00:00:00"/>
    <x v="2"/>
    <n v="861"/>
    <n v="0.04"/>
    <n v="0"/>
    <n v="2"/>
    <b v="0"/>
    <n v="0"/>
  </r>
  <r>
    <d v="2025-04-16T00:00:00"/>
    <x v="3"/>
    <n v="400"/>
    <n v="0.15"/>
    <n v="0"/>
    <n v="2"/>
    <b v="0"/>
    <n v="0"/>
  </r>
  <r>
    <d v="2025-04-16T00:00:00"/>
    <x v="4"/>
    <n v="279"/>
    <n v="0.03"/>
    <n v="0"/>
    <n v="2"/>
    <b v="0"/>
    <n v="0"/>
  </r>
  <r>
    <d v="2025-04-17T00:00:00"/>
    <x v="0"/>
    <n v="0"/>
    <n v="0.05"/>
    <n v="0"/>
    <n v="5"/>
    <b v="0"/>
    <n v="1"/>
  </r>
  <r>
    <d v="2025-04-17T00:00:00"/>
    <x v="1"/>
    <n v="26"/>
    <n v="0.02"/>
    <n v="0"/>
    <n v="10"/>
    <b v="0"/>
    <n v="0"/>
  </r>
  <r>
    <d v="2025-04-17T00:00:00"/>
    <x v="2"/>
    <n v="651"/>
    <n v="0.04"/>
    <n v="0"/>
    <n v="2"/>
    <b v="0"/>
    <n v="0"/>
  </r>
  <r>
    <d v="2025-04-17T00:00:00"/>
    <x v="3"/>
    <n v="547"/>
    <n v="0.15"/>
    <n v="0"/>
    <n v="15"/>
    <b v="0"/>
    <n v="0"/>
  </r>
  <r>
    <d v="2025-04-17T00:00:00"/>
    <x v="4"/>
    <n v="891"/>
    <n v="0.03"/>
    <n v="0"/>
    <n v="2"/>
    <b v="0"/>
    <n v="0"/>
  </r>
  <r>
    <d v="2025-04-18T00:00:00"/>
    <x v="0"/>
    <n v="368"/>
    <n v="0.05"/>
    <n v="0"/>
    <n v="2"/>
    <b v="0"/>
    <n v="0"/>
  </r>
  <r>
    <d v="2025-04-18T00:00:00"/>
    <x v="1"/>
    <n v="732"/>
    <n v="0.02"/>
    <n v="0"/>
    <n v="5"/>
    <b v="0"/>
    <n v="0"/>
  </r>
  <r>
    <d v="2025-04-18T00:00:00"/>
    <x v="2"/>
    <n v="71"/>
    <n v="0.04"/>
    <n v="0"/>
    <n v="2"/>
    <b v="0"/>
    <n v="0"/>
  </r>
  <r>
    <d v="2025-04-18T00:00:00"/>
    <x v="3"/>
    <n v="671"/>
    <n v="0.15"/>
    <n v="0"/>
    <n v="15"/>
    <b v="0"/>
    <n v="0"/>
  </r>
  <r>
    <d v="2025-04-18T00:00:00"/>
    <x v="4"/>
    <n v="258"/>
    <n v="0.03"/>
    <n v="0"/>
    <n v="2"/>
    <b v="0"/>
    <n v="0"/>
  </r>
  <r>
    <d v="2025-04-19T00:00:00"/>
    <x v="0"/>
    <n v="89"/>
    <n v="0.05"/>
    <n v="0"/>
    <n v="5"/>
    <b v="0"/>
    <n v="0"/>
  </r>
  <r>
    <d v="2025-04-19T00:00:00"/>
    <x v="1"/>
    <n v="685"/>
    <n v="0.02"/>
    <n v="0"/>
    <n v="2"/>
    <b v="0"/>
    <n v="0"/>
  </r>
  <r>
    <d v="2025-04-19T00:00:00"/>
    <x v="2"/>
    <n v="765"/>
    <n v="0.04"/>
    <n v="0"/>
    <n v="5"/>
    <b v="0"/>
    <n v="0"/>
  </r>
  <r>
    <d v="2025-04-19T00:00:00"/>
    <x v="3"/>
    <n v="658"/>
    <n v="0.15"/>
    <n v="0"/>
    <n v="2"/>
    <b v="0"/>
    <n v="0"/>
  </r>
  <r>
    <d v="2025-04-19T00:00:00"/>
    <x v="4"/>
    <n v="138"/>
    <n v="0.03"/>
    <n v="0"/>
    <n v="2"/>
    <b v="0"/>
    <n v="0"/>
  </r>
  <r>
    <d v="2025-04-20T00:00:00"/>
    <x v="0"/>
    <n v="70"/>
    <n v="0.05"/>
    <n v="0"/>
    <n v="2"/>
    <b v="0"/>
    <n v="0"/>
  </r>
  <r>
    <d v="2025-04-20T00:00:00"/>
    <x v="1"/>
    <n v="561"/>
    <n v="0.02"/>
    <n v="0"/>
    <n v="5"/>
    <b v="0"/>
    <n v="0"/>
  </r>
  <r>
    <d v="2025-04-20T00:00:00"/>
    <x v="2"/>
    <n v="497"/>
    <n v="0.04"/>
    <n v="0"/>
    <n v="5"/>
    <b v="0"/>
    <n v="0"/>
  </r>
  <r>
    <d v="2025-04-20T00:00:00"/>
    <x v="3"/>
    <n v="164"/>
    <n v="0.15"/>
    <n v="0"/>
    <n v="2"/>
    <b v="0"/>
    <n v="0"/>
  </r>
  <r>
    <d v="2025-04-20T00:00:00"/>
    <x v="4"/>
    <n v="877"/>
    <n v="0.03"/>
    <n v="0"/>
    <n v="10"/>
    <b v="0"/>
    <n v="0"/>
  </r>
  <r>
    <d v="2025-04-21T00:00:00"/>
    <x v="0"/>
    <n v="273"/>
    <n v="0.05"/>
    <n v="0"/>
    <n v="2"/>
    <b v="0"/>
    <n v="0"/>
  </r>
  <r>
    <d v="2025-04-21T00:00:00"/>
    <x v="1"/>
    <n v="836"/>
    <n v="0.02"/>
    <n v="0"/>
    <n v="2"/>
    <b v="0"/>
    <n v="0"/>
  </r>
  <r>
    <d v="2025-04-21T00:00:00"/>
    <x v="2"/>
    <n v="289"/>
    <n v="0.04"/>
    <n v="0"/>
    <n v="10"/>
    <b v="0"/>
    <n v="0"/>
  </r>
  <r>
    <d v="2025-04-21T00:00:00"/>
    <x v="3"/>
    <n v="133"/>
    <n v="0.15"/>
    <n v="0"/>
    <n v="2"/>
    <b v="0"/>
    <n v="0"/>
  </r>
  <r>
    <d v="2025-04-21T00:00:00"/>
    <x v="4"/>
    <n v="604"/>
    <n v="0.03"/>
    <n v="0"/>
    <n v="2"/>
    <b v="0"/>
    <n v="0"/>
  </r>
  <r>
    <d v="2025-04-22T00:00:00"/>
    <x v="0"/>
    <n v="36"/>
    <n v="0.05"/>
    <n v="0"/>
    <n v="2"/>
    <b v="0"/>
    <n v="0"/>
  </r>
  <r>
    <d v="2025-04-22T00:00:00"/>
    <x v="1"/>
    <n v="693"/>
    <n v="0.02"/>
    <n v="0"/>
    <n v="5"/>
    <b v="0"/>
    <n v="0"/>
  </r>
  <r>
    <d v="2025-04-22T00:00:00"/>
    <x v="2"/>
    <n v="201"/>
    <n v="0.04"/>
    <n v="0"/>
    <n v="2"/>
    <b v="0"/>
    <n v="0"/>
  </r>
  <r>
    <d v="2025-04-22T00:00:00"/>
    <x v="3"/>
    <n v="255"/>
    <n v="0.15"/>
    <n v="0"/>
    <n v="2"/>
    <b v="0"/>
    <n v="0"/>
  </r>
  <r>
    <d v="2025-04-22T00:00:00"/>
    <x v="4"/>
    <n v="170"/>
    <n v="0.03"/>
    <n v="0"/>
    <n v="2"/>
    <b v="0"/>
    <n v="0"/>
  </r>
  <r>
    <d v="2025-04-23T00:00:00"/>
    <x v="0"/>
    <n v="398"/>
    <n v="0.05"/>
    <n v="0"/>
    <n v="2"/>
    <b v="0"/>
    <n v="0"/>
  </r>
  <r>
    <d v="2025-04-23T00:00:00"/>
    <x v="1"/>
    <n v="102"/>
    <n v="0.02"/>
    <n v="0"/>
    <n v="2"/>
    <b v="0"/>
    <n v="0"/>
  </r>
  <r>
    <d v="2025-04-23T00:00:00"/>
    <x v="2"/>
    <n v="196"/>
    <n v="0.04"/>
    <n v="0"/>
    <n v="2"/>
    <b v="0"/>
    <n v="0"/>
  </r>
  <r>
    <d v="2025-04-23T00:00:00"/>
    <x v="3"/>
    <n v="777"/>
    <n v="0.15"/>
    <n v="0"/>
    <n v="2"/>
    <b v="0"/>
    <n v="0"/>
  </r>
  <r>
    <d v="2025-04-23T00:00:00"/>
    <x v="4"/>
    <n v="532"/>
    <n v="0.03"/>
    <n v="0"/>
    <n v="2"/>
    <b v="0"/>
    <n v="0"/>
  </r>
  <r>
    <d v="2025-04-24T00:00:00"/>
    <x v="0"/>
    <n v="256"/>
    <n v="0.05"/>
    <n v="0"/>
    <n v="2"/>
    <b v="0"/>
    <n v="0"/>
  </r>
  <r>
    <d v="2025-04-24T00:00:00"/>
    <x v="1"/>
    <n v="785"/>
    <n v="0.02"/>
    <n v="0"/>
    <n v="2"/>
    <b v="0"/>
    <n v="0"/>
  </r>
  <r>
    <d v="2025-04-24T00:00:00"/>
    <x v="2"/>
    <n v="30"/>
    <n v="0.04"/>
    <n v="0"/>
    <n v="2"/>
    <b v="0"/>
    <n v="0"/>
  </r>
  <r>
    <d v="2025-04-24T00:00:00"/>
    <x v="3"/>
    <n v="532"/>
    <n v="0.15"/>
    <n v="0"/>
    <n v="5"/>
    <b v="0"/>
    <n v="0"/>
  </r>
  <r>
    <d v="2025-04-24T00:00:00"/>
    <x v="4"/>
    <n v="324"/>
    <n v="0.03"/>
    <n v="0"/>
    <n v="2"/>
    <b v="0"/>
    <n v="0"/>
  </r>
  <r>
    <d v="2025-04-25T00:00:00"/>
    <x v="0"/>
    <n v="242"/>
    <n v="0.05"/>
    <n v="0"/>
    <n v="2"/>
    <b v="0"/>
    <n v="0"/>
  </r>
  <r>
    <d v="2025-04-25T00:00:00"/>
    <x v="1"/>
    <n v="138"/>
    <n v="0.02"/>
    <n v="0"/>
    <n v="15"/>
    <b v="0"/>
    <n v="0"/>
  </r>
  <r>
    <d v="2025-04-25T00:00:00"/>
    <x v="2"/>
    <n v="818"/>
    <n v="0.04"/>
    <n v="0"/>
    <n v="2"/>
    <b v="0"/>
    <n v="0"/>
  </r>
  <r>
    <d v="2025-04-25T00:00:00"/>
    <x v="3"/>
    <n v="429"/>
    <n v="0.15"/>
    <n v="0"/>
    <n v="5"/>
    <b v="0"/>
    <n v="0"/>
  </r>
  <r>
    <d v="2025-04-25T00:00:00"/>
    <x v="4"/>
    <n v="251"/>
    <n v="0.03"/>
    <n v="0"/>
    <n v="5"/>
    <b v="0"/>
    <n v="0"/>
  </r>
  <r>
    <d v="2025-04-26T00:00:00"/>
    <x v="0"/>
    <n v="38"/>
    <n v="0.05"/>
    <n v="0"/>
    <n v="2"/>
    <b v="0"/>
    <n v="0"/>
  </r>
  <r>
    <d v="2025-04-26T00:00:00"/>
    <x v="1"/>
    <n v="2"/>
    <n v="0.02"/>
    <n v="0"/>
    <n v="5"/>
    <b v="0"/>
    <n v="0"/>
  </r>
  <r>
    <d v="2025-04-26T00:00:00"/>
    <x v="2"/>
    <n v="891"/>
    <n v="0.04"/>
    <n v="0"/>
    <n v="2"/>
    <b v="0"/>
    <n v="0"/>
  </r>
  <r>
    <d v="2025-04-26T00:00:00"/>
    <x v="3"/>
    <n v="0"/>
    <n v="0.15"/>
    <n v="0"/>
    <n v="2"/>
    <b v="0"/>
    <n v="1"/>
  </r>
  <r>
    <d v="2025-04-26T00:00:00"/>
    <x v="4"/>
    <n v="367"/>
    <n v="0.03"/>
    <n v="0"/>
    <n v="5"/>
    <b v="0"/>
    <n v="0"/>
  </r>
  <r>
    <d v="2025-04-27T00:00:00"/>
    <x v="0"/>
    <n v="856"/>
    <n v="0.05"/>
    <n v="0"/>
    <n v="2"/>
    <b v="0"/>
    <n v="0"/>
  </r>
  <r>
    <d v="2025-04-27T00:00:00"/>
    <x v="1"/>
    <n v="294"/>
    <n v="0.02"/>
    <n v="0"/>
    <n v="5"/>
    <b v="0"/>
    <n v="0"/>
  </r>
  <r>
    <d v="2025-04-27T00:00:00"/>
    <x v="2"/>
    <n v="103"/>
    <n v="0.04"/>
    <n v="0"/>
    <n v="10"/>
    <b v="0"/>
    <n v="0"/>
  </r>
  <r>
    <d v="2025-04-27T00:00:00"/>
    <x v="3"/>
    <n v="646"/>
    <n v="0.15"/>
    <n v="0"/>
    <n v="2"/>
    <b v="0"/>
    <n v="0"/>
  </r>
  <r>
    <d v="2025-04-27T00:00:00"/>
    <x v="4"/>
    <n v="574"/>
    <n v="0.03"/>
    <n v="0"/>
    <n v="5"/>
    <b v="0"/>
    <n v="0"/>
  </r>
  <r>
    <d v="2025-04-28T00:00:00"/>
    <x v="0"/>
    <n v="116"/>
    <n v="0.05"/>
    <n v="0"/>
    <n v="5"/>
    <b v="0"/>
    <n v="0"/>
  </r>
  <r>
    <d v="2025-04-28T00:00:00"/>
    <x v="1"/>
    <n v="233"/>
    <n v="0.02"/>
    <n v="0"/>
    <n v="2"/>
    <b v="0"/>
    <n v="0"/>
  </r>
  <r>
    <d v="2025-04-28T00:00:00"/>
    <x v="2"/>
    <n v="301"/>
    <n v="0.04"/>
    <n v="0"/>
    <n v="2"/>
    <b v="0"/>
    <n v="0"/>
  </r>
  <r>
    <d v="2025-04-28T00:00:00"/>
    <x v="3"/>
    <n v="416"/>
    <n v="0.15"/>
    <n v="0"/>
    <n v="2"/>
    <b v="0"/>
    <n v="0"/>
  </r>
  <r>
    <d v="2025-04-28T00:00:00"/>
    <x v="4"/>
    <n v="1"/>
    <n v="0.03"/>
    <n v="0"/>
    <n v="2"/>
    <b v="0"/>
    <n v="0"/>
  </r>
  <r>
    <d v="2025-04-29T00:00:00"/>
    <x v="0"/>
    <n v="133"/>
    <n v="0.05"/>
    <n v="0"/>
    <n v="5"/>
    <b v="0"/>
    <n v="0"/>
  </r>
  <r>
    <d v="2025-04-29T00:00:00"/>
    <x v="1"/>
    <n v="303"/>
    <n v="0.02"/>
    <n v="0"/>
    <n v="10"/>
    <b v="0"/>
    <n v="0"/>
  </r>
  <r>
    <d v="2025-04-29T00:00:00"/>
    <x v="2"/>
    <n v="123"/>
    <n v="0.04"/>
    <n v="0"/>
    <n v="5"/>
    <b v="0"/>
    <n v="0"/>
  </r>
  <r>
    <d v="2025-04-29T00:00:00"/>
    <x v="3"/>
    <n v="295"/>
    <n v="0.15"/>
    <n v="0"/>
    <n v="2"/>
    <b v="0"/>
    <n v="0"/>
  </r>
  <r>
    <d v="2025-04-29T00:00:00"/>
    <x v="4"/>
    <n v="901"/>
    <n v="0.03"/>
    <n v="0"/>
    <n v="2"/>
    <b v="0"/>
    <n v="0"/>
  </r>
  <r>
    <d v="2025-04-30T00:00:00"/>
    <x v="0"/>
    <n v="214"/>
    <n v="0.05"/>
    <n v="0"/>
    <n v="5"/>
    <b v="0"/>
    <n v="0"/>
  </r>
  <r>
    <d v="2025-04-30T00:00:00"/>
    <x v="1"/>
    <n v="873"/>
    <n v="0.02"/>
    <n v="0"/>
    <n v="2"/>
    <b v="0"/>
    <n v="0"/>
  </r>
  <r>
    <d v="2025-04-30T00:00:00"/>
    <x v="2"/>
    <n v="0"/>
    <n v="0.04"/>
    <n v="0"/>
    <n v="2"/>
    <b v="0"/>
    <n v="1"/>
  </r>
  <r>
    <d v="2025-04-30T00:00:00"/>
    <x v="3"/>
    <n v="665"/>
    <n v="0.15"/>
    <n v="0"/>
    <n v="2"/>
    <b v="0"/>
    <n v="0"/>
  </r>
  <r>
    <d v="2025-04-30T00:00:00"/>
    <x v="4"/>
    <n v="583"/>
    <n v="0.03"/>
    <n v="0"/>
    <n v="5"/>
    <b v="0"/>
    <n v="0"/>
  </r>
  <r>
    <d v="2025-05-01T00:00:00"/>
    <x v="0"/>
    <n v="752"/>
    <n v="0.05"/>
    <n v="0"/>
    <n v="5"/>
    <b v="0"/>
    <n v="0"/>
  </r>
  <r>
    <d v="2025-05-01T00:00:00"/>
    <x v="1"/>
    <n v="605"/>
    <n v="0.02"/>
    <n v="0"/>
    <n v="2"/>
    <b v="0"/>
    <n v="0"/>
  </r>
  <r>
    <d v="2025-05-01T00:00:00"/>
    <x v="2"/>
    <n v="776"/>
    <n v="0.04"/>
    <n v="0"/>
    <n v="2"/>
    <b v="0"/>
    <n v="0"/>
  </r>
  <r>
    <d v="2025-05-01T00:00:00"/>
    <x v="3"/>
    <n v="115"/>
    <n v="0.15"/>
    <n v="0"/>
    <n v="2"/>
    <b v="0"/>
    <n v="0"/>
  </r>
  <r>
    <d v="2025-05-01T00:00:00"/>
    <x v="4"/>
    <n v="461"/>
    <n v="0.03"/>
    <n v="0"/>
    <n v="2"/>
    <b v="0"/>
    <n v="0"/>
  </r>
  <r>
    <d v="2025-05-02T00:00:00"/>
    <x v="0"/>
    <n v="847"/>
    <n v="0.05"/>
    <n v="0"/>
    <n v="2"/>
    <b v="0"/>
    <n v="0"/>
  </r>
  <r>
    <d v="2025-05-02T00:00:00"/>
    <x v="1"/>
    <n v="80"/>
    <n v="0.02"/>
    <n v="0"/>
    <n v="15"/>
    <b v="0"/>
    <n v="0"/>
  </r>
  <r>
    <d v="2025-05-02T00:00:00"/>
    <x v="2"/>
    <n v="153"/>
    <n v="0.04"/>
    <n v="0"/>
    <n v="2"/>
    <b v="0"/>
    <n v="0"/>
  </r>
  <r>
    <d v="2025-05-02T00:00:00"/>
    <x v="3"/>
    <n v="855"/>
    <n v="0.15"/>
    <n v="0"/>
    <n v="5"/>
    <b v="0"/>
    <n v="0"/>
  </r>
  <r>
    <d v="2025-05-02T00:00:00"/>
    <x v="4"/>
    <n v="32"/>
    <n v="0.03"/>
    <n v="0"/>
    <n v="2"/>
    <b v="0"/>
    <n v="0"/>
  </r>
  <r>
    <d v="2025-05-03T00:00:00"/>
    <x v="0"/>
    <n v="511"/>
    <n v="0.05"/>
    <n v="0"/>
    <n v="2"/>
    <b v="0"/>
    <n v="0"/>
  </r>
  <r>
    <d v="2025-05-03T00:00:00"/>
    <x v="1"/>
    <n v="98"/>
    <n v="0.02"/>
    <n v="0"/>
    <n v="2"/>
    <b v="0"/>
    <n v="0"/>
  </r>
  <r>
    <d v="2025-05-03T00:00:00"/>
    <x v="2"/>
    <n v="0"/>
    <n v="0.04"/>
    <n v="0"/>
    <n v="5"/>
    <b v="0"/>
    <n v="1"/>
  </r>
  <r>
    <d v="2025-05-03T00:00:00"/>
    <x v="3"/>
    <n v="581"/>
    <n v="0.15"/>
    <n v="0"/>
    <n v="2"/>
    <b v="0"/>
    <n v="0"/>
  </r>
  <r>
    <d v="2025-05-03T00:00:00"/>
    <x v="4"/>
    <n v="571"/>
    <n v="0.03"/>
    <n v="0"/>
    <n v="10"/>
    <b v="0"/>
    <n v="0"/>
  </r>
  <r>
    <d v="2025-05-04T00:00:00"/>
    <x v="0"/>
    <n v="633"/>
    <n v="0.05"/>
    <n v="0"/>
    <n v="5"/>
    <b v="0"/>
    <n v="0"/>
  </r>
  <r>
    <d v="2025-05-04T00:00:00"/>
    <x v="1"/>
    <n v="410"/>
    <n v="0.02"/>
    <n v="0"/>
    <n v="5"/>
    <b v="0"/>
    <n v="0"/>
  </r>
  <r>
    <d v="2025-05-04T00:00:00"/>
    <x v="2"/>
    <n v="543"/>
    <n v="0.04"/>
    <n v="0"/>
    <n v="10"/>
    <b v="0"/>
    <n v="0"/>
  </r>
  <r>
    <d v="2025-05-04T00:00:00"/>
    <x v="3"/>
    <n v="752"/>
    <n v="0.15"/>
    <n v="0"/>
    <n v="15"/>
    <b v="0"/>
    <n v="0"/>
  </r>
  <r>
    <d v="2025-05-04T00:00:00"/>
    <x v="4"/>
    <n v="448"/>
    <n v="0.03"/>
    <n v="0"/>
    <n v="5"/>
    <b v="0"/>
    <n v="0"/>
  </r>
  <r>
    <d v="2025-05-05T00:00:00"/>
    <x v="0"/>
    <n v="47"/>
    <n v="0.05"/>
    <n v="0"/>
    <n v="5"/>
    <b v="0"/>
    <n v="0"/>
  </r>
  <r>
    <d v="2025-05-05T00:00:00"/>
    <x v="1"/>
    <n v="639"/>
    <n v="0.02"/>
    <n v="0"/>
    <n v="5"/>
    <b v="0"/>
    <n v="0"/>
  </r>
  <r>
    <d v="2025-05-05T00:00:00"/>
    <x v="2"/>
    <n v="268"/>
    <n v="0.04"/>
    <n v="0"/>
    <n v="2"/>
    <b v="0"/>
    <n v="0"/>
  </r>
  <r>
    <d v="2025-05-05T00:00:00"/>
    <x v="3"/>
    <n v="404"/>
    <n v="0.15"/>
    <n v="0"/>
    <n v="5"/>
    <b v="0"/>
    <n v="0"/>
  </r>
  <r>
    <d v="2025-05-05T00:00:00"/>
    <x v="4"/>
    <n v="876"/>
    <n v="0.03"/>
    <n v="0"/>
    <n v="5"/>
    <b v="0"/>
    <n v="0"/>
  </r>
  <r>
    <d v="2025-05-06T00:00:00"/>
    <x v="0"/>
    <n v="718"/>
    <n v="0.05"/>
    <n v="0"/>
    <n v="2"/>
    <b v="0"/>
    <n v="0"/>
  </r>
  <r>
    <d v="2025-05-06T00:00:00"/>
    <x v="1"/>
    <n v="651"/>
    <n v="0.02"/>
    <n v="0"/>
    <n v="10"/>
    <b v="0"/>
    <n v="0"/>
  </r>
  <r>
    <d v="2025-05-06T00:00:00"/>
    <x v="2"/>
    <n v="420"/>
    <n v="0.04"/>
    <n v="0"/>
    <n v="2"/>
    <b v="0"/>
    <n v="0"/>
  </r>
  <r>
    <d v="2025-05-06T00:00:00"/>
    <x v="3"/>
    <n v="310"/>
    <n v="0.15"/>
    <n v="0"/>
    <n v="2"/>
    <b v="0"/>
    <n v="0"/>
  </r>
  <r>
    <d v="2025-05-06T00:00:00"/>
    <x v="4"/>
    <n v="273"/>
    <n v="0.03"/>
    <n v="0"/>
    <n v="5"/>
    <b v="0"/>
    <n v="0"/>
  </r>
  <r>
    <d v="2025-05-07T00:00:00"/>
    <x v="0"/>
    <n v="42"/>
    <n v="0.05"/>
    <n v="0"/>
    <n v="5"/>
    <b v="0"/>
    <n v="0"/>
  </r>
  <r>
    <d v="2025-05-07T00:00:00"/>
    <x v="1"/>
    <n v="578"/>
    <n v="0.02"/>
    <n v="0"/>
    <n v="2"/>
    <b v="0"/>
    <n v="0"/>
  </r>
  <r>
    <d v="2025-05-07T00:00:00"/>
    <x v="2"/>
    <n v="250"/>
    <n v="0.04"/>
    <n v="0"/>
    <n v="15"/>
    <b v="0"/>
    <n v="0"/>
  </r>
  <r>
    <d v="2025-05-07T00:00:00"/>
    <x v="3"/>
    <n v="526"/>
    <n v="0.15"/>
    <n v="0"/>
    <n v="2"/>
    <b v="0"/>
    <n v="0"/>
  </r>
  <r>
    <d v="2025-05-07T00:00:00"/>
    <x v="4"/>
    <n v="770"/>
    <n v="0.03"/>
    <n v="0"/>
    <n v="2"/>
    <b v="0"/>
    <n v="0"/>
  </r>
  <r>
    <d v="2025-05-08T00:00:00"/>
    <x v="0"/>
    <n v="0"/>
    <n v="0.05"/>
    <n v="0"/>
    <n v="2"/>
    <b v="0"/>
    <n v="1"/>
  </r>
  <r>
    <d v="2025-05-08T00:00:00"/>
    <x v="1"/>
    <n v="284"/>
    <n v="0.02"/>
    <n v="0"/>
    <n v="2"/>
    <b v="0"/>
    <n v="0"/>
  </r>
  <r>
    <d v="2025-05-08T00:00:00"/>
    <x v="2"/>
    <n v="450"/>
    <n v="0.04"/>
    <n v="0"/>
    <n v="2"/>
    <b v="0"/>
    <n v="0"/>
  </r>
  <r>
    <d v="2025-05-08T00:00:00"/>
    <x v="3"/>
    <n v="767"/>
    <n v="0.15"/>
    <n v="0"/>
    <n v="5"/>
    <b v="0"/>
    <n v="0"/>
  </r>
  <r>
    <d v="2025-05-08T00:00:00"/>
    <x v="4"/>
    <n v="677"/>
    <n v="0.03"/>
    <n v="0"/>
    <n v="2"/>
    <b v="0"/>
    <n v="0"/>
  </r>
  <r>
    <d v="2025-05-09T00:00:00"/>
    <x v="0"/>
    <n v="139"/>
    <n v="0.05"/>
    <n v="0"/>
    <n v="2"/>
    <b v="0"/>
    <n v="0"/>
  </r>
  <r>
    <d v="2025-05-09T00:00:00"/>
    <x v="1"/>
    <n v="605"/>
    <n v="0.02"/>
    <n v="0"/>
    <n v="2"/>
    <b v="0"/>
    <n v="0"/>
  </r>
  <r>
    <d v="2025-05-09T00:00:00"/>
    <x v="2"/>
    <n v="551"/>
    <n v="0.04"/>
    <n v="0"/>
    <n v="2"/>
    <b v="0"/>
    <n v="0"/>
  </r>
  <r>
    <d v="2025-05-09T00:00:00"/>
    <x v="3"/>
    <n v="341"/>
    <n v="0.15"/>
    <n v="0"/>
    <n v="2"/>
    <b v="0"/>
    <n v="0"/>
  </r>
  <r>
    <d v="2025-05-09T00:00:00"/>
    <x v="4"/>
    <n v="288"/>
    <n v="0.03"/>
    <n v="0"/>
    <n v="5"/>
    <b v="0"/>
    <n v="0"/>
  </r>
  <r>
    <d v="2025-05-10T00:00:00"/>
    <x v="0"/>
    <n v="281"/>
    <n v="0.05"/>
    <n v="0"/>
    <n v="2"/>
    <b v="0"/>
    <n v="0"/>
  </r>
  <r>
    <d v="2025-05-10T00:00:00"/>
    <x v="1"/>
    <n v="635"/>
    <n v="0.02"/>
    <n v="0"/>
    <n v="5"/>
    <b v="0"/>
    <n v="0"/>
  </r>
  <r>
    <d v="2025-05-10T00:00:00"/>
    <x v="2"/>
    <n v="259"/>
    <n v="0.04"/>
    <n v="0"/>
    <n v="2"/>
    <b v="0"/>
    <n v="0"/>
  </r>
  <r>
    <d v="2025-05-10T00:00:00"/>
    <x v="3"/>
    <n v="334"/>
    <n v="0.15"/>
    <n v="0"/>
    <n v="10"/>
    <b v="0"/>
    <n v="0"/>
  </r>
  <r>
    <d v="2025-05-10T00:00:00"/>
    <x v="4"/>
    <n v="478"/>
    <n v="0.03"/>
    <n v="0"/>
    <n v="2"/>
    <b v="0"/>
    <n v="0"/>
  </r>
  <r>
    <d v="2025-05-11T00:00:00"/>
    <x v="0"/>
    <n v="73"/>
    <n v="0.05"/>
    <n v="0"/>
    <n v="5"/>
    <b v="0"/>
    <n v="0"/>
  </r>
  <r>
    <d v="2025-05-11T00:00:00"/>
    <x v="1"/>
    <n v="44"/>
    <n v="0.02"/>
    <n v="0"/>
    <n v="5"/>
    <b v="0"/>
    <n v="0"/>
  </r>
  <r>
    <d v="2025-05-11T00:00:00"/>
    <x v="2"/>
    <n v="335"/>
    <n v="0.04"/>
    <n v="0"/>
    <n v="5"/>
    <b v="0"/>
    <n v="0"/>
  </r>
  <r>
    <d v="2025-05-11T00:00:00"/>
    <x v="3"/>
    <n v="490"/>
    <n v="0.15"/>
    <n v="0"/>
    <n v="2"/>
    <b v="0"/>
    <n v="0"/>
  </r>
  <r>
    <d v="2025-05-11T00:00:00"/>
    <x v="4"/>
    <n v="138"/>
    <n v="0.03"/>
    <n v="0"/>
    <n v="2"/>
    <b v="0"/>
    <n v="0"/>
  </r>
  <r>
    <d v="2025-05-12T00:00:00"/>
    <x v="0"/>
    <n v="756"/>
    <n v="0.05"/>
    <n v="0"/>
    <n v="2"/>
    <b v="0"/>
    <n v="0"/>
  </r>
  <r>
    <d v="2025-05-12T00:00:00"/>
    <x v="1"/>
    <n v="584"/>
    <n v="0.02"/>
    <n v="0"/>
    <n v="5"/>
    <b v="0"/>
    <n v="0"/>
  </r>
  <r>
    <d v="2025-05-12T00:00:00"/>
    <x v="2"/>
    <n v="678"/>
    <n v="0.04"/>
    <n v="0"/>
    <n v="5"/>
    <b v="0"/>
    <n v="0"/>
  </r>
  <r>
    <d v="2025-05-12T00:00:00"/>
    <x v="3"/>
    <n v="326"/>
    <n v="0.15"/>
    <n v="0"/>
    <n v="5"/>
    <b v="0"/>
    <n v="0"/>
  </r>
  <r>
    <d v="2025-05-12T00:00:00"/>
    <x v="4"/>
    <n v="611"/>
    <n v="0.03"/>
    <n v="0"/>
    <n v="2"/>
    <b v="0"/>
    <n v="0"/>
  </r>
  <r>
    <d v="2025-05-13T00:00:00"/>
    <x v="0"/>
    <n v="788"/>
    <n v="0.05"/>
    <n v="0"/>
    <n v="5"/>
    <b v="0"/>
    <n v="0"/>
  </r>
  <r>
    <d v="2025-05-13T00:00:00"/>
    <x v="1"/>
    <n v="217"/>
    <n v="0.02"/>
    <n v="0"/>
    <n v="2"/>
    <b v="0"/>
    <n v="0"/>
  </r>
  <r>
    <d v="2025-05-13T00:00:00"/>
    <x v="2"/>
    <n v="0"/>
    <n v="0.04"/>
    <n v="0"/>
    <n v="2"/>
    <b v="0"/>
    <n v="1"/>
  </r>
  <r>
    <d v="2025-05-13T00:00:00"/>
    <x v="3"/>
    <n v="781"/>
    <n v="0.15"/>
    <n v="0"/>
    <n v="2"/>
    <b v="0"/>
    <n v="0"/>
  </r>
  <r>
    <d v="2025-05-13T00:00:00"/>
    <x v="4"/>
    <n v="64"/>
    <n v="0.03"/>
    <n v="0"/>
    <n v="5"/>
    <b v="0"/>
    <n v="0"/>
  </r>
  <r>
    <d v="2025-05-14T00:00:00"/>
    <x v="0"/>
    <n v="592"/>
    <n v="0.05"/>
    <n v="0"/>
    <n v="5"/>
    <b v="0"/>
    <n v="0"/>
  </r>
  <r>
    <d v="2025-05-14T00:00:00"/>
    <x v="1"/>
    <n v="639"/>
    <n v="0.02"/>
    <n v="0"/>
    <n v="2"/>
    <b v="0"/>
    <n v="0"/>
  </r>
  <r>
    <d v="2025-05-14T00:00:00"/>
    <x v="2"/>
    <n v="639"/>
    <n v="0.04"/>
    <n v="0"/>
    <n v="5"/>
    <b v="0"/>
    <n v="0"/>
  </r>
  <r>
    <d v="2025-05-14T00:00:00"/>
    <x v="3"/>
    <n v="654"/>
    <n v="0.15"/>
    <n v="0"/>
    <n v="2"/>
    <b v="0"/>
    <n v="0"/>
  </r>
  <r>
    <d v="2025-05-14T00:00:00"/>
    <x v="4"/>
    <n v="386"/>
    <n v="0.03"/>
    <n v="0"/>
    <n v="5"/>
    <b v="0"/>
    <n v="0"/>
  </r>
  <r>
    <d v="2025-05-15T00:00:00"/>
    <x v="0"/>
    <n v="434"/>
    <n v="0.05"/>
    <n v="0"/>
    <n v="5"/>
    <b v="0"/>
    <n v="0"/>
  </r>
  <r>
    <d v="2025-05-15T00:00:00"/>
    <x v="1"/>
    <n v="381"/>
    <n v="0.02"/>
    <n v="0"/>
    <n v="2"/>
    <b v="0"/>
    <n v="0"/>
  </r>
  <r>
    <d v="2025-05-15T00:00:00"/>
    <x v="2"/>
    <n v="333"/>
    <n v="0.04"/>
    <n v="0"/>
    <n v="2"/>
    <b v="0"/>
    <n v="0"/>
  </r>
  <r>
    <d v="2025-05-15T00:00:00"/>
    <x v="3"/>
    <n v="360"/>
    <n v="0.15"/>
    <n v="0"/>
    <n v="5"/>
    <b v="0"/>
    <n v="0"/>
  </r>
  <r>
    <d v="2025-05-15T00:00:00"/>
    <x v="4"/>
    <n v="865"/>
    <n v="0.03"/>
    <n v="0"/>
    <n v="2"/>
    <b v="0"/>
    <n v="0"/>
  </r>
  <r>
    <d v="2025-05-16T00:00:00"/>
    <x v="0"/>
    <n v="667"/>
    <n v="0.05"/>
    <n v="0"/>
    <n v="5"/>
    <b v="0"/>
    <n v="0"/>
  </r>
  <r>
    <d v="2025-05-16T00:00:00"/>
    <x v="1"/>
    <n v="868"/>
    <n v="0.02"/>
    <n v="0"/>
    <n v="2"/>
    <b v="0"/>
    <n v="0"/>
  </r>
  <r>
    <d v="2025-05-16T00:00:00"/>
    <x v="2"/>
    <n v="574"/>
    <n v="0.04"/>
    <n v="0"/>
    <n v="5"/>
    <b v="0"/>
    <n v="0"/>
  </r>
  <r>
    <d v="2025-05-16T00:00:00"/>
    <x v="3"/>
    <n v="252"/>
    <n v="0.15"/>
    <n v="0"/>
    <n v="2"/>
    <b v="0"/>
    <n v="0"/>
  </r>
  <r>
    <d v="2025-05-16T00:00:00"/>
    <x v="4"/>
    <n v="811"/>
    <n v="0.03"/>
    <n v="0"/>
    <n v="5"/>
    <b v="0"/>
    <n v="0"/>
  </r>
  <r>
    <d v="2025-05-17T00:00:00"/>
    <x v="0"/>
    <n v="470"/>
    <n v="0.05"/>
    <n v="0"/>
    <n v="2"/>
    <b v="0"/>
    <n v="0"/>
  </r>
  <r>
    <d v="2025-05-17T00:00:00"/>
    <x v="1"/>
    <n v="685"/>
    <n v="0.02"/>
    <n v="0"/>
    <n v="2"/>
    <b v="0"/>
    <n v="0"/>
  </r>
  <r>
    <d v="2025-05-17T00:00:00"/>
    <x v="2"/>
    <n v="127"/>
    <n v="0.04"/>
    <n v="0"/>
    <n v="2"/>
    <b v="0"/>
    <n v="0"/>
  </r>
  <r>
    <d v="2025-05-17T00:00:00"/>
    <x v="3"/>
    <n v="326"/>
    <n v="0.15"/>
    <n v="0"/>
    <n v="5"/>
    <b v="0"/>
    <n v="0"/>
  </r>
  <r>
    <d v="2025-05-17T00:00:00"/>
    <x v="4"/>
    <n v="487"/>
    <n v="0.03"/>
    <n v="0"/>
    <n v="5"/>
    <b v="0"/>
    <n v="0"/>
  </r>
  <r>
    <d v="2025-05-18T00:00:00"/>
    <x v="0"/>
    <n v="829"/>
    <n v="0.05"/>
    <n v="0"/>
    <n v="5"/>
    <b v="0"/>
    <n v="0"/>
  </r>
  <r>
    <d v="2025-05-18T00:00:00"/>
    <x v="1"/>
    <n v="237"/>
    <n v="0.02"/>
    <n v="0"/>
    <n v="5"/>
    <b v="0"/>
    <n v="0"/>
  </r>
  <r>
    <d v="2025-05-18T00:00:00"/>
    <x v="2"/>
    <n v="655"/>
    <n v="0.04"/>
    <n v="0"/>
    <n v="2"/>
    <b v="0"/>
    <n v="0"/>
  </r>
  <r>
    <d v="2025-05-18T00:00:00"/>
    <x v="3"/>
    <n v="0"/>
    <n v="0.15"/>
    <n v="0"/>
    <n v="2"/>
    <b v="0"/>
    <n v="1"/>
  </r>
  <r>
    <d v="2025-05-18T00:00:00"/>
    <x v="4"/>
    <n v="96"/>
    <n v="0.03"/>
    <n v="0"/>
    <n v="2"/>
    <b v="0"/>
    <n v="0"/>
  </r>
  <r>
    <d v="2025-05-19T00:00:00"/>
    <x v="0"/>
    <n v="283"/>
    <n v="0.05"/>
    <n v="0"/>
    <n v="2"/>
    <b v="0"/>
    <n v="0"/>
  </r>
  <r>
    <d v="2025-05-19T00:00:00"/>
    <x v="1"/>
    <n v="319"/>
    <n v="0.02"/>
    <n v="0"/>
    <n v="2"/>
    <b v="0"/>
    <n v="0"/>
  </r>
  <r>
    <d v="2025-05-19T00:00:00"/>
    <x v="2"/>
    <n v="895"/>
    <n v="0.04"/>
    <n v="0"/>
    <n v="2"/>
    <b v="0"/>
    <n v="0"/>
  </r>
  <r>
    <d v="2025-05-19T00:00:00"/>
    <x v="3"/>
    <n v="76"/>
    <n v="0.15"/>
    <n v="0"/>
    <n v="2"/>
    <b v="0"/>
    <n v="0"/>
  </r>
  <r>
    <d v="2025-05-19T00:00:00"/>
    <x v="4"/>
    <n v="636"/>
    <n v="0.03"/>
    <n v="0"/>
    <n v="10"/>
    <b v="0"/>
    <n v="0"/>
  </r>
  <r>
    <d v="2025-05-20T00:00:00"/>
    <x v="0"/>
    <n v="283"/>
    <n v="0.05"/>
    <n v="0"/>
    <n v="5"/>
    <b v="0"/>
    <n v="0"/>
  </r>
  <r>
    <d v="2025-05-20T00:00:00"/>
    <x v="1"/>
    <n v="446"/>
    <n v="0.02"/>
    <n v="0"/>
    <n v="5"/>
    <b v="0"/>
    <n v="0"/>
  </r>
  <r>
    <d v="2025-05-20T00:00:00"/>
    <x v="2"/>
    <n v="265"/>
    <n v="0.04"/>
    <n v="0"/>
    <n v="2"/>
    <b v="0"/>
    <n v="0"/>
  </r>
  <r>
    <d v="2025-05-20T00:00:00"/>
    <x v="3"/>
    <n v="265"/>
    <n v="0.15"/>
    <n v="0"/>
    <n v="5"/>
    <b v="0"/>
    <n v="0"/>
  </r>
  <r>
    <d v="2025-05-20T00:00:00"/>
    <x v="4"/>
    <n v="448"/>
    <n v="0.03"/>
    <n v="0"/>
    <n v="5"/>
    <b v="0"/>
    <n v="0"/>
  </r>
  <r>
    <d v="2025-05-21T00:00:00"/>
    <x v="0"/>
    <n v="408"/>
    <n v="0.05"/>
    <n v="0"/>
    <n v="2"/>
    <b v="0"/>
    <n v="0"/>
  </r>
  <r>
    <d v="2025-05-21T00:00:00"/>
    <x v="1"/>
    <n v="106"/>
    <n v="0.02"/>
    <n v="0"/>
    <n v="2"/>
    <b v="0"/>
    <n v="0"/>
  </r>
  <r>
    <d v="2025-05-21T00:00:00"/>
    <x v="2"/>
    <n v="505"/>
    <n v="0.04"/>
    <n v="0"/>
    <n v="2"/>
    <b v="0"/>
    <n v="0"/>
  </r>
  <r>
    <d v="2025-05-21T00:00:00"/>
    <x v="3"/>
    <n v="638"/>
    <n v="0.15"/>
    <n v="0"/>
    <n v="2"/>
    <b v="0"/>
    <n v="0"/>
  </r>
  <r>
    <d v="2025-05-21T00:00:00"/>
    <x v="4"/>
    <n v="287"/>
    <n v="0.03"/>
    <n v="0"/>
    <n v="5"/>
    <b v="0"/>
    <n v="0"/>
  </r>
  <r>
    <d v="2025-05-22T00:00:00"/>
    <x v="0"/>
    <n v="127"/>
    <n v="0.05"/>
    <n v="0"/>
    <n v="2"/>
    <b v="0"/>
    <n v="0"/>
  </r>
  <r>
    <d v="2025-05-22T00:00:00"/>
    <x v="1"/>
    <n v="362"/>
    <n v="0.02"/>
    <n v="0"/>
    <n v="2"/>
    <b v="0"/>
    <n v="0"/>
  </r>
  <r>
    <d v="2025-05-22T00:00:00"/>
    <x v="2"/>
    <n v="888"/>
    <n v="0.04"/>
    <n v="0"/>
    <n v="5"/>
    <b v="0"/>
    <n v="0"/>
  </r>
  <r>
    <d v="2025-05-22T00:00:00"/>
    <x v="3"/>
    <n v="56"/>
    <n v="0.15"/>
    <n v="0"/>
    <n v="2"/>
    <b v="0"/>
    <n v="0"/>
  </r>
  <r>
    <d v="2025-05-22T00:00:00"/>
    <x v="4"/>
    <n v="848"/>
    <n v="0.03"/>
    <n v="0"/>
    <n v="2"/>
    <b v="0"/>
    <n v="0"/>
  </r>
  <r>
    <d v="2025-05-23T00:00:00"/>
    <x v="0"/>
    <n v="265"/>
    <n v="0.05"/>
    <n v="0"/>
    <n v="2"/>
    <b v="0"/>
    <n v="0"/>
  </r>
  <r>
    <d v="2025-05-23T00:00:00"/>
    <x v="1"/>
    <n v="457"/>
    <n v="0.02"/>
    <n v="0"/>
    <n v="2"/>
    <b v="0"/>
    <n v="0"/>
  </r>
  <r>
    <d v="2025-05-23T00:00:00"/>
    <x v="2"/>
    <n v="437"/>
    <n v="0.04"/>
    <n v="0"/>
    <n v="15"/>
    <b v="0"/>
    <n v="0"/>
  </r>
  <r>
    <d v="2025-05-23T00:00:00"/>
    <x v="3"/>
    <n v="171"/>
    <n v="0.15"/>
    <n v="0"/>
    <n v="5"/>
    <b v="0"/>
    <n v="0"/>
  </r>
  <r>
    <d v="2025-05-23T00:00:00"/>
    <x v="4"/>
    <n v="12"/>
    <n v="0.03"/>
    <n v="0"/>
    <n v="10"/>
    <b v="0"/>
    <n v="0"/>
  </r>
  <r>
    <d v="2025-05-24T00:00:00"/>
    <x v="0"/>
    <n v="607"/>
    <n v="0.05"/>
    <n v="0"/>
    <n v="2"/>
    <b v="0"/>
    <n v="0"/>
  </r>
  <r>
    <d v="2025-05-24T00:00:00"/>
    <x v="1"/>
    <n v="327"/>
    <n v="0.02"/>
    <n v="0"/>
    <n v="5"/>
    <b v="0"/>
    <n v="0"/>
  </r>
  <r>
    <d v="2025-05-24T00:00:00"/>
    <x v="2"/>
    <n v="816"/>
    <n v="0.04"/>
    <n v="0"/>
    <n v="5"/>
    <b v="0"/>
    <n v="0"/>
  </r>
  <r>
    <d v="2025-05-24T00:00:00"/>
    <x v="3"/>
    <n v="476"/>
    <n v="0.15"/>
    <n v="0"/>
    <n v="5"/>
    <b v="0"/>
    <n v="0"/>
  </r>
  <r>
    <d v="2025-05-24T00:00:00"/>
    <x v="4"/>
    <n v="122"/>
    <n v="0.03"/>
    <n v="0"/>
    <n v="2"/>
    <b v="0"/>
    <n v="0"/>
  </r>
  <r>
    <d v="2025-05-25T00:00:00"/>
    <x v="0"/>
    <n v="689"/>
    <n v="0.05"/>
    <n v="0"/>
    <n v="2"/>
    <b v="0"/>
    <n v="0"/>
  </r>
  <r>
    <d v="2025-05-25T00:00:00"/>
    <x v="1"/>
    <n v="487"/>
    <n v="0.02"/>
    <n v="0"/>
    <n v="5"/>
    <b v="0"/>
    <n v="0"/>
  </r>
  <r>
    <d v="2025-05-25T00:00:00"/>
    <x v="2"/>
    <n v="897"/>
    <n v="0.04"/>
    <n v="0"/>
    <n v="5"/>
    <b v="0"/>
    <n v="0"/>
  </r>
  <r>
    <d v="2025-05-25T00:00:00"/>
    <x v="3"/>
    <n v="445"/>
    <n v="0.15"/>
    <n v="0"/>
    <n v="10"/>
    <b v="0"/>
    <n v="0"/>
  </r>
  <r>
    <d v="2025-05-25T00:00:00"/>
    <x v="4"/>
    <n v="70"/>
    <n v="0.03"/>
    <n v="0"/>
    <n v="5"/>
    <b v="0"/>
    <n v="0"/>
  </r>
  <r>
    <d v="2025-05-26T00:00:00"/>
    <x v="0"/>
    <n v="184"/>
    <n v="0.05"/>
    <n v="0"/>
    <n v="2"/>
    <b v="0"/>
    <n v="0"/>
  </r>
  <r>
    <d v="2025-05-26T00:00:00"/>
    <x v="1"/>
    <n v="18"/>
    <n v="0.02"/>
    <n v="0"/>
    <n v="2"/>
    <b v="0"/>
    <n v="0"/>
  </r>
  <r>
    <d v="2025-05-26T00:00:00"/>
    <x v="2"/>
    <n v="312"/>
    <n v="0.04"/>
    <n v="0"/>
    <n v="5"/>
    <b v="0"/>
    <n v="0"/>
  </r>
  <r>
    <d v="2025-05-26T00:00:00"/>
    <x v="3"/>
    <n v="232"/>
    <n v="0.15"/>
    <n v="0"/>
    <n v="5"/>
    <b v="0"/>
    <n v="0"/>
  </r>
  <r>
    <d v="2025-05-26T00:00:00"/>
    <x v="4"/>
    <n v="285"/>
    <n v="0.03"/>
    <n v="0"/>
    <n v="2"/>
    <b v="0"/>
    <n v="0"/>
  </r>
  <r>
    <d v="2025-05-27T00:00:00"/>
    <x v="0"/>
    <n v="136"/>
    <n v="0.05"/>
    <n v="0"/>
    <n v="5"/>
    <b v="0"/>
    <n v="0"/>
  </r>
  <r>
    <d v="2025-05-27T00:00:00"/>
    <x v="1"/>
    <n v="199"/>
    <n v="0.02"/>
    <n v="0"/>
    <n v="2"/>
    <b v="0"/>
    <n v="0"/>
  </r>
  <r>
    <d v="2025-05-27T00:00:00"/>
    <x v="2"/>
    <n v="732"/>
    <n v="0.04"/>
    <n v="0"/>
    <n v="5"/>
    <b v="0"/>
    <n v="0"/>
  </r>
  <r>
    <d v="2025-05-27T00:00:00"/>
    <x v="3"/>
    <n v="860"/>
    <n v="0.15"/>
    <n v="0"/>
    <n v="5"/>
    <b v="0"/>
    <n v="0"/>
  </r>
  <r>
    <d v="2025-05-27T00:00:00"/>
    <x v="4"/>
    <n v="554"/>
    <n v="0.03"/>
    <n v="0"/>
    <n v="15"/>
    <b v="0"/>
    <n v="0"/>
  </r>
  <r>
    <d v="2025-05-28T00:00:00"/>
    <x v="0"/>
    <n v="263"/>
    <n v="0.05"/>
    <n v="0"/>
    <n v="5"/>
    <b v="0"/>
    <n v="0"/>
  </r>
  <r>
    <d v="2025-05-28T00:00:00"/>
    <x v="1"/>
    <n v="353"/>
    <n v="0.02"/>
    <n v="0"/>
    <n v="5"/>
    <b v="0"/>
    <n v="0"/>
  </r>
  <r>
    <d v="2025-05-28T00:00:00"/>
    <x v="2"/>
    <n v="521"/>
    <n v="0.04"/>
    <n v="0"/>
    <n v="5"/>
    <b v="0"/>
    <n v="0"/>
  </r>
  <r>
    <d v="2025-05-28T00:00:00"/>
    <x v="3"/>
    <n v="177"/>
    <n v="0.15"/>
    <n v="0"/>
    <n v="2"/>
    <b v="0"/>
    <n v="0"/>
  </r>
  <r>
    <d v="2025-05-28T00:00:00"/>
    <x v="4"/>
    <n v="119"/>
    <n v="0.03"/>
    <n v="0"/>
    <n v="5"/>
    <b v="0"/>
    <n v="0"/>
  </r>
  <r>
    <d v="2025-05-29T00:00:00"/>
    <x v="0"/>
    <n v="342"/>
    <n v="0.05"/>
    <n v="0"/>
    <n v="2"/>
    <b v="0"/>
    <n v="0"/>
  </r>
  <r>
    <d v="2025-05-29T00:00:00"/>
    <x v="1"/>
    <n v="0"/>
    <n v="0.02"/>
    <n v="0"/>
    <n v="2"/>
    <b v="0"/>
    <n v="1"/>
  </r>
  <r>
    <d v="2025-05-29T00:00:00"/>
    <x v="2"/>
    <n v="883"/>
    <n v="0.04"/>
    <n v="0"/>
    <n v="2"/>
    <b v="0"/>
    <n v="0"/>
  </r>
  <r>
    <d v="2025-05-29T00:00:00"/>
    <x v="3"/>
    <n v="36"/>
    <n v="0.15"/>
    <n v="0"/>
    <n v="2"/>
    <b v="0"/>
    <n v="0"/>
  </r>
  <r>
    <d v="2025-05-29T00:00:00"/>
    <x v="4"/>
    <n v="236"/>
    <n v="0.03"/>
    <n v="0"/>
    <n v="2"/>
    <b v="0"/>
    <n v="0"/>
  </r>
  <r>
    <d v="2025-05-30T00:00:00"/>
    <x v="0"/>
    <n v="137"/>
    <n v="0.05"/>
    <n v="0"/>
    <n v="5"/>
    <b v="0"/>
    <n v="0"/>
  </r>
  <r>
    <d v="2025-05-30T00:00:00"/>
    <x v="1"/>
    <n v="0"/>
    <n v="0.02"/>
    <n v="0"/>
    <n v="5"/>
    <b v="0"/>
    <n v="1"/>
  </r>
  <r>
    <d v="2025-05-30T00:00:00"/>
    <x v="2"/>
    <n v="292"/>
    <n v="0.04"/>
    <n v="0"/>
    <n v="2"/>
    <b v="0"/>
    <n v="0"/>
  </r>
  <r>
    <d v="2025-05-30T00:00:00"/>
    <x v="3"/>
    <n v="281"/>
    <n v="0.15"/>
    <n v="0"/>
    <n v="2"/>
    <b v="0"/>
    <n v="0"/>
  </r>
  <r>
    <d v="2025-05-30T00:00:00"/>
    <x v="4"/>
    <n v="647"/>
    <n v="0.03"/>
    <n v="0"/>
    <n v="5"/>
    <b v="0"/>
    <n v="0"/>
  </r>
  <r>
    <d v="2025-05-31T00:00:00"/>
    <x v="0"/>
    <n v="892"/>
    <n v="0.05"/>
    <n v="0"/>
    <n v="2"/>
    <b v="0"/>
    <n v="0"/>
  </r>
  <r>
    <d v="2025-05-31T00:00:00"/>
    <x v="1"/>
    <n v="715"/>
    <n v="0.02"/>
    <n v="0"/>
    <n v="2"/>
    <b v="0"/>
    <n v="0"/>
  </r>
  <r>
    <d v="2025-05-31T00:00:00"/>
    <x v="2"/>
    <n v="728"/>
    <n v="0.04"/>
    <n v="0"/>
    <n v="10"/>
    <b v="0"/>
    <n v="0"/>
  </r>
  <r>
    <d v="2025-05-31T00:00:00"/>
    <x v="3"/>
    <n v="376"/>
    <n v="0.15"/>
    <n v="0"/>
    <n v="15"/>
    <b v="0"/>
    <n v="0"/>
  </r>
  <r>
    <d v="2025-05-31T00:00:00"/>
    <x v="4"/>
    <n v="487"/>
    <n v="0.03"/>
    <n v="0"/>
    <n v="2"/>
    <b v="0"/>
    <n v="0"/>
  </r>
  <r>
    <d v="2025-06-01T00:00:00"/>
    <x v="0"/>
    <n v="125"/>
    <n v="0.05"/>
    <n v="0"/>
    <n v="5"/>
    <b v="0"/>
    <n v="0"/>
  </r>
  <r>
    <d v="2025-06-01T00:00:00"/>
    <x v="1"/>
    <n v="294"/>
    <n v="0.02"/>
    <n v="0"/>
    <n v="5"/>
    <b v="0"/>
    <n v="0"/>
  </r>
  <r>
    <d v="2025-06-01T00:00:00"/>
    <x v="2"/>
    <n v="421"/>
    <n v="0.04"/>
    <n v="0"/>
    <n v="5"/>
    <b v="0"/>
    <n v="0"/>
  </r>
  <r>
    <d v="2025-06-01T00:00:00"/>
    <x v="3"/>
    <n v="853"/>
    <n v="0.15"/>
    <n v="0"/>
    <n v="5"/>
    <b v="0"/>
    <n v="0"/>
  </r>
  <r>
    <d v="2025-06-01T00:00:00"/>
    <x v="4"/>
    <n v="694"/>
    <n v="0.03"/>
    <n v="0"/>
    <n v="10"/>
    <b v="0"/>
    <n v="0"/>
  </r>
  <r>
    <d v="2025-06-02T00:00:00"/>
    <x v="0"/>
    <n v="739"/>
    <n v="0.05"/>
    <n v="0"/>
    <n v="2"/>
    <b v="0"/>
    <n v="0"/>
  </r>
  <r>
    <d v="2025-06-02T00:00:00"/>
    <x v="1"/>
    <n v="149"/>
    <n v="0.02"/>
    <n v="0"/>
    <n v="5"/>
    <b v="0"/>
    <n v="0"/>
  </r>
  <r>
    <d v="2025-06-02T00:00:00"/>
    <x v="2"/>
    <n v="308"/>
    <n v="0.04"/>
    <n v="0"/>
    <n v="15"/>
    <b v="0"/>
    <n v="0"/>
  </r>
  <r>
    <d v="2025-06-02T00:00:00"/>
    <x v="3"/>
    <n v="129"/>
    <n v="0.15"/>
    <n v="0"/>
    <n v="2"/>
    <b v="0"/>
    <n v="0"/>
  </r>
  <r>
    <d v="2025-06-02T00:00:00"/>
    <x v="4"/>
    <n v="3"/>
    <n v="0.03"/>
    <n v="0"/>
    <n v="5"/>
    <b v="0"/>
    <n v="0"/>
  </r>
  <r>
    <d v="2025-06-03T00:00:00"/>
    <x v="0"/>
    <n v="484"/>
    <n v="0.05"/>
    <n v="0"/>
    <n v="2"/>
    <b v="0"/>
    <n v="0"/>
  </r>
  <r>
    <d v="2025-06-03T00:00:00"/>
    <x v="1"/>
    <n v="88"/>
    <n v="0.02"/>
    <n v="0"/>
    <n v="2"/>
    <b v="0"/>
    <n v="0"/>
  </r>
  <r>
    <d v="2025-06-03T00:00:00"/>
    <x v="2"/>
    <n v="248"/>
    <n v="0.04"/>
    <n v="0"/>
    <n v="2"/>
    <b v="0"/>
    <n v="0"/>
  </r>
  <r>
    <d v="2025-06-03T00:00:00"/>
    <x v="3"/>
    <n v="744"/>
    <n v="0.15"/>
    <n v="0"/>
    <n v="5"/>
    <b v="0"/>
    <n v="0"/>
  </r>
  <r>
    <d v="2025-06-03T00:00:00"/>
    <x v="4"/>
    <n v="401"/>
    <n v="0.03"/>
    <n v="0"/>
    <n v="2"/>
    <b v="0"/>
    <n v="0"/>
  </r>
  <r>
    <d v="2025-06-04T00:00:00"/>
    <x v="0"/>
    <n v="420"/>
    <n v="0.05"/>
    <n v="0"/>
    <n v="2"/>
    <b v="0"/>
    <n v="0"/>
  </r>
  <r>
    <d v="2025-06-04T00:00:00"/>
    <x v="1"/>
    <n v="827"/>
    <n v="0.02"/>
    <n v="0"/>
    <n v="2"/>
    <b v="0"/>
    <n v="0"/>
  </r>
  <r>
    <d v="2025-06-04T00:00:00"/>
    <x v="2"/>
    <n v="293"/>
    <n v="0.04"/>
    <n v="0"/>
    <n v="5"/>
    <b v="0"/>
    <n v="0"/>
  </r>
  <r>
    <d v="2025-06-04T00:00:00"/>
    <x v="3"/>
    <n v="634"/>
    <n v="0.15"/>
    <n v="0"/>
    <n v="5"/>
    <b v="0"/>
    <n v="0"/>
  </r>
  <r>
    <d v="2025-06-04T00:00:00"/>
    <x v="4"/>
    <n v="198"/>
    <n v="0.03"/>
    <n v="0"/>
    <n v="2"/>
    <b v="0"/>
    <n v="0"/>
  </r>
  <r>
    <d v="2025-06-05T00:00:00"/>
    <x v="0"/>
    <n v="313"/>
    <n v="0.05"/>
    <n v="0"/>
    <n v="5"/>
    <b v="0"/>
    <n v="0"/>
  </r>
  <r>
    <d v="2025-06-05T00:00:00"/>
    <x v="1"/>
    <n v="871"/>
    <n v="0.02"/>
    <n v="0"/>
    <n v="10"/>
    <b v="0"/>
    <n v="0"/>
  </r>
  <r>
    <d v="2025-06-05T00:00:00"/>
    <x v="2"/>
    <n v="803"/>
    <n v="0.04"/>
    <n v="0"/>
    <n v="2"/>
    <b v="0"/>
    <n v="0"/>
  </r>
  <r>
    <d v="2025-06-05T00:00:00"/>
    <x v="3"/>
    <n v="43"/>
    <n v="0.15"/>
    <n v="0"/>
    <n v="2"/>
    <b v="0"/>
    <n v="0"/>
  </r>
  <r>
    <d v="2025-06-05T00:00:00"/>
    <x v="4"/>
    <n v="583"/>
    <n v="0.03"/>
    <n v="0"/>
    <n v="2"/>
    <b v="0"/>
    <n v="0"/>
  </r>
  <r>
    <d v="2025-06-06T00:00:00"/>
    <x v="0"/>
    <n v="318"/>
    <n v="0.05"/>
    <n v="0"/>
    <n v="2"/>
    <b v="0"/>
    <n v="0"/>
  </r>
  <r>
    <d v="2025-06-06T00:00:00"/>
    <x v="1"/>
    <n v="613"/>
    <n v="0.02"/>
    <n v="0"/>
    <n v="2"/>
    <b v="0"/>
    <n v="0"/>
  </r>
  <r>
    <d v="2025-06-06T00:00:00"/>
    <x v="2"/>
    <n v="831"/>
    <n v="0.04"/>
    <n v="0"/>
    <n v="5"/>
    <b v="0"/>
    <n v="0"/>
  </r>
  <r>
    <d v="2025-06-06T00:00:00"/>
    <x v="3"/>
    <n v="498"/>
    <n v="0.15"/>
    <n v="0"/>
    <n v="2"/>
    <b v="0"/>
    <n v="0"/>
  </r>
  <r>
    <d v="2025-06-06T00:00:00"/>
    <x v="4"/>
    <n v="401"/>
    <n v="0.03"/>
    <n v="0"/>
    <n v="5"/>
    <b v="0"/>
    <n v="0"/>
  </r>
  <r>
    <d v="2025-06-07T00:00:00"/>
    <x v="0"/>
    <n v="0"/>
    <n v="0.05"/>
    <n v="0"/>
    <n v="5"/>
    <b v="0"/>
    <n v="1"/>
  </r>
  <r>
    <d v="2025-06-07T00:00:00"/>
    <x v="1"/>
    <n v="824"/>
    <n v="0.02"/>
    <n v="0"/>
    <n v="2"/>
    <b v="0"/>
    <n v="0"/>
  </r>
  <r>
    <d v="2025-06-07T00:00:00"/>
    <x v="2"/>
    <n v="465"/>
    <n v="0.04"/>
    <n v="0"/>
    <n v="5"/>
    <b v="0"/>
    <n v="0"/>
  </r>
  <r>
    <d v="2025-06-07T00:00:00"/>
    <x v="3"/>
    <n v="711"/>
    <n v="0.15"/>
    <n v="0"/>
    <n v="2"/>
    <b v="0"/>
    <n v="0"/>
  </r>
  <r>
    <d v="2025-06-07T00:00:00"/>
    <x v="4"/>
    <n v="540"/>
    <n v="0.03"/>
    <n v="0"/>
    <n v="2"/>
    <b v="0"/>
    <n v="0"/>
  </r>
  <r>
    <d v="2025-06-08T00:00:00"/>
    <x v="0"/>
    <n v="768"/>
    <n v="0.05"/>
    <n v="0"/>
    <n v="2"/>
    <b v="0"/>
    <n v="0"/>
  </r>
  <r>
    <d v="2025-06-08T00:00:00"/>
    <x v="1"/>
    <n v="261"/>
    <n v="0.02"/>
    <n v="0"/>
    <n v="2"/>
    <b v="0"/>
    <n v="0"/>
  </r>
  <r>
    <d v="2025-06-08T00:00:00"/>
    <x v="2"/>
    <n v="493"/>
    <n v="0.04"/>
    <n v="0"/>
    <n v="5"/>
    <b v="0"/>
    <n v="0"/>
  </r>
  <r>
    <d v="2025-06-08T00:00:00"/>
    <x v="3"/>
    <n v="774"/>
    <n v="0.15"/>
    <n v="0"/>
    <n v="15"/>
    <b v="0"/>
    <n v="0"/>
  </r>
  <r>
    <d v="2025-06-08T00:00:00"/>
    <x v="4"/>
    <n v="376"/>
    <n v="0.03"/>
    <n v="0"/>
    <n v="2"/>
    <b v="0"/>
    <n v="0"/>
  </r>
  <r>
    <d v="2025-06-09T00:00:00"/>
    <x v="0"/>
    <n v="644"/>
    <n v="0.05"/>
    <n v="0"/>
    <n v="2"/>
    <b v="0"/>
    <n v="0"/>
  </r>
  <r>
    <d v="2025-06-09T00:00:00"/>
    <x v="1"/>
    <n v="557"/>
    <n v="0.02"/>
    <n v="0"/>
    <n v="5"/>
    <b v="0"/>
    <n v="0"/>
  </r>
  <r>
    <d v="2025-06-09T00:00:00"/>
    <x v="2"/>
    <n v="682"/>
    <n v="0.04"/>
    <n v="0"/>
    <n v="2"/>
    <b v="0"/>
    <n v="0"/>
  </r>
  <r>
    <d v="2025-06-09T00:00:00"/>
    <x v="3"/>
    <n v="295"/>
    <n v="0.15"/>
    <n v="0"/>
    <n v="2"/>
    <b v="0"/>
    <n v="0"/>
  </r>
  <r>
    <d v="2025-06-09T00:00:00"/>
    <x v="4"/>
    <n v="550"/>
    <n v="0.03"/>
    <n v="0"/>
    <n v="2"/>
    <b v="0"/>
    <n v="0"/>
  </r>
  <r>
    <d v="2025-06-10T00:00:00"/>
    <x v="0"/>
    <n v="19"/>
    <n v="0.05"/>
    <n v="0"/>
    <n v="2"/>
    <b v="0"/>
    <n v="0"/>
  </r>
  <r>
    <d v="2025-06-10T00:00:00"/>
    <x v="1"/>
    <n v="207"/>
    <n v="0.02"/>
    <n v="0"/>
    <n v="2"/>
    <b v="0"/>
    <n v="0"/>
  </r>
  <r>
    <d v="2025-06-10T00:00:00"/>
    <x v="2"/>
    <n v="661"/>
    <n v="0.04"/>
    <n v="0"/>
    <n v="5"/>
    <b v="0"/>
    <n v="0"/>
  </r>
  <r>
    <d v="2025-06-10T00:00:00"/>
    <x v="3"/>
    <n v="717"/>
    <n v="0.15"/>
    <n v="0"/>
    <n v="10"/>
    <b v="0"/>
    <n v="0"/>
  </r>
  <r>
    <d v="2025-06-10T00:00:00"/>
    <x v="4"/>
    <n v="120"/>
    <n v="0.03"/>
    <n v="0"/>
    <n v="5"/>
    <b v="0"/>
    <n v="0"/>
  </r>
  <r>
    <d v="2025-06-11T00:00:00"/>
    <x v="0"/>
    <n v="573"/>
    <n v="0.05"/>
    <n v="0"/>
    <n v="5"/>
    <b v="0"/>
    <n v="0"/>
  </r>
  <r>
    <d v="2025-06-11T00:00:00"/>
    <x v="1"/>
    <n v="739"/>
    <n v="0.02"/>
    <n v="0"/>
    <n v="2"/>
    <b v="0"/>
    <n v="0"/>
  </r>
  <r>
    <d v="2025-06-11T00:00:00"/>
    <x v="2"/>
    <n v="343"/>
    <n v="0.04"/>
    <n v="0"/>
    <n v="2"/>
    <b v="0"/>
    <n v="0"/>
  </r>
  <r>
    <d v="2025-06-11T00:00:00"/>
    <x v="3"/>
    <n v="135"/>
    <n v="0.15"/>
    <n v="0"/>
    <n v="5"/>
    <b v="0"/>
    <n v="0"/>
  </r>
  <r>
    <d v="2025-06-11T00:00:00"/>
    <x v="4"/>
    <n v="471"/>
    <n v="0.03"/>
    <n v="0"/>
    <n v="5"/>
    <b v="0"/>
    <n v="0"/>
  </r>
  <r>
    <d v="2025-06-12T00:00:00"/>
    <x v="0"/>
    <n v="348"/>
    <n v="0.05"/>
    <n v="0"/>
    <n v="2"/>
    <b v="0"/>
    <n v="0"/>
  </r>
  <r>
    <d v="2025-06-12T00:00:00"/>
    <x v="1"/>
    <n v="850"/>
    <n v="0.02"/>
    <n v="0"/>
    <n v="2"/>
    <b v="0"/>
    <n v="0"/>
  </r>
  <r>
    <d v="2025-06-12T00:00:00"/>
    <x v="2"/>
    <n v="315"/>
    <n v="0.04"/>
    <n v="0"/>
    <n v="5"/>
    <b v="0"/>
    <n v="0"/>
  </r>
  <r>
    <d v="2025-06-12T00:00:00"/>
    <x v="3"/>
    <n v="780"/>
    <n v="0.15"/>
    <n v="0"/>
    <n v="2"/>
    <b v="0"/>
    <n v="0"/>
  </r>
  <r>
    <d v="2025-06-12T00:00:00"/>
    <x v="4"/>
    <n v="607"/>
    <n v="0.03"/>
    <n v="0"/>
    <n v="15"/>
    <b v="0"/>
    <n v="0"/>
  </r>
  <r>
    <d v="2025-06-13T00:00:00"/>
    <x v="0"/>
    <n v="637"/>
    <n v="0.05"/>
    <n v="0"/>
    <n v="2"/>
    <b v="0"/>
    <n v="0"/>
  </r>
  <r>
    <d v="2025-06-13T00:00:00"/>
    <x v="1"/>
    <n v="15"/>
    <n v="0.02"/>
    <n v="0"/>
    <n v="2"/>
    <b v="0"/>
    <n v="0"/>
  </r>
  <r>
    <d v="2025-06-13T00:00:00"/>
    <x v="2"/>
    <n v="0"/>
    <n v="0.04"/>
    <n v="0"/>
    <n v="2"/>
    <b v="0"/>
    <n v="1"/>
  </r>
  <r>
    <d v="2025-06-13T00:00:00"/>
    <x v="3"/>
    <n v="152"/>
    <n v="0.15"/>
    <n v="0"/>
    <n v="10"/>
    <b v="0"/>
    <n v="0"/>
  </r>
  <r>
    <d v="2025-06-13T00:00:00"/>
    <x v="4"/>
    <n v="193"/>
    <n v="0.03"/>
    <n v="0"/>
    <n v="5"/>
    <b v="0"/>
    <n v="0"/>
  </r>
  <r>
    <d v="2025-06-14T00:00:00"/>
    <x v="0"/>
    <n v="499"/>
    <n v="0.05"/>
    <n v="0"/>
    <n v="5"/>
    <b v="0"/>
    <n v="0"/>
  </r>
  <r>
    <d v="2025-06-14T00:00:00"/>
    <x v="1"/>
    <n v="573"/>
    <n v="0.02"/>
    <n v="0"/>
    <n v="2"/>
    <b v="0"/>
    <n v="0"/>
  </r>
  <r>
    <d v="2025-06-14T00:00:00"/>
    <x v="2"/>
    <n v="38"/>
    <n v="0.04"/>
    <n v="0"/>
    <n v="2"/>
    <b v="0"/>
    <n v="0"/>
  </r>
  <r>
    <d v="2025-06-14T00:00:00"/>
    <x v="3"/>
    <n v="532"/>
    <n v="0.15"/>
    <n v="0"/>
    <n v="2"/>
    <b v="0"/>
    <n v="0"/>
  </r>
  <r>
    <d v="2025-06-14T00:00:00"/>
    <x v="4"/>
    <n v="600"/>
    <n v="0.03"/>
    <n v="0"/>
    <n v="2"/>
    <b v="0"/>
    <n v="0"/>
  </r>
  <r>
    <d v="2025-06-15T00:00:00"/>
    <x v="0"/>
    <n v="80"/>
    <n v="0.05"/>
    <n v="0"/>
    <n v="5"/>
    <b v="0"/>
    <n v="0"/>
  </r>
  <r>
    <d v="2025-06-15T00:00:00"/>
    <x v="1"/>
    <n v="890"/>
    <n v="0.02"/>
    <n v="0"/>
    <n v="5"/>
    <b v="0"/>
    <n v="0"/>
  </r>
  <r>
    <d v="2025-06-15T00:00:00"/>
    <x v="2"/>
    <n v="56"/>
    <n v="0.04"/>
    <n v="0"/>
    <n v="2"/>
    <b v="0"/>
    <n v="0"/>
  </r>
  <r>
    <d v="2025-06-15T00:00:00"/>
    <x v="3"/>
    <n v="187"/>
    <n v="0.15"/>
    <n v="0"/>
    <n v="2"/>
    <b v="0"/>
    <n v="0"/>
  </r>
  <r>
    <d v="2025-06-15T00:00:00"/>
    <x v="4"/>
    <n v="355"/>
    <n v="0.03"/>
    <n v="0"/>
    <n v="2"/>
    <b v="0"/>
    <n v="0"/>
  </r>
  <r>
    <d v="2025-06-16T00:00:00"/>
    <x v="0"/>
    <n v="207"/>
    <n v="0.05"/>
    <n v="0"/>
    <n v="2"/>
    <b v="0"/>
    <n v="0"/>
  </r>
  <r>
    <d v="2025-06-16T00:00:00"/>
    <x v="1"/>
    <n v="576"/>
    <n v="0.02"/>
    <n v="0"/>
    <n v="2"/>
    <b v="0"/>
    <n v="0"/>
  </r>
  <r>
    <d v="2025-06-16T00:00:00"/>
    <x v="2"/>
    <n v="279"/>
    <n v="0.04"/>
    <n v="0"/>
    <n v="2"/>
    <b v="0"/>
    <n v="0"/>
  </r>
  <r>
    <d v="2025-06-16T00:00:00"/>
    <x v="3"/>
    <n v="459"/>
    <n v="0.15"/>
    <n v="0"/>
    <n v="2"/>
    <b v="0"/>
    <n v="0"/>
  </r>
  <r>
    <d v="2025-06-16T00:00:00"/>
    <x v="4"/>
    <n v="555"/>
    <n v="0.03"/>
    <n v="0"/>
    <n v="2"/>
    <b v="0"/>
    <n v="0"/>
  </r>
  <r>
    <d v="2025-06-17T00:00:00"/>
    <x v="0"/>
    <n v="537"/>
    <n v="0.05"/>
    <n v="0"/>
    <n v="5"/>
    <b v="0"/>
    <n v="0"/>
  </r>
  <r>
    <d v="2025-06-17T00:00:00"/>
    <x v="1"/>
    <n v="830"/>
    <n v="0.02"/>
    <n v="0"/>
    <n v="5"/>
    <b v="0"/>
    <n v="0"/>
  </r>
  <r>
    <d v="2025-06-17T00:00:00"/>
    <x v="2"/>
    <n v="538"/>
    <n v="0.04"/>
    <n v="0"/>
    <n v="5"/>
    <b v="0"/>
    <n v="0"/>
  </r>
  <r>
    <d v="2025-06-17T00:00:00"/>
    <x v="3"/>
    <n v="506"/>
    <n v="0.15"/>
    <n v="0"/>
    <n v="2"/>
    <b v="0"/>
    <n v="0"/>
  </r>
  <r>
    <d v="2025-06-17T00:00:00"/>
    <x v="4"/>
    <n v="28"/>
    <n v="0.03"/>
    <n v="0"/>
    <n v="2"/>
    <b v="0"/>
    <n v="0"/>
  </r>
  <r>
    <d v="2025-06-18T00:00:00"/>
    <x v="0"/>
    <n v="764"/>
    <n v="0.05"/>
    <n v="0"/>
    <n v="5"/>
    <b v="0"/>
    <n v="0"/>
  </r>
  <r>
    <d v="2025-06-18T00:00:00"/>
    <x v="1"/>
    <n v="377"/>
    <n v="0.02"/>
    <n v="0"/>
    <n v="2"/>
    <b v="0"/>
    <n v="0"/>
  </r>
  <r>
    <d v="2025-06-18T00:00:00"/>
    <x v="2"/>
    <n v="399"/>
    <n v="0.04"/>
    <n v="0"/>
    <n v="2"/>
    <b v="0"/>
    <n v="0"/>
  </r>
  <r>
    <d v="2025-06-18T00:00:00"/>
    <x v="3"/>
    <n v="0"/>
    <n v="0.15"/>
    <n v="0"/>
    <n v="2"/>
    <b v="0"/>
    <n v="1"/>
  </r>
  <r>
    <d v="2025-06-18T00:00:00"/>
    <x v="4"/>
    <n v="111"/>
    <n v="0.03"/>
    <n v="0"/>
    <n v="2"/>
    <b v="0"/>
    <n v="0"/>
  </r>
  <r>
    <d v="2025-06-19T00:00:00"/>
    <x v="0"/>
    <n v="833"/>
    <n v="0.05"/>
    <n v="0"/>
    <n v="2"/>
    <b v="0"/>
    <n v="0"/>
  </r>
  <r>
    <d v="2025-06-19T00:00:00"/>
    <x v="1"/>
    <n v="640"/>
    <n v="0.02"/>
    <n v="0"/>
    <n v="2"/>
    <b v="0"/>
    <n v="0"/>
  </r>
  <r>
    <d v="2025-06-19T00:00:00"/>
    <x v="2"/>
    <n v="737"/>
    <n v="0.04"/>
    <n v="0"/>
    <n v="2"/>
    <b v="0"/>
    <n v="0"/>
  </r>
  <r>
    <d v="2025-06-19T00:00:00"/>
    <x v="3"/>
    <n v="898"/>
    <n v="0.15"/>
    <n v="0"/>
    <n v="2"/>
    <b v="0"/>
    <n v="0"/>
  </r>
  <r>
    <d v="2025-06-19T00:00:00"/>
    <x v="4"/>
    <n v="442"/>
    <n v="0.03"/>
    <n v="0"/>
    <n v="5"/>
    <b v="0"/>
    <n v="0"/>
  </r>
  <r>
    <d v="2025-06-20T00:00:00"/>
    <x v="0"/>
    <n v="416"/>
    <n v="0.05"/>
    <n v="0"/>
    <n v="2"/>
    <b v="0"/>
    <n v="0"/>
  </r>
  <r>
    <d v="2025-06-20T00:00:00"/>
    <x v="1"/>
    <n v="271"/>
    <n v="0.02"/>
    <n v="0"/>
    <n v="15"/>
    <b v="0"/>
    <n v="0"/>
  </r>
  <r>
    <d v="2025-06-20T00:00:00"/>
    <x v="2"/>
    <n v="711"/>
    <n v="0.04"/>
    <n v="0"/>
    <n v="2"/>
    <b v="0"/>
    <n v="0"/>
  </r>
  <r>
    <d v="2025-06-20T00:00:00"/>
    <x v="3"/>
    <n v="740"/>
    <n v="0.15"/>
    <n v="0"/>
    <n v="2"/>
    <b v="0"/>
    <n v="0"/>
  </r>
  <r>
    <d v="2025-06-20T00:00:00"/>
    <x v="4"/>
    <n v="721"/>
    <n v="0.03"/>
    <n v="0"/>
    <n v="2"/>
    <b v="0"/>
    <n v="0"/>
  </r>
  <r>
    <d v="2025-06-21T00:00:00"/>
    <x v="0"/>
    <n v="809"/>
    <n v="0.05"/>
    <n v="0"/>
    <n v="2"/>
    <b v="0"/>
    <n v="0"/>
  </r>
  <r>
    <d v="2025-06-21T00:00:00"/>
    <x v="1"/>
    <n v="569"/>
    <n v="0.02"/>
    <n v="0"/>
    <n v="5"/>
    <b v="0"/>
    <n v="0"/>
  </r>
  <r>
    <d v="2025-06-21T00:00:00"/>
    <x v="2"/>
    <n v="526"/>
    <n v="0.04"/>
    <n v="0"/>
    <n v="2"/>
    <b v="0"/>
    <n v="0"/>
  </r>
  <r>
    <d v="2025-06-21T00:00:00"/>
    <x v="3"/>
    <n v="307"/>
    <n v="0.15"/>
    <n v="0"/>
    <n v="2"/>
    <b v="0"/>
    <n v="0"/>
  </r>
  <r>
    <d v="2025-06-21T00:00:00"/>
    <x v="4"/>
    <n v="654"/>
    <n v="0.03"/>
    <n v="0"/>
    <n v="2"/>
    <b v="0"/>
    <n v="0"/>
  </r>
  <r>
    <d v="2025-06-22T00:00:00"/>
    <x v="0"/>
    <n v="670"/>
    <n v="0.05"/>
    <n v="0"/>
    <n v="5"/>
    <b v="0"/>
    <n v="0"/>
  </r>
  <r>
    <d v="2025-06-22T00:00:00"/>
    <x v="1"/>
    <n v="518"/>
    <n v="0.02"/>
    <n v="0"/>
    <n v="5"/>
    <b v="0"/>
    <n v="0"/>
  </r>
  <r>
    <d v="2025-06-22T00:00:00"/>
    <x v="2"/>
    <n v="691"/>
    <n v="0.04"/>
    <n v="0"/>
    <n v="5"/>
    <b v="0"/>
    <n v="0"/>
  </r>
  <r>
    <d v="2025-06-22T00:00:00"/>
    <x v="3"/>
    <n v="178"/>
    <n v="0.15"/>
    <n v="0"/>
    <n v="15"/>
    <b v="0"/>
    <n v="0"/>
  </r>
  <r>
    <d v="2025-06-22T00:00:00"/>
    <x v="4"/>
    <n v="32"/>
    <n v="0.03"/>
    <n v="0"/>
    <n v="2"/>
    <b v="0"/>
    <n v="0"/>
  </r>
  <r>
    <d v="2025-06-23T00:00:00"/>
    <x v="0"/>
    <n v="238"/>
    <n v="0.05"/>
    <n v="0"/>
    <n v="2"/>
    <b v="0"/>
    <n v="0"/>
  </r>
  <r>
    <d v="2025-06-23T00:00:00"/>
    <x v="1"/>
    <n v="234"/>
    <n v="0.02"/>
    <n v="0"/>
    <n v="2"/>
    <b v="0"/>
    <n v="0"/>
  </r>
  <r>
    <d v="2025-06-23T00:00:00"/>
    <x v="2"/>
    <n v="886"/>
    <n v="0.04"/>
    <n v="0"/>
    <n v="2"/>
    <b v="0"/>
    <n v="0"/>
  </r>
  <r>
    <d v="2025-06-23T00:00:00"/>
    <x v="3"/>
    <n v="861"/>
    <n v="0.15"/>
    <n v="0"/>
    <n v="5"/>
    <b v="0"/>
    <n v="0"/>
  </r>
  <r>
    <d v="2025-06-23T00:00:00"/>
    <x v="4"/>
    <n v="804"/>
    <n v="0.03"/>
    <n v="0"/>
    <n v="5"/>
    <b v="0"/>
    <n v="0"/>
  </r>
  <r>
    <d v="2025-06-24T00:00:00"/>
    <x v="0"/>
    <n v="328"/>
    <n v="0.05"/>
    <n v="0"/>
    <n v="2"/>
    <b v="0"/>
    <n v="0"/>
  </r>
  <r>
    <d v="2025-06-24T00:00:00"/>
    <x v="1"/>
    <n v="24"/>
    <n v="0.02"/>
    <n v="0"/>
    <n v="2"/>
    <b v="0"/>
    <n v="0"/>
  </r>
  <r>
    <d v="2025-06-24T00:00:00"/>
    <x v="2"/>
    <n v="547"/>
    <n v="0.04"/>
    <n v="0"/>
    <n v="2"/>
    <b v="0"/>
    <n v="0"/>
  </r>
  <r>
    <d v="2025-06-24T00:00:00"/>
    <x v="3"/>
    <n v="111"/>
    <n v="0.15"/>
    <n v="0"/>
    <n v="2"/>
    <b v="0"/>
    <n v="0"/>
  </r>
  <r>
    <d v="2025-06-24T00:00:00"/>
    <x v="4"/>
    <n v="0"/>
    <n v="0.03"/>
    <n v="0"/>
    <n v="2"/>
    <b v="0"/>
    <n v="1"/>
  </r>
  <r>
    <d v="2025-06-25T00:00:00"/>
    <x v="0"/>
    <n v="639"/>
    <n v="0.05"/>
    <n v="0"/>
    <n v="2"/>
    <b v="0"/>
    <n v="0"/>
  </r>
  <r>
    <d v="2025-06-25T00:00:00"/>
    <x v="1"/>
    <n v="632"/>
    <n v="0.02"/>
    <n v="0"/>
    <n v="10"/>
    <b v="0"/>
    <n v="0"/>
  </r>
  <r>
    <d v="2025-06-25T00:00:00"/>
    <x v="2"/>
    <n v="241"/>
    <n v="0.04"/>
    <n v="0"/>
    <n v="2"/>
    <b v="0"/>
    <n v="0"/>
  </r>
  <r>
    <d v="2025-06-25T00:00:00"/>
    <x v="3"/>
    <n v="797"/>
    <n v="0.15"/>
    <n v="0"/>
    <n v="2"/>
    <b v="0"/>
    <n v="0"/>
  </r>
  <r>
    <d v="2025-06-25T00:00:00"/>
    <x v="4"/>
    <n v="29"/>
    <n v="0.03"/>
    <n v="0"/>
    <n v="5"/>
    <b v="0"/>
    <n v="0"/>
  </r>
  <r>
    <d v="2025-06-26T00:00:00"/>
    <x v="0"/>
    <n v="802"/>
    <n v="0.05"/>
    <n v="0"/>
    <n v="5"/>
    <b v="0"/>
    <n v="0"/>
  </r>
  <r>
    <d v="2025-06-26T00:00:00"/>
    <x v="1"/>
    <n v="138"/>
    <n v="0.02"/>
    <n v="0"/>
    <n v="2"/>
    <b v="0"/>
    <n v="0"/>
  </r>
  <r>
    <d v="2025-06-26T00:00:00"/>
    <x v="2"/>
    <n v="885"/>
    <n v="0.04"/>
    <n v="0"/>
    <n v="2"/>
    <b v="0"/>
    <n v="0"/>
  </r>
  <r>
    <d v="2025-06-26T00:00:00"/>
    <x v="3"/>
    <n v="395"/>
    <n v="0.15"/>
    <n v="0"/>
    <n v="2"/>
    <b v="0"/>
    <n v="0"/>
  </r>
  <r>
    <d v="2025-06-26T00:00:00"/>
    <x v="4"/>
    <n v="792"/>
    <n v="0.03"/>
    <n v="0"/>
    <n v="5"/>
    <b v="0"/>
    <n v="0"/>
  </r>
  <r>
    <d v="2025-06-27T00:00:00"/>
    <x v="0"/>
    <n v="54"/>
    <n v="0.05"/>
    <n v="0"/>
    <n v="2"/>
    <b v="0"/>
    <n v="0"/>
  </r>
  <r>
    <d v="2025-06-27T00:00:00"/>
    <x v="1"/>
    <n v="259"/>
    <n v="0.02"/>
    <n v="0"/>
    <n v="2"/>
    <b v="0"/>
    <n v="0"/>
  </r>
  <r>
    <d v="2025-06-27T00:00:00"/>
    <x v="2"/>
    <n v="889"/>
    <n v="0.04"/>
    <n v="0"/>
    <n v="5"/>
    <b v="0"/>
    <n v="0"/>
  </r>
  <r>
    <d v="2025-06-27T00:00:00"/>
    <x v="3"/>
    <n v="191"/>
    <n v="0.15"/>
    <n v="0"/>
    <n v="15"/>
    <b v="0"/>
    <n v="0"/>
  </r>
  <r>
    <d v="2025-06-27T00:00:00"/>
    <x v="4"/>
    <n v="368"/>
    <n v="0.03"/>
    <n v="0"/>
    <n v="2"/>
    <b v="0"/>
    <n v="0"/>
  </r>
  <r>
    <d v="2025-06-28T00:00:00"/>
    <x v="0"/>
    <n v="630"/>
    <n v="0.05"/>
    <n v="0"/>
    <n v="2"/>
    <b v="0"/>
    <n v="0"/>
  </r>
  <r>
    <d v="2025-06-28T00:00:00"/>
    <x v="1"/>
    <n v="857"/>
    <n v="0.02"/>
    <n v="0"/>
    <n v="15"/>
    <b v="0"/>
    <n v="0"/>
  </r>
  <r>
    <d v="2025-06-28T00:00:00"/>
    <x v="2"/>
    <n v="215"/>
    <n v="0.04"/>
    <n v="0"/>
    <n v="5"/>
    <b v="0"/>
    <n v="0"/>
  </r>
  <r>
    <d v="2025-06-28T00:00:00"/>
    <x v="3"/>
    <n v="327"/>
    <n v="0.15"/>
    <n v="0"/>
    <n v="2"/>
    <b v="0"/>
    <n v="0"/>
  </r>
  <r>
    <d v="2025-06-28T00:00:00"/>
    <x v="4"/>
    <n v="156"/>
    <n v="0.03"/>
    <n v="0"/>
    <n v="5"/>
    <b v="0"/>
    <n v="0"/>
  </r>
  <r>
    <d v="2025-06-29T00:00:00"/>
    <x v="0"/>
    <n v="482"/>
    <n v="0.05"/>
    <n v="0"/>
    <n v="2"/>
    <b v="0"/>
    <n v="0"/>
  </r>
  <r>
    <d v="2025-06-29T00:00:00"/>
    <x v="1"/>
    <n v="273"/>
    <n v="0.02"/>
    <n v="0"/>
    <n v="2"/>
    <b v="0"/>
    <n v="0"/>
  </r>
  <r>
    <d v="2025-06-29T00:00:00"/>
    <x v="2"/>
    <n v="163"/>
    <n v="0.04"/>
    <n v="0"/>
    <n v="2"/>
    <b v="0"/>
    <n v="0"/>
  </r>
  <r>
    <d v="2025-06-29T00:00:00"/>
    <x v="3"/>
    <n v="15"/>
    <n v="0.15"/>
    <n v="0"/>
    <n v="2"/>
    <b v="0"/>
    <n v="0"/>
  </r>
  <r>
    <d v="2025-06-29T00:00:00"/>
    <x v="4"/>
    <n v="282"/>
    <n v="0.03"/>
    <n v="0"/>
    <n v="2"/>
    <b v="0"/>
    <n v="0"/>
  </r>
  <r>
    <d v="2025-06-30T00:00:00"/>
    <x v="0"/>
    <n v="495"/>
    <n v="0.05"/>
    <n v="0"/>
    <n v="2"/>
    <b v="0"/>
    <n v="0"/>
  </r>
  <r>
    <d v="2025-06-30T00:00:00"/>
    <x v="1"/>
    <n v="882"/>
    <n v="0.02"/>
    <n v="0"/>
    <n v="2"/>
    <b v="0"/>
    <n v="0"/>
  </r>
  <r>
    <d v="2025-06-30T00:00:00"/>
    <x v="2"/>
    <n v="679"/>
    <n v="0.04"/>
    <n v="0"/>
    <n v="5"/>
    <b v="0"/>
    <n v="0"/>
  </r>
  <r>
    <d v="2025-06-30T00:00:00"/>
    <x v="3"/>
    <n v="251"/>
    <n v="0.15"/>
    <n v="0"/>
    <n v="5"/>
    <b v="0"/>
    <n v="0"/>
  </r>
  <r>
    <d v="2025-06-30T00:00:00"/>
    <x v="4"/>
    <n v="78"/>
    <n v="0.03"/>
    <n v="0"/>
    <n v="2"/>
    <b v="0"/>
    <n v="0"/>
  </r>
  <r>
    <d v="2025-07-01T00:00:00"/>
    <x v="0"/>
    <n v="0"/>
    <n v="0.05"/>
    <n v="0"/>
    <n v="5"/>
    <b v="0"/>
    <n v="1"/>
  </r>
  <r>
    <d v="2025-07-01T00:00:00"/>
    <x v="1"/>
    <n v="711"/>
    <n v="0.02"/>
    <n v="0"/>
    <n v="2"/>
    <b v="0"/>
    <n v="0"/>
  </r>
  <r>
    <d v="2025-07-01T00:00:00"/>
    <x v="2"/>
    <n v="0"/>
    <n v="0.04"/>
    <n v="0"/>
    <n v="5"/>
    <b v="0"/>
    <n v="1"/>
  </r>
  <r>
    <d v="2025-07-01T00:00:00"/>
    <x v="3"/>
    <n v="108"/>
    <n v="0.15"/>
    <n v="0"/>
    <n v="5"/>
    <b v="0"/>
    <n v="0"/>
  </r>
  <r>
    <d v="2025-07-01T00:00:00"/>
    <x v="4"/>
    <n v="48"/>
    <n v="0.03"/>
    <n v="0"/>
    <n v="5"/>
    <b v="0"/>
    <n v="0"/>
  </r>
  <r>
    <d v="2025-07-02T00:00:00"/>
    <x v="0"/>
    <n v="45"/>
    <n v="0.05"/>
    <n v="0"/>
    <n v="2"/>
    <b v="0"/>
    <n v="0"/>
  </r>
  <r>
    <d v="2025-07-02T00:00:00"/>
    <x v="1"/>
    <n v="196"/>
    <n v="0.02"/>
    <n v="0"/>
    <n v="2"/>
    <b v="0"/>
    <n v="0"/>
  </r>
  <r>
    <d v="2025-07-02T00:00:00"/>
    <x v="2"/>
    <n v="846"/>
    <n v="0.04"/>
    <n v="0"/>
    <n v="2"/>
    <b v="0"/>
    <n v="0"/>
  </r>
  <r>
    <d v="2025-07-02T00:00:00"/>
    <x v="3"/>
    <n v="177"/>
    <n v="0.15"/>
    <n v="0"/>
    <n v="2"/>
    <b v="0"/>
    <n v="0"/>
  </r>
  <r>
    <d v="2025-07-02T00:00:00"/>
    <x v="4"/>
    <n v="621"/>
    <n v="0.03"/>
    <n v="0"/>
    <n v="5"/>
    <b v="0"/>
    <n v="0"/>
  </r>
  <r>
    <d v="2025-07-03T00:00:00"/>
    <x v="0"/>
    <n v="478"/>
    <n v="0.05"/>
    <n v="0"/>
    <n v="2"/>
    <b v="0"/>
    <n v="0"/>
  </r>
  <r>
    <d v="2025-07-03T00:00:00"/>
    <x v="1"/>
    <n v="284"/>
    <n v="0.02"/>
    <n v="0"/>
    <n v="2"/>
    <b v="0"/>
    <n v="0"/>
  </r>
  <r>
    <d v="2025-07-03T00:00:00"/>
    <x v="2"/>
    <n v="769"/>
    <n v="0.04"/>
    <n v="0"/>
    <n v="2"/>
    <b v="0"/>
    <n v="0"/>
  </r>
  <r>
    <d v="2025-07-03T00:00:00"/>
    <x v="3"/>
    <n v="778"/>
    <n v="0.15"/>
    <n v="0"/>
    <n v="2"/>
    <b v="0"/>
    <n v="0"/>
  </r>
  <r>
    <d v="2025-07-03T00:00:00"/>
    <x v="4"/>
    <n v="467"/>
    <n v="0.03"/>
    <n v="0"/>
    <n v="2"/>
    <b v="0"/>
    <n v="0"/>
  </r>
  <r>
    <d v="2025-07-04T00:00:00"/>
    <x v="0"/>
    <n v="825"/>
    <n v="0.05"/>
    <n v="0"/>
    <n v="2"/>
    <b v="0"/>
    <n v="0"/>
  </r>
  <r>
    <d v="2025-07-04T00:00:00"/>
    <x v="1"/>
    <n v="796"/>
    <n v="0.02"/>
    <n v="0"/>
    <n v="2"/>
    <b v="0"/>
    <n v="0"/>
  </r>
  <r>
    <d v="2025-07-04T00:00:00"/>
    <x v="2"/>
    <n v="462"/>
    <n v="0.04"/>
    <n v="0"/>
    <n v="5"/>
    <b v="0"/>
    <n v="0"/>
  </r>
  <r>
    <d v="2025-07-04T00:00:00"/>
    <x v="3"/>
    <n v="736"/>
    <n v="0.15"/>
    <n v="0"/>
    <n v="2"/>
    <b v="0"/>
    <n v="0"/>
  </r>
  <r>
    <d v="2025-07-04T00:00:00"/>
    <x v="4"/>
    <n v="772"/>
    <n v="0.03"/>
    <n v="0"/>
    <n v="2"/>
    <b v="0"/>
    <n v="0"/>
  </r>
  <r>
    <d v="2025-07-05T00:00:00"/>
    <x v="0"/>
    <n v="865"/>
    <n v="0.05"/>
    <n v="0"/>
    <n v="2"/>
    <b v="0"/>
    <n v="0"/>
  </r>
  <r>
    <d v="2025-07-05T00:00:00"/>
    <x v="1"/>
    <n v="573"/>
    <n v="0.02"/>
    <n v="0"/>
    <n v="2"/>
    <b v="0"/>
    <n v="0"/>
  </r>
  <r>
    <d v="2025-07-05T00:00:00"/>
    <x v="2"/>
    <n v="222"/>
    <n v="0.04"/>
    <n v="0"/>
    <n v="10"/>
    <b v="0"/>
    <n v="0"/>
  </r>
  <r>
    <d v="2025-07-05T00:00:00"/>
    <x v="3"/>
    <n v="874"/>
    <n v="0.15"/>
    <n v="0"/>
    <n v="5"/>
    <b v="0"/>
    <n v="0"/>
  </r>
  <r>
    <d v="2025-07-05T00:00:00"/>
    <x v="4"/>
    <n v="530"/>
    <n v="0.03"/>
    <n v="0"/>
    <n v="10"/>
    <b v="0"/>
    <n v="0"/>
  </r>
  <r>
    <d v="2025-07-06T00:00:00"/>
    <x v="0"/>
    <n v="421"/>
    <n v="0.05"/>
    <n v="0"/>
    <n v="2"/>
    <b v="0"/>
    <n v="0"/>
  </r>
  <r>
    <d v="2025-07-06T00:00:00"/>
    <x v="1"/>
    <n v="758"/>
    <n v="0.02"/>
    <n v="0"/>
    <n v="2"/>
    <b v="0"/>
    <n v="0"/>
  </r>
  <r>
    <d v="2025-07-06T00:00:00"/>
    <x v="2"/>
    <n v="72"/>
    <n v="0.04"/>
    <n v="0"/>
    <n v="5"/>
    <b v="0"/>
    <n v="0"/>
  </r>
  <r>
    <d v="2025-07-06T00:00:00"/>
    <x v="3"/>
    <n v="135"/>
    <n v="0.15"/>
    <n v="0"/>
    <n v="5"/>
    <b v="0"/>
    <n v="0"/>
  </r>
  <r>
    <d v="2025-07-06T00:00:00"/>
    <x v="4"/>
    <n v="452"/>
    <n v="0.03"/>
    <n v="0"/>
    <n v="5"/>
    <b v="0"/>
    <n v="0"/>
  </r>
  <r>
    <d v="2025-07-07T00:00:00"/>
    <x v="0"/>
    <n v="519"/>
    <n v="0.05"/>
    <n v="0"/>
    <n v="2"/>
    <b v="0"/>
    <n v="0"/>
  </r>
  <r>
    <d v="2025-07-07T00:00:00"/>
    <x v="1"/>
    <n v="266"/>
    <n v="0.02"/>
    <n v="0"/>
    <n v="5"/>
    <b v="0"/>
    <n v="0"/>
  </r>
  <r>
    <d v="2025-07-07T00:00:00"/>
    <x v="2"/>
    <n v="792"/>
    <n v="0.04"/>
    <n v="0"/>
    <n v="2"/>
    <b v="0"/>
    <n v="0"/>
  </r>
  <r>
    <d v="2025-07-07T00:00:00"/>
    <x v="3"/>
    <n v="163"/>
    <n v="0.15"/>
    <n v="0"/>
    <n v="5"/>
    <b v="0"/>
    <n v="0"/>
  </r>
  <r>
    <d v="2025-07-07T00:00:00"/>
    <x v="4"/>
    <n v="129"/>
    <n v="0.03"/>
    <n v="0"/>
    <n v="2"/>
    <b v="0"/>
    <n v="0"/>
  </r>
  <r>
    <d v="2025-07-08T00:00:00"/>
    <x v="0"/>
    <n v="63"/>
    <n v="0.05"/>
    <n v="0"/>
    <n v="10"/>
    <b v="0"/>
    <n v="0"/>
  </r>
  <r>
    <d v="2025-07-08T00:00:00"/>
    <x v="1"/>
    <n v="403"/>
    <n v="0.02"/>
    <n v="0"/>
    <n v="2"/>
    <b v="0"/>
    <n v="0"/>
  </r>
  <r>
    <d v="2025-07-08T00:00:00"/>
    <x v="2"/>
    <n v="222"/>
    <n v="0.04"/>
    <n v="0"/>
    <n v="2"/>
    <b v="0"/>
    <n v="0"/>
  </r>
  <r>
    <d v="2025-07-08T00:00:00"/>
    <x v="3"/>
    <n v="370"/>
    <n v="0.15"/>
    <n v="0"/>
    <n v="5"/>
    <b v="0"/>
    <n v="0"/>
  </r>
  <r>
    <d v="2025-07-08T00:00:00"/>
    <x v="4"/>
    <n v="405"/>
    <n v="0.03"/>
    <n v="0"/>
    <n v="2"/>
    <b v="0"/>
    <n v="0"/>
  </r>
  <r>
    <d v="2025-07-09T00:00:00"/>
    <x v="0"/>
    <n v="676"/>
    <n v="0.05"/>
    <n v="0"/>
    <n v="2"/>
    <b v="0"/>
    <n v="0"/>
  </r>
  <r>
    <d v="2025-07-09T00:00:00"/>
    <x v="1"/>
    <n v="519"/>
    <n v="0.02"/>
    <n v="0"/>
    <n v="2"/>
    <b v="0"/>
    <n v="0"/>
  </r>
  <r>
    <d v="2025-07-09T00:00:00"/>
    <x v="2"/>
    <n v="231"/>
    <n v="0.04"/>
    <n v="0"/>
    <n v="2"/>
    <b v="0"/>
    <n v="0"/>
  </r>
  <r>
    <d v="2025-07-09T00:00:00"/>
    <x v="3"/>
    <n v="324"/>
    <n v="0.15"/>
    <n v="0"/>
    <n v="2"/>
    <b v="0"/>
    <n v="0"/>
  </r>
  <r>
    <d v="2025-07-09T00:00:00"/>
    <x v="4"/>
    <n v="880"/>
    <n v="0.03"/>
    <n v="0"/>
    <n v="2"/>
    <b v="0"/>
    <n v="0"/>
  </r>
  <r>
    <d v="2025-07-10T00:00:00"/>
    <x v="0"/>
    <n v="359"/>
    <n v="0.05"/>
    <n v="0"/>
    <n v="2"/>
    <b v="0"/>
    <n v="0"/>
  </r>
  <r>
    <d v="2025-07-10T00:00:00"/>
    <x v="1"/>
    <n v="541"/>
    <n v="0.02"/>
    <n v="0"/>
    <n v="5"/>
    <b v="0"/>
    <n v="0"/>
  </r>
  <r>
    <d v="2025-07-10T00:00:00"/>
    <x v="2"/>
    <n v="412"/>
    <n v="0.04"/>
    <n v="0"/>
    <n v="2"/>
    <b v="0"/>
    <n v="0"/>
  </r>
  <r>
    <d v="2025-07-10T00:00:00"/>
    <x v="3"/>
    <n v="505"/>
    <n v="0.15"/>
    <n v="0"/>
    <n v="2"/>
    <b v="0"/>
    <n v="0"/>
  </r>
  <r>
    <d v="2025-07-10T00:00:00"/>
    <x v="4"/>
    <n v="609"/>
    <n v="0.03"/>
    <n v="0"/>
    <n v="2"/>
    <b v="0"/>
    <n v="0"/>
  </r>
  <r>
    <d v="2025-07-11T00:00:00"/>
    <x v="0"/>
    <n v="866"/>
    <n v="0.05"/>
    <n v="0"/>
    <n v="5"/>
    <b v="0"/>
    <n v="0"/>
  </r>
  <r>
    <d v="2025-07-11T00:00:00"/>
    <x v="1"/>
    <n v="91"/>
    <n v="0.02"/>
    <n v="0"/>
    <n v="5"/>
    <b v="0"/>
    <n v="0"/>
  </r>
  <r>
    <d v="2025-07-11T00:00:00"/>
    <x v="2"/>
    <n v="1"/>
    <n v="0.04"/>
    <n v="0"/>
    <n v="15"/>
    <b v="0"/>
    <n v="0"/>
  </r>
  <r>
    <d v="2025-07-11T00:00:00"/>
    <x v="3"/>
    <n v="107"/>
    <n v="0.15"/>
    <n v="0"/>
    <n v="5"/>
    <b v="0"/>
    <n v="0"/>
  </r>
  <r>
    <d v="2025-07-11T00:00:00"/>
    <x v="4"/>
    <n v="842"/>
    <n v="0.03"/>
    <n v="0"/>
    <n v="5"/>
    <b v="0"/>
    <n v="0"/>
  </r>
  <r>
    <d v="2025-07-12T00:00:00"/>
    <x v="0"/>
    <n v="256"/>
    <n v="0.05"/>
    <n v="0"/>
    <n v="2"/>
    <b v="0"/>
    <n v="0"/>
  </r>
  <r>
    <d v="2025-07-12T00:00:00"/>
    <x v="1"/>
    <n v="354"/>
    <n v="0.02"/>
    <n v="0"/>
    <n v="10"/>
    <b v="0"/>
    <n v="0"/>
  </r>
  <r>
    <d v="2025-07-12T00:00:00"/>
    <x v="2"/>
    <n v="155"/>
    <n v="0.04"/>
    <n v="0"/>
    <n v="10"/>
    <b v="0"/>
    <n v="0"/>
  </r>
  <r>
    <d v="2025-07-12T00:00:00"/>
    <x v="3"/>
    <n v="779"/>
    <n v="0.15"/>
    <n v="0"/>
    <n v="5"/>
    <b v="0"/>
    <n v="0"/>
  </r>
  <r>
    <d v="2025-07-12T00:00:00"/>
    <x v="4"/>
    <n v="198"/>
    <n v="0.03"/>
    <n v="0"/>
    <n v="2"/>
    <b v="0"/>
    <n v="0"/>
  </r>
  <r>
    <d v="2025-07-13T00:00:00"/>
    <x v="0"/>
    <n v="28"/>
    <n v="0.05"/>
    <n v="0"/>
    <n v="15"/>
    <b v="0"/>
    <n v="0"/>
  </r>
  <r>
    <d v="2025-07-13T00:00:00"/>
    <x v="1"/>
    <n v="787"/>
    <n v="0.02"/>
    <n v="0"/>
    <n v="10"/>
    <b v="0"/>
    <n v="0"/>
  </r>
  <r>
    <d v="2025-07-13T00:00:00"/>
    <x v="2"/>
    <n v="10"/>
    <n v="0.04"/>
    <n v="0"/>
    <n v="2"/>
    <b v="0"/>
    <n v="0"/>
  </r>
  <r>
    <d v="2025-07-13T00:00:00"/>
    <x v="3"/>
    <n v="837"/>
    <n v="0.15"/>
    <n v="0"/>
    <n v="2"/>
    <b v="0"/>
    <n v="0"/>
  </r>
  <r>
    <d v="2025-07-13T00:00:00"/>
    <x v="4"/>
    <n v="219"/>
    <n v="0.03"/>
    <n v="0"/>
    <n v="2"/>
    <b v="0"/>
    <n v="0"/>
  </r>
  <r>
    <d v="2025-07-14T00:00:00"/>
    <x v="0"/>
    <n v="581"/>
    <n v="0.05"/>
    <n v="0"/>
    <n v="5"/>
    <b v="0"/>
    <n v="0"/>
  </r>
  <r>
    <d v="2025-07-14T00:00:00"/>
    <x v="1"/>
    <n v="617"/>
    <n v="0.02"/>
    <n v="0"/>
    <n v="2"/>
    <b v="0"/>
    <n v="0"/>
  </r>
  <r>
    <d v="2025-07-14T00:00:00"/>
    <x v="2"/>
    <n v="654"/>
    <n v="0.04"/>
    <n v="0"/>
    <n v="2"/>
    <b v="0"/>
    <n v="0"/>
  </r>
  <r>
    <d v="2025-07-14T00:00:00"/>
    <x v="3"/>
    <n v="0"/>
    <n v="0.15"/>
    <n v="0"/>
    <n v="2"/>
    <b v="0"/>
    <n v="1"/>
  </r>
  <r>
    <d v="2025-07-14T00:00:00"/>
    <x v="4"/>
    <n v="252"/>
    <n v="0.03"/>
    <n v="0"/>
    <n v="2"/>
    <b v="0"/>
    <n v="0"/>
  </r>
  <r>
    <d v="2025-07-15T00:00:00"/>
    <x v="0"/>
    <n v="237"/>
    <n v="0.05"/>
    <n v="0"/>
    <n v="2"/>
    <b v="0"/>
    <n v="0"/>
  </r>
  <r>
    <d v="2025-07-15T00:00:00"/>
    <x v="1"/>
    <n v="514"/>
    <n v="0.02"/>
    <n v="0"/>
    <n v="2"/>
    <b v="0"/>
    <n v="0"/>
  </r>
  <r>
    <d v="2025-07-15T00:00:00"/>
    <x v="2"/>
    <n v="571"/>
    <n v="0.04"/>
    <n v="0"/>
    <n v="5"/>
    <b v="0"/>
    <n v="0"/>
  </r>
  <r>
    <d v="2025-07-15T00:00:00"/>
    <x v="3"/>
    <n v="322"/>
    <n v="0.15"/>
    <n v="0"/>
    <n v="2"/>
    <b v="0"/>
    <n v="0"/>
  </r>
  <r>
    <d v="2025-07-15T00:00:00"/>
    <x v="4"/>
    <n v="5"/>
    <n v="0.03"/>
    <n v="0"/>
    <n v="2"/>
    <b v="0"/>
    <n v="0"/>
  </r>
  <r>
    <d v="2025-07-16T00:00:00"/>
    <x v="0"/>
    <n v="42"/>
    <n v="0.05"/>
    <n v="0"/>
    <n v="2"/>
    <b v="0"/>
    <n v="0"/>
  </r>
  <r>
    <d v="2025-07-16T00:00:00"/>
    <x v="1"/>
    <n v="224"/>
    <n v="0.02"/>
    <n v="0"/>
    <n v="5"/>
    <b v="0"/>
    <n v="0"/>
  </r>
  <r>
    <d v="2025-07-16T00:00:00"/>
    <x v="2"/>
    <n v="785"/>
    <n v="0.04"/>
    <n v="0"/>
    <n v="2"/>
    <b v="0"/>
    <n v="0"/>
  </r>
  <r>
    <d v="2025-07-16T00:00:00"/>
    <x v="3"/>
    <n v="290"/>
    <n v="0.15"/>
    <n v="0"/>
    <n v="2"/>
    <b v="0"/>
    <n v="0"/>
  </r>
  <r>
    <d v="2025-07-16T00:00:00"/>
    <x v="4"/>
    <n v="873"/>
    <n v="0.03"/>
    <n v="0"/>
    <n v="5"/>
    <b v="0"/>
    <n v="0"/>
  </r>
  <r>
    <d v="2025-07-17T00:00:00"/>
    <x v="0"/>
    <n v="502"/>
    <n v="0.05"/>
    <n v="0"/>
    <n v="2"/>
    <b v="0"/>
    <n v="0"/>
  </r>
  <r>
    <d v="2025-07-17T00:00:00"/>
    <x v="1"/>
    <n v="631"/>
    <n v="0.02"/>
    <n v="0"/>
    <n v="5"/>
    <b v="0"/>
    <n v="0"/>
  </r>
  <r>
    <d v="2025-07-17T00:00:00"/>
    <x v="2"/>
    <n v="621"/>
    <n v="0.04"/>
    <n v="0"/>
    <n v="5"/>
    <b v="0"/>
    <n v="0"/>
  </r>
  <r>
    <d v="2025-07-17T00:00:00"/>
    <x v="3"/>
    <n v="545"/>
    <n v="0.15"/>
    <n v="0"/>
    <n v="2"/>
    <b v="0"/>
    <n v="0"/>
  </r>
  <r>
    <d v="2025-07-17T00:00:00"/>
    <x v="4"/>
    <n v="524"/>
    <n v="0.03"/>
    <n v="0"/>
    <n v="2"/>
    <b v="0"/>
    <n v="0"/>
  </r>
  <r>
    <d v="2025-07-18T00:00:00"/>
    <x v="0"/>
    <n v="751"/>
    <n v="0.05"/>
    <n v="0"/>
    <n v="2"/>
    <b v="0"/>
    <n v="0"/>
  </r>
  <r>
    <d v="2025-07-18T00:00:00"/>
    <x v="1"/>
    <n v="518"/>
    <n v="0.02"/>
    <n v="0"/>
    <n v="5"/>
    <b v="0"/>
    <n v="0"/>
  </r>
  <r>
    <d v="2025-07-18T00:00:00"/>
    <x v="2"/>
    <n v="753"/>
    <n v="0.04"/>
    <n v="0"/>
    <n v="5"/>
    <b v="0"/>
    <n v="0"/>
  </r>
  <r>
    <d v="2025-07-18T00:00:00"/>
    <x v="3"/>
    <n v="616"/>
    <n v="0.15"/>
    <n v="0"/>
    <n v="2"/>
    <b v="0"/>
    <n v="0"/>
  </r>
  <r>
    <d v="2025-07-18T00:00:00"/>
    <x v="4"/>
    <n v="775"/>
    <n v="0.03"/>
    <n v="0"/>
    <n v="2"/>
    <b v="0"/>
    <n v="0"/>
  </r>
  <r>
    <d v="2025-07-19T00:00:00"/>
    <x v="0"/>
    <n v="0"/>
    <n v="0.05"/>
    <n v="0"/>
    <n v="2"/>
    <b v="0"/>
    <n v="1"/>
  </r>
  <r>
    <d v="2025-07-19T00:00:00"/>
    <x v="1"/>
    <n v="701"/>
    <n v="0.02"/>
    <n v="0"/>
    <n v="2"/>
    <b v="0"/>
    <n v="0"/>
  </r>
  <r>
    <d v="2025-07-19T00:00:00"/>
    <x v="2"/>
    <n v="608"/>
    <n v="0.04"/>
    <n v="0"/>
    <n v="2"/>
    <b v="0"/>
    <n v="0"/>
  </r>
  <r>
    <d v="2025-07-19T00:00:00"/>
    <x v="3"/>
    <n v="141"/>
    <n v="0.15"/>
    <n v="0"/>
    <n v="5"/>
    <b v="0"/>
    <n v="0"/>
  </r>
  <r>
    <d v="2025-07-19T00:00:00"/>
    <x v="4"/>
    <n v="777"/>
    <n v="0.03"/>
    <n v="0"/>
    <n v="5"/>
    <b v="0"/>
    <n v="0"/>
  </r>
  <r>
    <d v="2025-07-20T00:00:00"/>
    <x v="0"/>
    <n v="838"/>
    <n v="0.05"/>
    <n v="0"/>
    <n v="5"/>
    <b v="0"/>
    <n v="0"/>
  </r>
  <r>
    <d v="2025-07-20T00:00:00"/>
    <x v="1"/>
    <n v="815"/>
    <n v="0.02"/>
    <n v="0"/>
    <n v="5"/>
    <b v="0"/>
    <n v="0"/>
  </r>
  <r>
    <d v="2025-07-20T00:00:00"/>
    <x v="2"/>
    <n v="692"/>
    <n v="0.04"/>
    <n v="0"/>
    <n v="2"/>
    <b v="0"/>
    <n v="0"/>
  </r>
  <r>
    <d v="2025-07-20T00:00:00"/>
    <x v="3"/>
    <n v="781"/>
    <n v="0.15"/>
    <n v="0"/>
    <n v="2"/>
    <b v="0"/>
    <n v="0"/>
  </r>
  <r>
    <d v="2025-07-20T00:00:00"/>
    <x v="4"/>
    <n v="843"/>
    <n v="0.03"/>
    <n v="0"/>
    <n v="5"/>
    <b v="0"/>
    <n v="0"/>
  </r>
  <r>
    <d v="2025-07-21T00:00:00"/>
    <x v="0"/>
    <n v="838"/>
    <n v="0.05"/>
    <n v="0"/>
    <n v="10"/>
    <b v="0"/>
    <n v="0"/>
  </r>
  <r>
    <d v="2025-07-21T00:00:00"/>
    <x v="1"/>
    <n v="191"/>
    <n v="0.02"/>
    <n v="0"/>
    <n v="2"/>
    <b v="0"/>
    <n v="0"/>
  </r>
  <r>
    <d v="2025-07-21T00:00:00"/>
    <x v="2"/>
    <n v="234"/>
    <n v="0.04"/>
    <n v="0"/>
    <n v="5"/>
    <b v="0"/>
    <n v="0"/>
  </r>
  <r>
    <d v="2025-07-21T00:00:00"/>
    <x v="3"/>
    <n v="662"/>
    <n v="0.15"/>
    <n v="0"/>
    <n v="2"/>
    <b v="0"/>
    <n v="0"/>
  </r>
  <r>
    <d v="2025-07-21T00:00:00"/>
    <x v="4"/>
    <n v="79"/>
    <n v="0.03"/>
    <n v="0"/>
    <n v="2"/>
    <b v="0"/>
    <n v="0"/>
  </r>
  <r>
    <d v="2025-07-22T00:00:00"/>
    <x v="0"/>
    <n v="898"/>
    <n v="0.05"/>
    <n v="0"/>
    <n v="2"/>
    <b v="0"/>
    <n v="0"/>
  </r>
  <r>
    <d v="2025-07-22T00:00:00"/>
    <x v="1"/>
    <n v="683"/>
    <n v="0.02"/>
    <n v="0"/>
    <n v="2"/>
    <b v="0"/>
    <n v="0"/>
  </r>
  <r>
    <d v="2025-07-22T00:00:00"/>
    <x v="2"/>
    <n v="273"/>
    <n v="0.04"/>
    <n v="0"/>
    <n v="2"/>
    <b v="0"/>
    <n v="0"/>
  </r>
  <r>
    <d v="2025-07-22T00:00:00"/>
    <x v="3"/>
    <n v="809"/>
    <n v="0.15"/>
    <n v="0"/>
    <n v="5"/>
    <b v="0"/>
    <n v="0"/>
  </r>
  <r>
    <d v="2025-07-22T00:00:00"/>
    <x v="4"/>
    <n v="22"/>
    <n v="0.03"/>
    <n v="0"/>
    <n v="2"/>
    <b v="0"/>
    <n v="0"/>
  </r>
  <r>
    <d v="2025-07-23T00:00:00"/>
    <x v="0"/>
    <n v="668"/>
    <n v="0.05"/>
    <n v="0"/>
    <n v="2"/>
    <b v="0"/>
    <n v="0"/>
  </r>
  <r>
    <d v="2025-07-23T00:00:00"/>
    <x v="1"/>
    <n v="536"/>
    <n v="0.02"/>
    <n v="0"/>
    <n v="5"/>
    <b v="0"/>
    <n v="0"/>
  </r>
  <r>
    <d v="2025-07-23T00:00:00"/>
    <x v="2"/>
    <n v="241"/>
    <n v="0.04"/>
    <n v="0"/>
    <n v="10"/>
    <b v="0"/>
    <n v="0"/>
  </r>
  <r>
    <d v="2025-07-23T00:00:00"/>
    <x v="3"/>
    <n v="702"/>
    <n v="0.15"/>
    <n v="0"/>
    <n v="2"/>
    <b v="0"/>
    <n v="0"/>
  </r>
  <r>
    <d v="2025-07-23T00:00:00"/>
    <x v="4"/>
    <n v="522"/>
    <n v="0.03"/>
    <n v="0"/>
    <n v="10"/>
    <b v="0"/>
    <n v="0"/>
  </r>
  <r>
    <d v="2025-07-24T00:00:00"/>
    <x v="0"/>
    <n v="469"/>
    <n v="0.05"/>
    <n v="0"/>
    <n v="2"/>
    <b v="0"/>
    <n v="0"/>
  </r>
  <r>
    <d v="2025-07-24T00:00:00"/>
    <x v="1"/>
    <n v="232"/>
    <n v="0.02"/>
    <n v="0"/>
    <n v="2"/>
    <b v="0"/>
    <n v="0"/>
  </r>
  <r>
    <d v="2025-07-24T00:00:00"/>
    <x v="2"/>
    <n v="518"/>
    <n v="0.04"/>
    <n v="0"/>
    <n v="5"/>
    <b v="0"/>
    <n v="0"/>
  </r>
  <r>
    <d v="2025-07-24T00:00:00"/>
    <x v="3"/>
    <n v="845"/>
    <n v="0.15"/>
    <n v="0"/>
    <n v="5"/>
    <b v="0"/>
    <n v="0"/>
  </r>
  <r>
    <d v="2025-07-24T00:00:00"/>
    <x v="4"/>
    <n v="462"/>
    <n v="0.03"/>
    <n v="0"/>
    <n v="5"/>
    <b v="0"/>
    <n v="0"/>
  </r>
  <r>
    <d v="2025-07-25T00:00:00"/>
    <x v="0"/>
    <n v="438"/>
    <n v="0.05"/>
    <n v="0"/>
    <n v="5"/>
    <b v="0"/>
    <n v="0"/>
  </r>
  <r>
    <d v="2025-07-25T00:00:00"/>
    <x v="1"/>
    <n v="274"/>
    <n v="0.02"/>
    <n v="0"/>
    <n v="2"/>
    <b v="0"/>
    <n v="0"/>
  </r>
  <r>
    <d v="2025-07-25T00:00:00"/>
    <x v="2"/>
    <n v="572"/>
    <n v="0.04"/>
    <n v="0"/>
    <n v="5"/>
    <b v="0"/>
    <n v="0"/>
  </r>
  <r>
    <d v="2025-07-25T00:00:00"/>
    <x v="3"/>
    <n v="289"/>
    <n v="0.15"/>
    <n v="0"/>
    <n v="2"/>
    <b v="0"/>
    <n v="0"/>
  </r>
  <r>
    <d v="2025-07-25T00:00:00"/>
    <x v="4"/>
    <n v="258"/>
    <n v="0.03"/>
    <n v="0"/>
    <n v="2"/>
    <b v="0"/>
    <n v="0"/>
  </r>
  <r>
    <d v="2025-07-26T00:00:00"/>
    <x v="0"/>
    <n v="586"/>
    <n v="0.05"/>
    <n v="0"/>
    <n v="2"/>
    <b v="0"/>
    <n v="0"/>
  </r>
  <r>
    <d v="2025-07-26T00:00:00"/>
    <x v="1"/>
    <n v="184"/>
    <n v="0.02"/>
    <n v="0"/>
    <n v="2"/>
    <b v="0"/>
    <n v="0"/>
  </r>
  <r>
    <d v="2025-07-26T00:00:00"/>
    <x v="2"/>
    <n v="613"/>
    <n v="0.04"/>
    <n v="0"/>
    <n v="2"/>
    <b v="0"/>
    <n v="0"/>
  </r>
  <r>
    <d v="2025-07-26T00:00:00"/>
    <x v="3"/>
    <n v="81"/>
    <n v="0.15"/>
    <n v="0"/>
    <n v="2"/>
    <b v="0"/>
    <n v="0"/>
  </r>
  <r>
    <d v="2025-07-26T00:00:00"/>
    <x v="4"/>
    <n v="847"/>
    <n v="0.03"/>
    <n v="0"/>
    <n v="5"/>
    <b v="0"/>
    <n v="0"/>
  </r>
  <r>
    <d v="2025-07-27T00:00:00"/>
    <x v="0"/>
    <n v="452"/>
    <n v="0.05"/>
    <n v="0"/>
    <n v="5"/>
    <b v="0"/>
    <n v="0"/>
  </r>
  <r>
    <d v="2025-07-27T00:00:00"/>
    <x v="1"/>
    <n v="17"/>
    <n v="0.02"/>
    <n v="0"/>
    <n v="5"/>
    <b v="0"/>
    <n v="0"/>
  </r>
  <r>
    <d v="2025-07-27T00:00:00"/>
    <x v="2"/>
    <n v="470"/>
    <n v="0.04"/>
    <n v="0"/>
    <n v="2"/>
    <b v="0"/>
    <n v="0"/>
  </r>
  <r>
    <d v="2025-07-27T00:00:00"/>
    <x v="3"/>
    <n v="297"/>
    <n v="0.15"/>
    <n v="0"/>
    <n v="2"/>
    <b v="0"/>
    <n v="0"/>
  </r>
  <r>
    <d v="2025-07-27T00:00:00"/>
    <x v="4"/>
    <n v="597"/>
    <n v="0.03"/>
    <n v="0"/>
    <n v="2"/>
    <b v="0"/>
    <n v="0"/>
  </r>
  <r>
    <d v="2025-07-28T00:00:00"/>
    <x v="0"/>
    <n v="0"/>
    <n v="0.05"/>
    <n v="0"/>
    <n v="2"/>
    <b v="0"/>
    <n v="1"/>
  </r>
  <r>
    <d v="2025-07-28T00:00:00"/>
    <x v="1"/>
    <n v="729"/>
    <n v="0.02"/>
    <n v="0"/>
    <n v="2"/>
    <b v="0"/>
    <n v="0"/>
  </r>
  <r>
    <d v="2025-07-28T00:00:00"/>
    <x v="2"/>
    <n v="51"/>
    <n v="0.04"/>
    <n v="0"/>
    <n v="2"/>
    <b v="0"/>
    <n v="0"/>
  </r>
  <r>
    <d v="2025-07-28T00:00:00"/>
    <x v="3"/>
    <n v="171"/>
    <n v="0.15"/>
    <n v="0"/>
    <n v="15"/>
    <b v="0"/>
    <n v="0"/>
  </r>
  <r>
    <d v="2025-07-28T00:00:00"/>
    <x v="4"/>
    <n v="395"/>
    <n v="0.03"/>
    <n v="0"/>
    <n v="2"/>
    <b v="0"/>
    <n v="0"/>
  </r>
  <r>
    <d v="2025-07-29T00:00:00"/>
    <x v="0"/>
    <n v="733"/>
    <n v="0.05"/>
    <n v="0"/>
    <n v="5"/>
    <b v="0"/>
    <n v="0"/>
  </r>
  <r>
    <d v="2025-07-29T00:00:00"/>
    <x v="1"/>
    <n v="278"/>
    <n v="0.02"/>
    <n v="0"/>
    <n v="2"/>
    <b v="0"/>
    <n v="0"/>
  </r>
  <r>
    <d v="2025-07-29T00:00:00"/>
    <x v="2"/>
    <n v="423"/>
    <n v="0.04"/>
    <n v="0"/>
    <n v="2"/>
    <b v="0"/>
    <n v="0"/>
  </r>
  <r>
    <d v="2025-07-29T00:00:00"/>
    <x v="3"/>
    <n v="733"/>
    <n v="0.15"/>
    <n v="0"/>
    <n v="2"/>
    <b v="0"/>
    <n v="0"/>
  </r>
  <r>
    <d v="2025-07-29T00:00:00"/>
    <x v="4"/>
    <n v="619"/>
    <n v="0.03"/>
    <n v="0"/>
    <n v="5"/>
    <b v="0"/>
    <n v="0"/>
  </r>
  <r>
    <d v="2025-07-30T00:00:00"/>
    <x v="0"/>
    <n v="739"/>
    <n v="0.05"/>
    <n v="0"/>
    <n v="2"/>
    <b v="0"/>
    <n v="0"/>
  </r>
  <r>
    <d v="2025-07-30T00:00:00"/>
    <x v="1"/>
    <n v="563"/>
    <n v="0.02"/>
    <n v="0"/>
    <n v="5"/>
    <b v="0"/>
    <n v="0"/>
  </r>
  <r>
    <d v="2025-07-30T00:00:00"/>
    <x v="2"/>
    <n v="40"/>
    <n v="0.04"/>
    <n v="0"/>
    <n v="2"/>
    <b v="0"/>
    <n v="0"/>
  </r>
  <r>
    <d v="2025-07-30T00:00:00"/>
    <x v="3"/>
    <n v="419"/>
    <n v="0.15"/>
    <n v="0"/>
    <n v="2"/>
    <b v="0"/>
    <n v="0"/>
  </r>
  <r>
    <d v="2025-07-30T00:00:00"/>
    <x v="4"/>
    <n v="578"/>
    <n v="0.03"/>
    <n v="0"/>
    <n v="2"/>
    <b v="0"/>
    <n v="0"/>
  </r>
  <r>
    <d v="2025-07-31T00:00:00"/>
    <x v="0"/>
    <n v="691"/>
    <n v="0.05"/>
    <n v="0"/>
    <n v="5"/>
    <b v="0"/>
    <n v="0"/>
  </r>
  <r>
    <d v="2025-07-31T00:00:00"/>
    <x v="1"/>
    <n v="270"/>
    <n v="0.02"/>
    <n v="0"/>
    <n v="10"/>
    <b v="0"/>
    <n v="0"/>
  </r>
  <r>
    <d v="2025-07-31T00:00:00"/>
    <x v="2"/>
    <n v="614"/>
    <n v="0.04"/>
    <n v="0"/>
    <n v="2"/>
    <b v="0"/>
    <n v="0"/>
  </r>
  <r>
    <d v="2025-07-31T00:00:00"/>
    <x v="3"/>
    <n v="97"/>
    <n v="0.15"/>
    <n v="0"/>
    <n v="2"/>
    <b v="0"/>
    <n v="0"/>
  </r>
  <r>
    <d v="2025-07-31T00:00:00"/>
    <x v="4"/>
    <n v="20"/>
    <n v="0.03"/>
    <n v="0"/>
    <n v="15"/>
    <b v="0"/>
    <n v="0"/>
  </r>
  <r>
    <d v="2025-08-01T00:00:00"/>
    <x v="0"/>
    <n v="405"/>
    <n v="0.05"/>
    <n v="0"/>
    <n v="2"/>
    <b v="0"/>
    <n v="0"/>
  </r>
  <r>
    <d v="2025-08-01T00:00:00"/>
    <x v="1"/>
    <n v="863"/>
    <n v="0.02"/>
    <n v="0"/>
    <n v="2"/>
    <b v="0"/>
    <n v="0"/>
  </r>
  <r>
    <d v="2025-08-01T00:00:00"/>
    <x v="2"/>
    <n v="667"/>
    <n v="0.04"/>
    <n v="0"/>
    <n v="2"/>
    <b v="0"/>
    <n v="0"/>
  </r>
  <r>
    <d v="2025-08-01T00:00:00"/>
    <x v="3"/>
    <n v="177"/>
    <n v="0.15"/>
    <n v="0"/>
    <n v="2"/>
    <b v="0"/>
    <n v="0"/>
  </r>
  <r>
    <d v="2025-08-01T00:00:00"/>
    <x v="4"/>
    <n v="324"/>
    <n v="0.03"/>
    <n v="0"/>
    <n v="2"/>
    <b v="0"/>
    <n v="0"/>
  </r>
  <r>
    <d v="2025-08-02T00:00:00"/>
    <x v="0"/>
    <n v="153"/>
    <n v="0.05"/>
    <n v="0"/>
    <n v="2"/>
    <b v="0"/>
    <n v="0"/>
  </r>
  <r>
    <d v="2025-08-02T00:00:00"/>
    <x v="1"/>
    <n v="784"/>
    <n v="0.02"/>
    <n v="0"/>
    <n v="10"/>
    <b v="0"/>
    <n v="0"/>
  </r>
  <r>
    <d v="2025-08-02T00:00:00"/>
    <x v="2"/>
    <n v="829"/>
    <n v="0.04"/>
    <n v="0"/>
    <n v="2"/>
    <b v="0"/>
    <n v="0"/>
  </r>
  <r>
    <d v="2025-08-02T00:00:00"/>
    <x v="3"/>
    <n v="211"/>
    <n v="0.15"/>
    <n v="0"/>
    <n v="5"/>
    <b v="0"/>
    <n v="0"/>
  </r>
  <r>
    <d v="2025-08-02T00:00:00"/>
    <x v="4"/>
    <n v="419"/>
    <n v="0.03"/>
    <n v="0"/>
    <n v="5"/>
    <b v="0"/>
    <n v="0"/>
  </r>
  <r>
    <d v="2025-08-03T00:00:00"/>
    <x v="0"/>
    <n v="328"/>
    <n v="0.05"/>
    <n v="0"/>
    <n v="2"/>
    <b v="0"/>
    <n v="0"/>
  </r>
  <r>
    <d v="2025-08-03T00:00:00"/>
    <x v="1"/>
    <n v="28"/>
    <n v="0.02"/>
    <n v="0"/>
    <n v="2"/>
    <b v="0"/>
    <n v="0"/>
  </r>
  <r>
    <d v="2025-08-03T00:00:00"/>
    <x v="2"/>
    <n v="231"/>
    <n v="0.04"/>
    <n v="0"/>
    <n v="5"/>
    <b v="0"/>
    <n v="0"/>
  </r>
  <r>
    <d v="2025-08-03T00:00:00"/>
    <x v="3"/>
    <n v="93"/>
    <n v="0.15"/>
    <n v="0"/>
    <n v="2"/>
    <b v="0"/>
    <n v="0"/>
  </r>
  <r>
    <d v="2025-08-03T00:00:00"/>
    <x v="4"/>
    <n v="694"/>
    <n v="0.03"/>
    <n v="0"/>
    <n v="5"/>
    <b v="0"/>
    <n v="0"/>
  </r>
  <r>
    <d v="2025-08-04T00:00:00"/>
    <x v="0"/>
    <n v="492"/>
    <n v="0.05"/>
    <n v="0"/>
    <n v="2"/>
    <b v="0"/>
    <n v="0"/>
  </r>
  <r>
    <d v="2025-08-04T00:00:00"/>
    <x v="1"/>
    <n v="753"/>
    <n v="0.02"/>
    <n v="0"/>
    <n v="2"/>
    <b v="0"/>
    <n v="0"/>
  </r>
  <r>
    <d v="2025-08-04T00:00:00"/>
    <x v="2"/>
    <n v="599"/>
    <n v="0.04"/>
    <n v="0"/>
    <n v="2"/>
    <b v="0"/>
    <n v="0"/>
  </r>
  <r>
    <d v="2025-08-04T00:00:00"/>
    <x v="3"/>
    <n v="874"/>
    <n v="0.15"/>
    <n v="0"/>
    <n v="5"/>
    <b v="0"/>
    <n v="0"/>
  </r>
  <r>
    <d v="2025-08-04T00:00:00"/>
    <x v="4"/>
    <n v="277"/>
    <n v="0.03"/>
    <n v="0"/>
    <n v="2"/>
    <b v="0"/>
    <n v="0"/>
  </r>
  <r>
    <d v="2025-08-05T00:00:00"/>
    <x v="0"/>
    <n v="313"/>
    <n v="0.05"/>
    <n v="0"/>
    <n v="2"/>
    <b v="0"/>
    <n v="0"/>
  </r>
  <r>
    <d v="2025-08-05T00:00:00"/>
    <x v="1"/>
    <n v="252"/>
    <n v="0.02"/>
    <n v="0"/>
    <n v="2"/>
    <b v="0"/>
    <n v="0"/>
  </r>
  <r>
    <d v="2025-08-05T00:00:00"/>
    <x v="2"/>
    <n v="899"/>
    <n v="0.04"/>
    <n v="0"/>
    <n v="5"/>
    <b v="0"/>
    <n v="0"/>
  </r>
  <r>
    <d v="2025-08-05T00:00:00"/>
    <x v="3"/>
    <n v="406"/>
    <n v="0.15"/>
    <n v="0"/>
    <n v="10"/>
    <b v="0"/>
    <n v="0"/>
  </r>
  <r>
    <d v="2025-08-05T00:00:00"/>
    <x v="4"/>
    <n v="303"/>
    <n v="0.03"/>
    <n v="0"/>
    <n v="2"/>
    <b v="0"/>
    <n v="0"/>
  </r>
  <r>
    <d v="2025-08-06T00:00:00"/>
    <x v="0"/>
    <n v="548"/>
    <n v="0.05"/>
    <n v="0"/>
    <n v="5"/>
    <b v="0"/>
    <n v="0"/>
  </r>
  <r>
    <d v="2025-08-06T00:00:00"/>
    <x v="1"/>
    <n v="544"/>
    <n v="0.02"/>
    <n v="0"/>
    <n v="2"/>
    <b v="0"/>
    <n v="0"/>
  </r>
  <r>
    <d v="2025-08-06T00:00:00"/>
    <x v="2"/>
    <n v="0"/>
    <n v="0.04"/>
    <n v="0"/>
    <n v="2"/>
    <b v="0"/>
    <n v="1"/>
  </r>
  <r>
    <d v="2025-08-06T00:00:00"/>
    <x v="3"/>
    <n v="883"/>
    <n v="0.15"/>
    <n v="0"/>
    <n v="2"/>
    <b v="0"/>
    <n v="0"/>
  </r>
  <r>
    <d v="2025-08-06T00:00:00"/>
    <x v="4"/>
    <n v="475"/>
    <n v="0.03"/>
    <n v="0"/>
    <n v="2"/>
    <b v="0"/>
    <n v="0"/>
  </r>
  <r>
    <d v="2025-08-07T00:00:00"/>
    <x v="0"/>
    <n v="352"/>
    <n v="0.05"/>
    <n v="0"/>
    <n v="10"/>
    <b v="0"/>
    <n v="0"/>
  </r>
  <r>
    <d v="2025-08-07T00:00:00"/>
    <x v="1"/>
    <n v="640"/>
    <n v="0.02"/>
    <n v="0"/>
    <n v="2"/>
    <b v="0"/>
    <n v="0"/>
  </r>
  <r>
    <d v="2025-08-07T00:00:00"/>
    <x v="2"/>
    <n v="453"/>
    <n v="0.04"/>
    <n v="0"/>
    <n v="5"/>
    <b v="0"/>
    <n v="0"/>
  </r>
  <r>
    <d v="2025-08-07T00:00:00"/>
    <x v="3"/>
    <n v="873"/>
    <n v="0.15"/>
    <n v="0"/>
    <n v="10"/>
    <b v="0"/>
    <n v="0"/>
  </r>
  <r>
    <d v="2025-08-07T00:00:00"/>
    <x v="4"/>
    <n v="138"/>
    <n v="0.03"/>
    <n v="0"/>
    <n v="5"/>
    <b v="0"/>
    <n v="0"/>
  </r>
  <r>
    <d v="2025-08-08T00:00:00"/>
    <x v="0"/>
    <n v="463"/>
    <n v="0.05"/>
    <n v="0"/>
    <n v="2"/>
    <b v="0"/>
    <n v="0"/>
  </r>
  <r>
    <d v="2025-08-08T00:00:00"/>
    <x v="1"/>
    <n v="874"/>
    <n v="0.02"/>
    <n v="0"/>
    <n v="2"/>
    <b v="0"/>
    <n v="0"/>
  </r>
  <r>
    <d v="2025-08-08T00:00:00"/>
    <x v="2"/>
    <n v="439"/>
    <n v="0.04"/>
    <n v="0"/>
    <n v="2"/>
    <b v="0"/>
    <n v="0"/>
  </r>
  <r>
    <d v="2025-08-08T00:00:00"/>
    <x v="3"/>
    <n v="866"/>
    <n v="0.15"/>
    <n v="0"/>
    <n v="5"/>
    <b v="0"/>
    <n v="0"/>
  </r>
  <r>
    <d v="2025-08-08T00:00:00"/>
    <x v="4"/>
    <n v="222"/>
    <n v="0.03"/>
    <n v="0"/>
    <n v="2"/>
    <b v="0"/>
    <n v="0"/>
  </r>
  <r>
    <d v="2025-08-09T00:00:00"/>
    <x v="0"/>
    <n v="747"/>
    <n v="0.05"/>
    <n v="0"/>
    <n v="5"/>
    <b v="0"/>
    <n v="0"/>
  </r>
  <r>
    <d v="2025-08-09T00:00:00"/>
    <x v="1"/>
    <n v="790"/>
    <n v="0.02"/>
    <n v="0"/>
    <n v="2"/>
    <b v="0"/>
    <n v="0"/>
  </r>
  <r>
    <d v="2025-08-09T00:00:00"/>
    <x v="2"/>
    <n v="84"/>
    <n v="0.04"/>
    <n v="0"/>
    <n v="2"/>
    <b v="0"/>
    <n v="0"/>
  </r>
  <r>
    <d v="2025-08-09T00:00:00"/>
    <x v="3"/>
    <n v="416"/>
    <n v="0.15"/>
    <n v="0"/>
    <n v="2"/>
    <b v="0"/>
    <n v="0"/>
  </r>
  <r>
    <d v="2025-08-09T00:00:00"/>
    <x v="4"/>
    <n v="232"/>
    <n v="0.03"/>
    <n v="0"/>
    <n v="2"/>
    <b v="0"/>
    <n v="0"/>
  </r>
  <r>
    <d v="2025-08-10T00:00:00"/>
    <x v="0"/>
    <n v="734"/>
    <n v="0.05"/>
    <n v="0"/>
    <n v="5"/>
    <b v="0"/>
    <n v="0"/>
  </r>
  <r>
    <d v="2025-08-10T00:00:00"/>
    <x v="1"/>
    <n v="33"/>
    <n v="0.02"/>
    <n v="0"/>
    <n v="2"/>
    <b v="0"/>
    <n v="0"/>
  </r>
  <r>
    <d v="2025-08-10T00:00:00"/>
    <x v="2"/>
    <n v="682"/>
    <n v="0.04"/>
    <n v="0"/>
    <n v="5"/>
    <b v="0"/>
    <n v="0"/>
  </r>
  <r>
    <d v="2025-08-10T00:00:00"/>
    <x v="3"/>
    <n v="535"/>
    <n v="0.15"/>
    <n v="0"/>
    <n v="2"/>
    <b v="0"/>
    <n v="0"/>
  </r>
  <r>
    <d v="2025-08-10T00:00:00"/>
    <x v="4"/>
    <n v="617"/>
    <n v="0.03"/>
    <n v="0"/>
    <n v="2"/>
    <b v="0"/>
    <n v="0"/>
  </r>
  <r>
    <d v="2025-08-11T00:00:00"/>
    <x v="0"/>
    <n v="60"/>
    <n v="0.05"/>
    <n v="0"/>
    <n v="2"/>
    <b v="0"/>
    <n v="0"/>
  </r>
  <r>
    <d v="2025-08-11T00:00:00"/>
    <x v="1"/>
    <n v="775"/>
    <n v="0.02"/>
    <n v="0"/>
    <n v="2"/>
    <b v="0"/>
    <n v="0"/>
  </r>
  <r>
    <d v="2025-08-11T00:00:00"/>
    <x v="2"/>
    <n v="277"/>
    <n v="0.04"/>
    <n v="0"/>
    <n v="2"/>
    <b v="0"/>
    <n v="0"/>
  </r>
  <r>
    <d v="2025-08-11T00:00:00"/>
    <x v="3"/>
    <n v="262"/>
    <n v="0.15"/>
    <n v="0"/>
    <n v="5"/>
    <b v="0"/>
    <n v="0"/>
  </r>
  <r>
    <d v="2025-08-11T00:00:00"/>
    <x v="4"/>
    <n v="270"/>
    <n v="0.03"/>
    <n v="0"/>
    <n v="2"/>
    <b v="0"/>
    <n v="0"/>
  </r>
  <r>
    <d v="2025-08-12T00:00:00"/>
    <x v="0"/>
    <n v="218"/>
    <n v="0.05"/>
    <n v="0"/>
    <n v="2"/>
    <b v="0"/>
    <n v="0"/>
  </r>
  <r>
    <d v="2025-08-12T00:00:00"/>
    <x v="1"/>
    <n v="418"/>
    <n v="0.02"/>
    <n v="0"/>
    <n v="10"/>
    <b v="0"/>
    <n v="0"/>
  </r>
  <r>
    <d v="2025-08-12T00:00:00"/>
    <x v="2"/>
    <n v="355"/>
    <n v="0.04"/>
    <n v="0"/>
    <n v="2"/>
    <b v="0"/>
    <n v="0"/>
  </r>
  <r>
    <d v="2025-08-12T00:00:00"/>
    <x v="3"/>
    <n v="765"/>
    <n v="0.15"/>
    <n v="0"/>
    <n v="5"/>
    <b v="0"/>
    <n v="0"/>
  </r>
  <r>
    <d v="2025-08-12T00:00:00"/>
    <x v="4"/>
    <n v="274"/>
    <n v="0.03"/>
    <n v="0"/>
    <n v="2"/>
    <b v="0"/>
    <n v="0"/>
  </r>
  <r>
    <d v="2025-08-13T00:00:00"/>
    <x v="0"/>
    <n v="79"/>
    <n v="0.05"/>
    <n v="0"/>
    <n v="2"/>
    <b v="0"/>
    <n v="0"/>
  </r>
  <r>
    <d v="2025-08-13T00:00:00"/>
    <x v="1"/>
    <n v="768"/>
    <n v="0.02"/>
    <n v="0"/>
    <n v="2"/>
    <b v="0"/>
    <n v="0"/>
  </r>
  <r>
    <d v="2025-08-13T00:00:00"/>
    <x v="2"/>
    <n v="900"/>
    <n v="0.04"/>
    <n v="0"/>
    <n v="2"/>
    <b v="0"/>
    <n v="0"/>
  </r>
  <r>
    <d v="2025-08-13T00:00:00"/>
    <x v="3"/>
    <n v="579"/>
    <n v="0.15"/>
    <n v="0"/>
    <n v="2"/>
    <b v="0"/>
    <n v="0"/>
  </r>
  <r>
    <d v="2025-08-13T00:00:00"/>
    <x v="4"/>
    <n v="183"/>
    <n v="0.03"/>
    <n v="0"/>
    <n v="2"/>
    <b v="0"/>
    <n v="0"/>
  </r>
  <r>
    <d v="2025-08-14T00:00:00"/>
    <x v="0"/>
    <n v="258"/>
    <n v="0.05"/>
    <n v="0"/>
    <n v="2"/>
    <b v="0"/>
    <n v="0"/>
  </r>
  <r>
    <d v="2025-08-14T00:00:00"/>
    <x v="1"/>
    <n v="755"/>
    <n v="0.02"/>
    <n v="0"/>
    <n v="5"/>
    <b v="0"/>
    <n v="0"/>
  </r>
  <r>
    <d v="2025-08-14T00:00:00"/>
    <x v="2"/>
    <n v="425"/>
    <n v="0.04"/>
    <n v="0"/>
    <n v="2"/>
    <b v="0"/>
    <n v="0"/>
  </r>
  <r>
    <d v="2025-08-14T00:00:00"/>
    <x v="3"/>
    <n v="158"/>
    <n v="0.15"/>
    <n v="0"/>
    <n v="2"/>
    <b v="0"/>
    <n v="0"/>
  </r>
  <r>
    <d v="2025-08-14T00:00:00"/>
    <x v="4"/>
    <n v="121"/>
    <n v="0.03"/>
    <n v="0"/>
    <n v="5"/>
    <b v="0"/>
    <n v="0"/>
  </r>
  <r>
    <d v="2025-08-15T00:00:00"/>
    <x v="0"/>
    <n v="627"/>
    <n v="0.05"/>
    <n v="0"/>
    <n v="2"/>
    <b v="0"/>
    <n v="0"/>
  </r>
  <r>
    <d v="2025-08-15T00:00:00"/>
    <x v="1"/>
    <n v="67"/>
    <n v="0.02"/>
    <n v="0"/>
    <n v="2"/>
    <b v="0"/>
    <n v="0"/>
  </r>
  <r>
    <d v="2025-08-15T00:00:00"/>
    <x v="2"/>
    <n v="496"/>
    <n v="0.04"/>
    <n v="0"/>
    <n v="2"/>
    <b v="0"/>
    <n v="0"/>
  </r>
  <r>
    <d v="2025-08-15T00:00:00"/>
    <x v="3"/>
    <n v="721"/>
    <n v="0.15"/>
    <n v="0"/>
    <n v="2"/>
    <b v="0"/>
    <n v="0"/>
  </r>
  <r>
    <d v="2025-08-15T00:00:00"/>
    <x v="4"/>
    <n v="557"/>
    <n v="0.03"/>
    <n v="0"/>
    <n v="2"/>
    <b v="0"/>
    <n v="0"/>
  </r>
  <r>
    <d v="2025-08-16T00:00:00"/>
    <x v="0"/>
    <n v="881"/>
    <n v="0.05"/>
    <n v="0"/>
    <n v="5"/>
    <b v="0"/>
    <n v="0"/>
  </r>
  <r>
    <d v="2025-08-16T00:00:00"/>
    <x v="1"/>
    <n v="0"/>
    <n v="0.02"/>
    <n v="0"/>
    <n v="5"/>
    <b v="0"/>
    <n v="1"/>
  </r>
  <r>
    <d v="2025-08-16T00:00:00"/>
    <x v="2"/>
    <n v="106"/>
    <n v="0.04"/>
    <n v="0"/>
    <n v="5"/>
    <b v="0"/>
    <n v="0"/>
  </r>
  <r>
    <d v="2025-08-16T00:00:00"/>
    <x v="3"/>
    <n v="278"/>
    <n v="0.15"/>
    <n v="0"/>
    <n v="2"/>
    <b v="0"/>
    <n v="0"/>
  </r>
  <r>
    <d v="2025-08-16T00:00:00"/>
    <x v="4"/>
    <n v="792"/>
    <n v="0.03"/>
    <n v="0"/>
    <n v="2"/>
    <b v="0"/>
    <n v="0"/>
  </r>
  <r>
    <d v="2025-08-17T00:00:00"/>
    <x v="0"/>
    <n v="37"/>
    <n v="0.05"/>
    <n v="0"/>
    <n v="5"/>
    <b v="0"/>
    <n v="0"/>
  </r>
  <r>
    <d v="2025-08-17T00:00:00"/>
    <x v="1"/>
    <n v="12"/>
    <n v="0.02"/>
    <n v="0"/>
    <n v="2"/>
    <b v="0"/>
    <n v="0"/>
  </r>
  <r>
    <d v="2025-08-17T00:00:00"/>
    <x v="2"/>
    <n v="553"/>
    <n v="0.04"/>
    <n v="0"/>
    <n v="2"/>
    <b v="0"/>
    <n v="0"/>
  </r>
  <r>
    <d v="2025-08-17T00:00:00"/>
    <x v="3"/>
    <n v="592"/>
    <n v="0.15"/>
    <n v="0"/>
    <n v="5"/>
    <b v="0"/>
    <n v="0"/>
  </r>
  <r>
    <d v="2025-08-17T00:00:00"/>
    <x v="4"/>
    <n v="869"/>
    <n v="0.03"/>
    <n v="0"/>
    <n v="5"/>
    <b v="0"/>
    <n v="0"/>
  </r>
  <r>
    <d v="2025-08-18T00:00:00"/>
    <x v="0"/>
    <n v="468"/>
    <n v="0.05"/>
    <n v="0"/>
    <n v="2"/>
    <b v="0"/>
    <n v="0"/>
  </r>
  <r>
    <d v="2025-08-18T00:00:00"/>
    <x v="1"/>
    <n v="556"/>
    <n v="0.02"/>
    <n v="0"/>
    <n v="5"/>
    <b v="0"/>
    <n v="0"/>
  </r>
  <r>
    <d v="2025-08-18T00:00:00"/>
    <x v="2"/>
    <n v="518"/>
    <n v="0.04"/>
    <n v="0"/>
    <n v="5"/>
    <b v="0"/>
    <n v="0"/>
  </r>
  <r>
    <d v="2025-08-18T00:00:00"/>
    <x v="3"/>
    <n v="100"/>
    <n v="0.15"/>
    <n v="0"/>
    <n v="2"/>
    <b v="0"/>
    <n v="0"/>
  </r>
  <r>
    <d v="2025-08-18T00:00:00"/>
    <x v="4"/>
    <n v="394"/>
    <n v="0.03"/>
    <n v="0"/>
    <n v="2"/>
    <b v="0"/>
    <n v="0"/>
  </r>
  <r>
    <d v="2025-08-19T00:00:00"/>
    <x v="0"/>
    <n v="689"/>
    <n v="0.05"/>
    <n v="0"/>
    <n v="2"/>
    <b v="0"/>
    <n v="0"/>
  </r>
  <r>
    <d v="2025-08-19T00:00:00"/>
    <x v="1"/>
    <n v="1"/>
    <n v="0.02"/>
    <n v="0"/>
    <n v="5"/>
    <b v="0"/>
    <n v="0"/>
  </r>
  <r>
    <d v="2025-08-19T00:00:00"/>
    <x v="2"/>
    <n v="873"/>
    <n v="0.04"/>
    <n v="0"/>
    <n v="5"/>
    <b v="0"/>
    <n v="0"/>
  </r>
  <r>
    <d v="2025-08-19T00:00:00"/>
    <x v="3"/>
    <n v="425"/>
    <n v="0.15"/>
    <n v="0"/>
    <n v="5"/>
    <b v="0"/>
    <n v="0"/>
  </r>
  <r>
    <d v="2025-08-19T00:00:00"/>
    <x v="4"/>
    <n v="734"/>
    <n v="0.03"/>
    <n v="0"/>
    <n v="2"/>
    <b v="0"/>
    <n v="0"/>
  </r>
  <r>
    <d v="2025-08-20T00:00:00"/>
    <x v="0"/>
    <n v="424"/>
    <n v="0.05"/>
    <n v="0"/>
    <n v="5"/>
    <b v="0"/>
    <n v="0"/>
  </r>
  <r>
    <d v="2025-08-20T00:00:00"/>
    <x v="1"/>
    <n v="450"/>
    <n v="0.02"/>
    <n v="0"/>
    <n v="2"/>
    <b v="0"/>
    <n v="0"/>
  </r>
  <r>
    <d v="2025-08-20T00:00:00"/>
    <x v="2"/>
    <n v="585"/>
    <n v="0.04"/>
    <n v="0"/>
    <n v="2"/>
    <b v="0"/>
    <n v="0"/>
  </r>
  <r>
    <d v="2025-08-20T00:00:00"/>
    <x v="3"/>
    <n v="158"/>
    <n v="0.15"/>
    <n v="0"/>
    <n v="2"/>
    <b v="0"/>
    <n v="0"/>
  </r>
  <r>
    <d v="2025-08-20T00:00:00"/>
    <x v="4"/>
    <n v="130"/>
    <n v="0.03"/>
    <n v="0"/>
    <n v="5"/>
    <b v="0"/>
    <n v="0"/>
  </r>
  <r>
    <d v="2025-08-21T00:00:00"/>
    <x v="0"/>
    <n v="773"/>
    <n v="0.05"/>
    <n v="0"/>
    <n v="2"/>
    <b v="0"/>
    <n v="0"/>
  </r>
  <r>
    <d v="2025-08-21T00:00:00"/>
    <x v="1"/>
    <n v="551"/>
    <n v="0.02"/>
    <n v="0"/>
    <n v="5"/>
    <b v="0"/>
    <n v="0"/>
  </r>
  <r>
    <d v="2025-08-21T00:00:00"/>
    <x v="2"/>
    <n v="88"/>
    <n v="0.04"/>
    <n v="0"/>
    <n v="2"/>
    <b v="0"/>
    <n v="0"/>
  </r>
  <r>
    <d v="2025-08-21T00:00:00"/>
    <x v="3"/>
    <n v="627"/>
    <n v="0.15"/>
    <n v="0"/>
    <n v="2"/>
    <b v="0"/>
    <n v="0"/>
  </r>
  <r>
    <d v="2025-08-21T00:00:00"/>
    <x v="4"/>
    <n v="71"/>
    <n v="0.03"/>
    <n v="0"/>
    <n v="2"/>
    <b v="0"/>
    <n v="0"/>
  </r>
  <r>
    <d v="2025-08-22T00:00:00"/>
    <x v="0"/>
    <n v="242"/>
    <n v="0.05"/>
    <n v="0"/>
    <n v="2"/>
    <b v="0"/>
    <n v="0"/>
  </r>
  <r>
    <d v="2025-08-22T00:00:00"/>
    <x v="1"/>
    <n v="0"/>
    <n v="0.02"/>
    <n v="0"/>
    <n v="2"/>
    <b v="0"/>
    <n v="1"/>
  </r>
  <r>
    <d v="2025-08-22T00:00:00"/>
    <x v="2"/>
    <n v="791"/>
    <n v="0.04"/>
    <n v="0"/>
    <n v="5"/>
    <b v="0"/>
    <n v="0"/>
  </r>
  <r>
    <d v="2025-08-22T00:00:00"/>
    <x v="3"/>
    <n v="218"/>
    <n v="0.15"/>
    <n v="0"/>
    <n v="2"/>
    <b v="0"/>
    <n v="0"/>
  </r>
  <r>
    <d v="2025-08-22T00:00:00"/>
    <x v="4"/>
    <n v="303"/>
    <n v="0.03"/>
    <n v="0"/>
    <n v="2"/>
    <b v="0"/>
    <n v="0"/>
  </r>
  <r>
    <d v="2025-08-23T00:00:00"/>
    <x v="0"/>
    <n v="708"/>
    <n v="0.05"/>
    <n v="0"/>
    <n v="10"/>
    <b v="0"/>
    <n v="0"/>
  </r>
  <r>
    <d v="2025-08-23T00:00:00"/>
    <x v="1"/>
    <n v="240"/>
    <n v="0.02"/>
    <n v="0"/>
    <n v="2"/>
    <b v="0"/>
    <n v="0"/>
  </r>
  <r>
    <d v="2025-08-23T00:00:00"/>
    <x v="2"/>
    <n v="889"/>
    <n v="0.04"/>
    <n v="0"/>
    <n v="2"/>
    <b v="0"/>
    <n v="0"/>
  </r>
  <r>
    <d v="2025-08-23T00:00:00"/>
    <x v="3"/>
    <n v="602"/>
    <n v="0.15"/>
    <n v="0"/>
    <n v="2"/>
    <b v="0"/>
    <n v="0"/>
  </r>
  <r>
    <d v="2025-08-23T00:00:00"/>
    <x v="4"/>
    <n v="451"/>
    <n v="0.03"/>
    <n v="0"/>
    <n v="2"/>
    <b v="0"/>
    <n v="0"/>
  </r>
  <r>
    <d v="2025-08-24T00:00:00"/>
    <x v="0"/>
    <n v="155"/>
    <n v="0.05"/>
    <n v="0"/>
    <n v="5"/>
    <b v="0"/>
    <n v="0"/>
  </r>
  <r>
    <d v="2025-08-24T00:00:00"/>
    <x v="1"/>
    <n v="344"/>
    <n v="0.02"/>
    <n v="0"/>
    <n v="5"/>
    <b v="0"/>
    <n v="0"/>
  </r>
  <r>
    <d v="2025-08-24T00:00:00"/>
    <x v="2"/>
    <n v="488"/>
    <n v="0.04"/>
    <n v="0"/>
    <n v="2"/>
    <b v="0"/>
    <n v="0"/>
  </r>
  <r>
    <d v="2025-08-24T00:00:00"/>
    <x v="3"/>
    <n v="401"/>
    <n v="0.15"/>
    <n v="0"/>
    <n v="2"/>
    <b v="0"/>
    <n v="0"/>
  </r>
  <r>
    <d v="2025-08-24T00:00:00"/>
    <x v="4"/>
    <n v="363"/>
    <n v="0.03"/>
    <n v="0"/>
    <n v="2"/>
    <b v="0"/>
    <n v="0"/>
  </r>
  <r>
    <d v="2025-08-25T00:00:00"/>
    <x v="0"/>
    <n v="119"/>
    <n v="0.05"/>
    <n v="0"/>
    <n v="2"/>
    <b v="0"/>
    <n v="0"/>
  </r>
  <r>
    <d v="2025-08-25T00:00:00"/>
    <x v="1"/>
    <n v="562"/>
    <n v="0.02"/>
    <n v="0"/>
    <n v="2"/>
    <b v="0"/>
    <n v="0"/>
  </r>
  <r>
    <d v="2025-08-25T00:00:00"/>
    <x v="2"/>
    <n v="686"/>
    <n v="0.04"/>
    <n v="0"/>
    <n v="2"/>
    <b v="0"/>
    <n v="0"/>
  </r>
  <r>
    <d v="2025-08-25T00:00:00"/>
    <x v="3"/>
    <n v="179"/>
    <n v="0.15"/>
    <n v="0"/>
    <n v="2"/>
    <b v="0"/>
    <n v="0"/>
  </r>
  <r>
    <d v="2025-08-25T00:00:00"/>
    <x v="4"/>
    <n v="771"/>
    <n v="0.03"/>
    <n v="0"/>
    <n v="2"/>
    <b v="0"/>
    <n v="0"/>
  </r>
  <r>
    <d v="2025-08-26T00:00:00"/>
    <x v="0"/>
    <n v="384"/>
    <n v="0.05"/>
    <n v="0"/>
    <n v="2"/>
    <b v="0"/>
    <n v="0"/>
  </r>
  <r>
    <d v="2025-08-26T00:00:00"/>
    <x v="1"/>
    <n v="262"/>
    <n v="0.02"/>
    <n v="0"/>
    <n v="2"/>
    <b v="0"/>
    <n v="0"/>
  </r>
  <r>
    <d v="2025-08-26T00:00:00"/>
    <x v="2"/>
    <n v="306"/>
    <n v="0.04"/>
    <n v="0"/>
    <n v="2"/>
    <b v="0"/>
    <n v="0"/>
  </r>
  <r>
    <d v="2025-08-26T00:00:00"/>
    <x v="3"/>
    <n v="651"/>
    <n v="0.15"/>
    <n v="0"/>
    <n v="10"/>
    <b v="0"/>
    <n v="0"/>
  </r>
  <r>
    <d v="2025-08-26T00:00:00"/>
    <x v="4"/>
    <n v="206"/>
    <n v="0.03"/>
    <n v="0"/>
    <n v="2"/>
    <b v="0"/>
    <n v="0"/>
  </r>
  <r>
    <d v="2025-08-27T00:00:00"/>
    <x v="0"/>
    <n v="241"/>
    <n v="0.05"/>
    <n v="0"/>
    <n v="2"/>
    <b v="0"/>
    <n v="0"/>
  </r>
  <r>
    <d v="2025-08-27T00:00:00"/>
    <x v="1"/>
    <n v="783"/>
    <n v="0.02"/>
    <n v="0"/>
    <n v="2"/>
    <b v="0"/>
    <n v="0"/>
  </r>
  <r>
    <d v="2025-08-27T00:00:00"/>
    <x v="2"/>
    <n v="875"/>
    <n v="0.04"/>
    <n v="0"/>
    <n v="5"/>
    <b v="0"/>
    <n v="0"/>
  </r>
  <r>
    <d v="2025-08-27T00:00:00"/>
    <x v="3"/>
    <n v="786"/>
    <n v="0.15"/>
    <n v="0"/>
    <n v="2"/>
    <b v="0"/>
    <n v="0"/>
  </r>
  <r>
    <d v="2025-08-27T00:00:00"/>
    <x v="4"/>
    <n v="120"/>
    <n v="0.03"/>
    <n v="0"/>
    <n v="2"/>
    <b v="0"/>
    <n v="0"/>
  </r>
  <r>
    <d v="2025-08-28T00:00:00"/>
    <x v="0"/>
    <n v="222"/>
    <n v="0.05"/>
    <n v="0"/>
    <n v="5"/>
    <b v="0"/>
    <n v="0"/>
  </r>
  <r>
    <d v="2025-08-28T00:00:00"/>
    <x v="1"/>
    <n v="375"/>
    <n v="0.02"/>
    <n v="0"/>
    <n v="2"/>
    <b v="0"/>
    <n v="0"/>
  </r>
  <r>
    <d v="2025-08-28T00:00:00"/>
    <x v="2"/>
    <n v="604"/>
    <n v="0.04"/>
    <n v="0"/>
    <n v="2"/>
    <b v="0"/>
    <n v="0"/>
  </r>
  <r>
    <d v="2025-08-28T00:00:00"/>
    <x v="3"/>
    <n v="745"/>
    <n v="0.15"/>
    <n v="0"/>
    <n v="5"/>
    <b v="0"/>
    <n v="0"/>
  </r>
  <r>
    <d v="2025-08-28T00:00:00"/>
    <x v="4"/>
    <n v="129"/>
    <n v="0.03"/>
    <n v="0"/>
    <n v="2"/>
    <b v="0"/>
    <n v="0"/>
  </r>
  <r>
    <d v="2025-08-29T00:00:00"/>
    <x v="0"/>
    <n v="402"/>
    <n v="0.05"/>
    <n v="0"/>
    <n v="2"/>
    <b v="0"/>
    <n v="0"/>
  </r>
  <r>
    <d v="2025-08-29T00:00:00"/>
    <x v="1"/>
    <n v="777"/>
    <n v="0.02"/>
    <n v="0"/>
    <n v="5"/>
    <b v="0"/>
    <n v="0"/>
  </r>
  <r>
    <d v="2025-08-29T00:00:00"/>
    <x v="2"/>
    <n v="632"/>
    <n v="0.04"/>
    <n v="0"/>
    <n v="2"/>
    <b v="0"/>
    <n v="0"/>
  </r>
  <r>
    <d v="2025-08-29T00:00:00"/>
    <x v="3"/>
    <n v="24"/>
    <n v="0.15"/>
    <n v="0"/>
    <n v="2"/>
    <b v="0"/>
    <n v="0"/>
  </r>
  <r>
    <d v="2025-08-29T00:00:00"/>
    <x v="4"/>
    <n v="78"/>
    <n v="0.03"/>
    <n v="0"/>
    <n v="2"/>
    <b v="0"/>
    <n v="0"/>
  </r>
  <r>
    <d v="2025-08-30T00:00:00"/>
    <x v="0"/>
    <n v="306"/>
    <n v="0.05"/>
    <n v="0"/>
    <n v="2"/>
    <b v="0"/>
    <n v="0"/>
  </r>
  <r>
    <d v="2025-08-30T00:00:00"/>
    <x v="1"/>
    <n v="91"/>
    <n v="0.02"/>
    <n v="0"/>
    <n v="5"/>
    <b v="0"/>
    <n v="0"/>
  </r>
  <r>
    <d v="2025-08-30T00:00:00"/>
    <x v="2"/>
    <n v="59"/>
    <n v="0.04"/>
    <n v="0"/>
    <n v="10"/>
    <b v="0"/>
    <n v="0"/>
  </r>
  <r>
    <d v="2025-08-30T00:00:00"/>
    <x v="3"/>
    <n v="411"/>
    <n v="0.15"/>
    <n v="0"/>
    <n v="5"/>
    <b v="0"/>
    <n v="0"/>
  </r>
  <r>
    <d v="2025-08-30T00:00:00"/>
    <x v="4"/>
    <n v="647"/>
    <n v="0.03"/>
    <n v="0"/>
    <n v="2"/>
    <b v="0"/>
    <n v="0"/>
  </r>
  <r>
    <d v="2025-08-31T00:00:00"/>
    <x v="0"/>
    <n v="315"/>
    <n v="0.05"/>
    <n v="0"/>
    <n v="2"/>
    <b v="0"/>
    <n v="0"/>
  </r>
  <r>
    <d v="2025-08-31T00:00:00"/>
    <x v="1"/>
    <n v="143"/>
    <n v="0.02"/>
    <n v="0"/>
    <n v="2"/>
    <b v="0"/>
    <n v="0"/>
  </r>
  <r>
    <d v="2025-08-31T00:00:00"/>
    <x v="2"/>
    <n v="893"/>
    <n v="0.04"/>
    <n v="0"/>
    <n v="5"/>
    <b v="0"/>
    <n v="0"/>
  </r>
  <r>
    <d v="2025-08-31T00:00:00"/>
    <x v="3"/>
    <n v="456"/>
    <n v="0.15"/>
    <n v="0"/>
    <n v="2"/>
    <b v="0"/>
    <n v="0"/>
  </r>
  <r>
    <d v="2025-08-31T00:00:00"/>
    <x v="4"/>
    <n v="562"/>
    <n v="0.03"/>
    <n v="0"/>
    <n v="2"/>
    <b v="0"/>
    <n v="0"/>
  </r>
  <r>
    <d v="2025-09-01T00:00:00"/>
    <x v="0"/>
    <n v="374"/>
    <n v="0.05"/>
    <n v="0"/>
    <n v="2"/>
    <b v="0"/>
    <n v="0"/>
  </r>
  <r>
    <d v="2025-09-01T00:00:00"/>
    <x v="1"/>
    <n v="222"/>
    <n v="0.02"/>
    <n v="0"/>
    <n v="5"/>
    <b v="0"/>
    <n v="0"/>
  </r>
  <r>
    <d v="2025-09-01T00:00:00"/>
    <x v="2"/>
    <n v="0"/>
    <n v="0.04"/>
    <n v="0"/>
    <n v="5"/>
    <b v="0"/>
    <n v="1"/>
  </r>
  <r>
    <d v="2025-09-01T00:00:00"/>
    <x v="3"/>
    <n v="194"/>
    <n v="0.15"/>
    <n v="0"/>
    <n v="2"/>
    <b v="0"/>
    <n v="0"/>
  </r>
  <r>
    <d v="2025-09-01T00:00:00"/>
    <x v="4"/>
    <n v="99"/>
    <n v="0.03"/>
    <n v="0"/>
    <n v="5"/>
    <b v="0"/>
    <n v="0"/>
  </r>
  <r>
    <d v="2025-09-02T00:00:00"/>
    <x v="0"/>
    <n v="205"/>
    <n v="0.05"/>
    <n v="0"/>
    <n v="2"/>
    <b v="0"/>
    <n v="0"/>
  </r>
  <r>
    <d v="2025-09-02T00:00:00"/>
    <x v="1"/>
    <n v="173"/>
    <n v="0.02"/>
    <n v="0"/>
    <n v="15"/>
    <b v="0"/>
    <n v="0"/>
  </r>
  <r>
    <d v="2025-09-02T00:00:00"/>
    <x v="2"/>
    <n v="287"/>
    <n v="0.04"/>
    <n v="0"/>
    <n v="2"/>
    <b v="0"/>
    <n v="0"/>
  </r>
  <r>
    <d v="2025-09-02T00:00:00"/>
    <x v="3"/>
    <n v="821"/>
    <n v="0.15"/>
    <n v="0"/>
    <n v="5"/>
    <b v="0"/>
    <n v="0"/>
  </r>
  <r>
    <d v="2025-09-02T00:00:00"/>
    <x v="4"/>
    <n v="134"/>
    <n v="0.03"/>
    <n v="0"/>
    <n v="2"/>
    <b v="0"/>
    <n v="0"/>
  </r>
  <r>
    <d v="2025-09-03T00:00:00"/>
    <x v="0"/>
    <n v="897"/>
    <n v="0.05"/>
    <n v="0"/>
    <n v="2"/>
    <b v="0"/>
    <n v="0"/>
  </r>
  <r>
    <d v="2025-09-03T00:00:00"/>
    <x v="1"/>
    <n v="255"/>
    <n v="0.02"/>
    <n v="0"/>
    <n v="5"/>
    <b v="0"/>
    <n v="0"/>
  </r>
  <r>
    <d v="2025-09-03T00:00:00"/>
    <x v="2"/>
    <n v="22"/>
    <n v="0.04"/>
    <n v="0"/>
    <n v="5"/>
    <b v="0"/>
    <n v="0"/>
  </r>
  <r>
    <d v="2025-09-03T00:00:00"/>
    <x v="3"/>
    <n v="166"/>
    <n v="0.15"/>
    <n v="0"/>
    <n v="5"/>
    <b v="0"/>
    <n v="0"/>
  </r>
  <r>
    <d v="2025-09-03T00:00:00"/>
    <x v="4"/>
    <n v="470"/>
    <n v="0.03"/>
    <n v="0"/>
    <n v="15"/>
    <b v="0"/>
    <n v="0"/>
  </r>
  <r>
    <d v="2025-09-04T00:00:00"/>
    <x v="0"/>
    <n v="855"/>
    <n v="0.05"/>
    <n v="0"/>
    <n v="5"/>
    <b v="0"/>
    <n v="0"/>
  </r>
  <r>
    <d v="2025-09-04T00:00:00"/>
    <x v="1"/>
    <n v="650"/>
    <n v="0.02"/>
    <n v="0"/>
    <n v="5"/>
    <b v="0"/>
    <n v="0"/>
  </r>
  <r>
    <d v="2025-09-04T00:00:00"/>
    <x v="2"/>
    <n v="701"/>
    <n v="0.04"/>
    <n v="0"/>
    <n v="15"/>
    <b v="0"/>
    <n v="0"/>
  </r>
  <r>
    <d v="2025-09-04T00:00:00"/>
    <x v="3"/>
    <n v="847"/>
    <n v="0.15"/>
    <n v="0"/>
    <n v="2"/>
    <b v="0"/>
    <n v="0"/>
  </r>
  <r>
    <d v="2025-09-04T00:00:00"/>
    <x v="4"/>
    <n v="855"/>
    <n v="0.03"/>
    <n v="0"/>
    <n v="15"/>
    <b v="0"/>
    <n v="0"/>
  </r>
  <r>
    <d v="2025-09-05T00:00:00"/>
    <x v="0"/>
    <n v="0"/>
    <n v="0.05"/>
    <n v="0"/>
    <n v="5"/>
    <b v="0"/>
    <n v="1"/>
  </r>
  <r>
    <d v="2025-09-05T00:00:00"/>
    <x v="1"/>
    <n v="404"/>
    <n v="0.02"/>
    <n v="0"/>
    <n v="2"/>
    <b v="0"/>
    <n v="0"/>
  </r>
  <r>
    <d v="2025-09-05T00:00:00"/>
    <x v="2"/>
    <n v="80"/>
    <n v="0.04"/>
    <n v="0"/>
    <n v="5"/>
    <b v="0"/>
    <n v="0"/>
  </r>
  <r>
    <d v="2025-09-05T00:00:00"/>
    <x v="3"/>
    <n v="808"/>
    <n v="0.15"/>
    <n v="0"/>
    <n v="2"/>
    <b v="0"/>
    <n v="0"/>
  </r>
  <r>
    <d v="2025-09-05T00:00:00"/>
    <x v="4"/>
    <n v="452"/>
    <n v="0.03"/>
    <n v="0"/>
    <n v="2"/>
    <b v="0"/>
    <n v="0"/>
  </r>
  <r>
    <d v="2025-09-06T00:00:00"/>
    <x v="0"/>
    <n v="321"/>
    <n v="0.05"/>
    <n v="0"/>
    <n v="5"/>
    <b v="0"/>
    <n v="0"/>
  </r>
  <r>
    <d v="2025-09-06T00:00:00"/>
    <x v="1"/>
    <n v="544"/>
    <n v="0.02"/>
    <n v="0"/>
    <n v="5"/>
    <b v="0"/>
    <n v="0"/>
  </r>
  <r>
    <d v="2025-09-06T00:00:00"/>
    <x v="2"/>
    <n v="583"/>
    <n v="0.04"/>
    <n v="0"/>
    <n v="5"/>
    <b v="0"/>
    <n v="0"/>
  </r>
  <r>
    <d v="2025-09-06T00:00:00"/>
    <x v="3"/>
    <n v="342"/>
    <n v="0.15"/>
    <n v="0"/>
    <n v="2"/>
    <b v="0"/>
    <n v="0"/>
  </r>
  <r>
    <d v="2025-09-06T00:00:00"/>
    <x v="4"/>
    <n v="884"/>
    <n v="0.03"/>
    <n v="0"/>
    <n v="5"/>
    <b v="0"/>
    <n v="0"/>
  </r>
  <r>
    <d v="2025-09-07T00:00:00"/>
    <x v="0"/>
    <n v="13"/>
    <n v="0.05"/>
    <n v="0"/>
    <n v="2"/>
    <b v="0"/>
    <n v="0"/>
  </r>
  <r>
    <d v="2025-09-07T00:00:00"/>
    <x v="1"/>
    <n v="118"/>
    <n v="0.02"/>
    <n v="0"/>
    <n v="2"/>
    <b v="0"/>
    <n v="0"/>
  </r>
  <r>
    <d v="2025-09-07T00:00:00"/>
    <x v="2"/>
    <n v="0"/>
    <n v="0.04"/>
    <n v="0"/>
    <n v="2"/>
    <b v="0"/>
    <n v="1"/>
  </r>
  <r>
    <d v="2025-09-07T00:00:00"/>
    <x v="3"/>
    <n v="158"/>
    <n v="0.15"/>
    <n v="0"/>
    <n v="2"/>
    <b v="0"/>
    <n v="0"/>
  </r>
  <r>
    <d v="2025-09-07T00:00:00"/>
    <x v="4"/>
    <n v="639"/>
    <n v="0.03"/>
    <n v="0"/>
    <n v="15"/>
    <b v="0"/>
    <n v="0"/>
  </r>
  <r>
    <d v="2025-09-08T00:00:00"/>
    <x v="0"/>
    <n v="257"/>
    <n v="0.05"/>
    <n v="0"/>
    <n v="5"/>
    <b v="0"/>
    <n v="0"/>
  </r>
  <r>
    <d v="2025-09-08T00:00:00"/>
    <x v="1"/>
    <n v="296"/>
    <n v="0.02"/>
    <n v="0"/>
    <n v="5"/>
    <b v="0"/>
    <n v="0"/>
  </r>
  <r>
    <d v="2025-09-08T00:00:00"/>
    <x v="2"/>
    <n v="490"/>
    <n v="0.04"/>
    <n v="0"/>
    <n v="5"/>
    <b v="0"/>
    <n v="0"/>
  </r>
  <r>
    <d v="2025-09-08T00:00:00"/>
    <x v="3"/>
    <n v="398"/>
    <n v="0.15"/>
    <n v="0"/>
    <n v="5"/>
    <b v="0"/>
    <n v="0"/>
  </r>
  <r>
    <d v="2025-09-08T00:00:00"/>
    <x v="4"/>
    <n v="738"/>
    <n v="0.03"/>
    <n v="0"/>
    <n v="2"/>
    <b v="0"/>
    <n v="0"/>
  </r>
  <r>
    <d v="2025-09-09T00:00:00"/>
    <x v="0"/>
    <n v="357"/>
    <n v="0.05"/>
    <n v="0"/>
    <n v="5"/>
    <b v="0"/>
    <n v="0"/>
  </r>
  <r>
    <d v="2025-09-09T00:00:00"/>
    <x v="1"/>
    <n v="255"/>
    <n v="0.02"/>
    <n v="0"/>
    <n v="2"/>
    <b v="0"/>
    <n v="0"/>
  </r>
  <r>
    <d v="2025-09-09T00:00:00"/>
    <x v="2"/>
    <n v="704"/>
    <n v="0.04"/>
    <n v="0"/>
    <n v="2"/>
    <b v="0"/>
    <n v="0"/>
  </r>
  <r>
    <d v="2025-09-09T00:00:00"/>
    <x v="3"/>
    <n v="383"/>
    <n v="0.15"/>
    <n v="0"/>
    <n v="2"/>
    <b v="0"/>
    <n v="0"/>
  </r>
  <r>
    <d v="2025-09-09T00:00:00"/>
    <x v="4"/>
    <n v="450"/>
    <n v="0.03"/>
    <n v="0"/>
    <n v="15"/>
    <b v="0"/>
    <n v="0"/>
  </r>
  <r>
    <d v="2025-09-10T00:00:00"/>
    <x v="0"/>
    <n v="156"/>
    <n v="0.05"/>
    <n v="0"/>
    <n v="5"/>
    <b v="0"/>
    <n v="0"/>
  </r>
  <r>
    <d v="2025-09-10T00:00:00"/>
    <x v="1"/>
    <n v="602"/>
    <n v="0.02"/>
    <n v="0"/>
    <n v="2"/>
    <b v="0"/>
    <n v="0"/>
  </r>
  <r>
    <d v="2025-09-10T00:00:00"/>
    <x v="2"/>
    <n v="431"/>
    <n v="0.04"/>
    <n v="0"/>
    <n v="5"/>
    <b v="0"/>
    <n v="0"/>
  </r>
  <r>
    <d v="2025-09-10T00:00:00"/>
    <x v="3"/>
    <n v="729"/>
    <n v="0.15"/>
    <n v="0"/>
    <n v="2"/>
    <b v="0"/>
    <n v="0"/>
  </r>
  <r>
    <d v="2025-09-10T00:00:00"/>
    <x v="4"/>
    <n v="169"/>
    <n v="0.03"/>
    <n v="0"/>
    <n v="2"/>
    <b v="0"/>
    <n v="0"/>
  </r>
  <r>
    <d v="2025-09-11T00:00:00"/>
    <x v="0"/>
    <n v="834"/>
    <n v="0.05"/>
    <n v="0"/>
    <n v="15"/>
    <b v="0"/>
    <n v="0"/>
  </r>
  <r>
    <d v="2025-09-11T00:00:00"/>
    <x v="1"/>
    <n v="733"/>
    <n v="0.02"/>
    <n v="0"/>
    <n v="5"/>
    <b v="0"/>
    <n v="0"/>
  </r>
  <r>
    <d v="2025-09-11T00:00:00"/>
    <x v="2"/>
    <n v="674"/>
    <n v="0.04"/>
    <n v="0"/>
    <n v="5"/>
    <b v="0"/>
    <n v="0"/>
  </r>
  <r>
    <d v="2025-09-11T00:00:00"/>
    <x v="3"/>
    <n v="406"/>
    <n v="0.15"/>
    <n v="0"/>
    <n v="5"/>
    <b v="0"/>
    <n v="0"/>
  </r>
  <r>
    <d v="2025-09-11T00:00:00"/>
    <x v="4"/>
    <n v="143"/>
    <n v="0.03"/>
    <n v="0"/>
    <n v="2"/>
    <b v="0"/>
    <n v="0"/>
  </r>
  <r>
    <d v="2025-09-12T00:00:00"/>
    <x v="0"/>
    <n v="570"/>
    <n v="0.05"/>
    <n v="0"/>
    <n v="2"/>
    <b v="0"/>
    <n v="0"/>
  </r>
  <r>
    <d v="2025-09-12T00:00:00"/>
    <x v="1"/>
    <n v="124"/>
    <n v="0.02"/>
    <n v="0"/>
    <n v="2"/>
    <b v="0"/>
    <n v="0"/>
  </r>
  <r>
    <d v="2025-09-12T00:00:00"/>
    <x v="2"/>
    <n v="831"/>
    <n v="0.04"/>
    <n v="0"/>
    <n v="5"/>
    <b v="0"/>
    <n v="0"/>
  </r>
  <r>
    <d v="2025-09-12T00:00:00"/>
    <x v="3"/>
    <n v="578"/>
    <n v="0.15"/>
    <n v="0"/>
    <n v="2"/>
    <b v="0"/>
    <n v="0"/>
  </r>
  <r>
    <d v="2025-09-12T00:00:00"/>
    <x v="4"/>
    <n v="0"/>
    <n v="0.03"/>
    <n v="0"/>
    <n v="2"/>
    <b v="0"/>
    <n v="1"/>
  </r>
  <r>
    <d v="2025-09-13T00:00:00"/>
    <x v="0"/>
    <n v="571"/>
    <n v="0.05"/>
    <n v="0"/>
    <n v="5"/>
    <b v="0"/>
    <n v="0"/>
  </r>
  <r>
    <d v="2025-09-13T00:00:00"/>
    <x v="1"/>
    <n v="145"/>
    <n v="0.02"/>
    <n v="0"/>
    <n v="2"/>
    <b v="0"/>
    <n v="0"/>
  </r>
  <r>
    <d v="2025-09-13T00:00:00"/>
    <x v="2"/>
    <n v="768"/>
    <n v="0.04"/>
    <n v="0"/>
    <n v="5"/>
    <b v="0"/>
    <n v="0"/>
  </r>
  <r>
    <d v="2025-09-13T00:00:00"/>
    <x v="3"/>
    <n v="796"/>
    <n v="0.15"/>
    <n v="0"/>
    <n v="2"/>
    <b v="0"/>
    <n v="0"/>
  </r>
  <r>
    <d v="2025-09-13T00:00:00"/>
    <x v="4"/>
    <n v="64"/>
    <n v="0.03"/>
    <n v="0"/>
    <n v="2"/>
    <b v="0"/>
    <n v="0"/>
  </r>
  <r>
    <d v="2025-09-14T00:00:00"/>
    <x v="0"/>
    <n v="761"/>
    <n v="0.05"/>
    <n v="0"/>
    <n v="5"/>
    <b v="0"/>
    <n v="0"/>
  </r>
  <r>
    <d v="2025-09-14T00:00:00"/>
    <x v="1"/>
    <n v="80"/>
    <n v="0.02"/>
    <n v="0"/>
    <n v="2"/>
    <b v="0"/>
    <n v="0"/>
  </r>
  <r>
    <d v="2025-09-14T00:00:00"/>
    <x v="2"/>
    <n v="509"/>
    <n v="0.04"/>
    <n v="0"/>
    <n v="15"/>
    <b v="0"/>
    <n v="0"/>
  </r>
  <r>
    <d v="2025-09-14T00:00:00"/>
    <x v="3"/>
    <n v="715"/>
    <n v="0.15"/>
    <n v="0"/>
    <n v="2"/>
    <b v="0"/>
    <n v="0"/>
  </r>
  <r>
    <d v="2025-09-14T00:00:00"/>
    <x v="4"/>
    <n v="584"/>
    <n v="0.03"/>
    <n v="0"/>
    <n v="2"/>
    <b v="0"/>
    <n v="0"/>
  </r>
  <r>
    <d v="2025-09-15T00:00:00"/>
    <x v="0"/>
    <n v="292"/>
    <n v="0.05"/>
    <n v="0"/>
    <n v="2"/>
    <b v="0"/>
    <n v="0"/>
  </r>
  <r>
    <d v="2025-09-15T00:00:00"/>
    <x v="1"/>
    <n v="347"/>
    <n v="0.02"/>
    <n v="0"/>
    <n v="5"/>
    <b v="0"/>
    <n v="0"/>
  </r>
  <r>
    <d v="2025-09-15T00:00:00"/>
    <x v="2"/>
    <n v="876"/>
    <n v="0.04"/>
    <n v="0"/>
    <n v="5"/>
    <b v="0"/>
    <n v="0"/>
  </r>
  <r>
    <d v="2025-09-15T00:00:00"/>
    <x v="3"/>
    <n v="672"/>
    <n v="0.15"/>
    <n v="0"/>
    <n v="2"/>
    <b v="0"/>
    <n v="0"/>
  </r>
  <r>
    <d v="2025-09-15T00:00:00"/>
    <x v="4"/>
    <n v="17"/>
    <n v="0.03"/>
    <n v="0"/>
    <n v="2"/>
    <b v="0"/>
    <n v="0"/>
  </r>
  <r>
    <d v="2025-09-16T00:00:00"/>
    <x v="0"/>
    <n v="851"/>
    <n v="0.05"/>
    <n v="0"/>
    <n v="5"/>
    <b v="0"/>
    <n v="0"/>
  </r>
  <r>
    <d v="2025-09-16T00:00:00"/>
    <x v="1"/>
    <n v="318"/>
    <n v="0.02"/>
    <n v="0"/>
    <n v="10"/>
    <b v="0"/>
    <n v="0"/>
  </r>
  <r>
    <d v="2025-09-16T00:00:00"/>
    <x v="2"/>
    <n v="328"/>
    <n v="0.04"/>
    <n v="0"/>
    <n v="5"/>
    <b v="0"/>
    <n v="0"/>
  </r>
  <r>
    <d v="2025-09-16T00:00:00"/>
    <x v="3"/>
    <n v="430"/>
    <n v="0.15"/>
    <n v="0"/>
    <n v="2"/>
    <b v="0"/>
    <n v="0"/>
  </r>
  <r>
    <d v="2025-09-16T00:00:00"/>
    <x v="4"/>
    <n v="752"/>
    <n v="0.03"/>
    <n v="0"/>
    <n v="5"/>
    <b v="0"/>
    <n v="0"/>
  </r>
  <r>
    <d v="2025-09-17T00:00:00"/>
    <x v="0"/>
    <n v="574"/>
    <n v="0.05"/>
    <n v="0"/>
    <n v="5"/>
    <b v="0"/>
    <n v="0"/>
  </r>
  <r>
    <d v="2025-09-17T00:00:00"/>
    <x v="1"/>
    <n v="706"/>
    <n v="0.02"/>
    <n v="0"/>
    <n v="2"/>
    <b v="0"/>
    <n v="0"/>
  </r>
  <r>
    <d v="2025-09-17T00:00:00"/>
    <x v="2"/>
    <n v="72"/>
    <n v="0.04"/>
    <n v="0"/>
    <n v="2"/>
    <b v="0"/>
    <n v="0"/>
  </r>
  <r>
    <d v="2025-09-17T00:00:00"/>
    <x v="3"/>
    <n v="527"/>
    <n v="0.15"/>
    <n v="0"/>
    <n v="5"/>
    <b v="0"/>
    <n v="0"/>
  </r>
  <r>
    <d v="2025-09-17T00:00:00"/>
    <x v="4"/>
    <n v="322"/>
    <n v="0.03"/>
    <n v="0"/>
    <n v="5"/>
    <b v="0"/>
    <n v="0"/>
  </r>
  <r>
    <d v="2025-09-18T00:00:00"/>
    <x v="0"/>
    <n v="286"/>
    <n v="0.05"/>
    <n v="0"/>
    <n v="2"/>
    <b v="0"/>
    <n v="0"/>
  </r>
  <r>
    <d v="2025-09-18T00:00:00"/>
    <x v="1"/>
    <n v="87"/>
    <n v="0.02"/>
    <n v="0"/>
    <n v="2"/>
    <b v="0"/>
    <n v="0"/>
  </r>
  <r>
    <d v="2025-09-18T00:00:00"/>
    <x v="2"/>
    <n v="208"/>
    <n v="0.04"/>
    <n v="0"/>
    <n v="2"/>
    <b v="0"/>
    <n v="0"/>
  </r>
  <r>
    <d v="2025-09-18T00:00:00"/>
    <x v="3"/>
    <n v="724"/>
    <n v="0.15"/>
    <n v="0"/>
    <n v="2"/>
    <b v="0"/>
    <n v="0"/>
  </r>
  <r>
    <d v="2025-09-18T00:00:00"/>
    <x v="4"/>
    <n v="751"/>
    <n v="0.03"/>
    <n v="0"/>
    <n v="5"/>
    <b v="0"/>
    <n v="0"/>
  </r>
  <r>
    <d v="2025-09-19T00:00:00"/>
    <x v="0"/>
    <n v="406"/>
    <n v="0.05"/>
    <n v="0"/>
    <n v="2"/>
    <b v="0"/>
    <n v="0"/>
  </r>
  <r>
    <d v="2025-09-19T00:00:00"/>
    <x v="1"/>
    <n v="427"/>
    <n v="0.02"/>
    <n v="0"/>
    <n v="2"/>
    <b v="0"/>
    <n v="0"/>
  </r>
  <r>
    <d v="2025-09-19T00:00:00"/>
    <x v="2"/>
    <n v="779"/>
    <n v="0.04"/>
    <n v="0"/>
    <n v="15"/>
    <b v="0"/>
    <n v="0"/>
  </r>
  <r>
    <d v="2025-09-19T00:00:00"/>
    <x v="3"/>
    <n v="159"/>
    <n v="0.15"/>
    <n v="0"/>
    <n v="2"/>
    <b v="0"/>
    <n v="0"/>
  </r>
  <r>
    <d v="2025-09-19T00:00:00"/>
    <x v="4"/>
    <n v="307"/>
    <n v="0.03"/>
    <n v="0"/>
    <n v="2"/>
    <b v="0"/>
    <n v="0"/>
  </r>
  <r>
    <d v="2025-09-20T00:00:00"/>
    <x v="0"/>
    <n v="86"/>
    <n v="0.05"/>
    <n v="0"/>
    <n v="5"/>
    <b v="0"/>
    <n v="0"/>
  </r>
  <r>
    <d v="2025-09-20T00:00:00"/>
    <x v="1"/>
    <n v="97"/>
    <n v="0.02"/>
    <n v="0"/>
    <n v="2"/>
    <b v="0"/>
    <n v="0"/>
  </r>
  <r>
    <d v="2025-09-20T00:00:00"/>
    <x v="2"/>
    <n v="663"/>
    <n v="0.04"/>
    <n v="0"/>
    <n v="2"/>
    <b v="0"/>
    <n v="0"/>
  </r>
  <r>
    <d v="2025-09-20T00:00:00"/>
    <x v="3"/>
    <n v="193"/>
    <n v="0.15"/>
    <n v="0"/>
    <n v="15"/>
    <b v="0"/>
    <n v="0"/>
  </r>
  <r>
    <d v="2025-09-20T00:00:00"/>
    <x v="4"/>
    <n v="267"/>
    <n v="0.03"/>
    <n v="0"/>
    <n v="2"/>
    <b v="0"/>
    <n v="0"/>
  </r>
  <r>
    <d v="2025-09-21T00:00:00"/>
    <x v="0"/>
    <n v="411"/>
    <n v="0.05"/>
    <n v="0"/>
    <n v="2"/>
    <b v="0"/>
    <n v="0"/>
  </r>
  <r>
    <d v="2025-09-21T00:00:00"/>
    <x v="1"/>
    <n v="172"/>
    <n v="0.02"/>
    <n v="0"/>
    <n v="2"/>
    <b v="0"/>
    <n v="0"/>
  </r>
  <r>
    <d v="2025-09-21T00:00:00"/>
    <x v="2"/>
    <n v="286"/>
    <n v="0.04"/>
    <n v="0"/>
    <n v="10"/>
    <b v="0"/>
    <n v="0"/>
  </r>
  <r>
    <d v="2025-09-21T00:00:00"/>
    <x v="3"/>
    <n v="465"/>
    <n v="0.15"/>
    <n v="0"/>
    <n v="5"/>
    <b v="0"/>
    <n v="0"/>
  </r>
  <r>
    <d v="2025-09-21T00:00:00"/>
    <x v="4"/>
    <n v="878"/>
    <n v="0.03"/>
    <n v="0"/>
    <n v="2"/>
    <b v="0"/>
    <n v="0"/>
  </r>
  <r>
    <d v="2025-09-22T00:00:00"/>
    <x v="0"/>
    <n v="405"/>
    <n v="0.05"/>
    <n v="0"/>
    <n v="5"/>
    <b v="0"/>
    <n v="0"/>
  </r>
  <r>
    <d v="2025-09-22T00:00:00"/>
    <x v="1"/>
    <n v="733"/>
    <n v="0.02"/>
    <n v="0"/>
    <n v="5"/>
    <b v="0"/>
    <n v="0"/>
  </r>
  <r>
    <d v="2025-09-22T00:00:00"/>
    <x v="2"/>
    <n v="321"/>
    <n v="0.04"/>
    <n v="0"/>
    <n v="5"/>
    <b v="0"/>
    <n v="0"/>
  </r>
  <r>
    <d v="2025-09-22T00:00:00"/>
    <x v="3"/>
    <n v="846"/>
    <n v="0.15"/>
    <n v="0"/>
    <n v="2"/>
    <b v="0"/>
    <n v="0"/>
  </r>
  <r>
    <d v="2025-09-22T00:00:00"/>
    <x v="4"/>
    <n v="726"/>
    <n v="0.03"/>
    <n v="0"/>
    <n v="2"/>
    <b v="0"/>
    <n v="0"/>
  </r>
  <r>
    <d v="2025-09-23T00:00:00"/>
    <x v="0"/>
    <n v="0"/>
    <n v="0.05"/>
    <n v="0"/>
    <n v="2"/>
    <b v="0"/>
    <n v="1"/>
  </r>
  <r>
    <d v="2025-09-23T00:00:00"/>
    <x v="1"/>
    <n v="495"/>
    <n v="0.02"/>
    <n v="0"/>
    <n v="2"/>
    <b v="0"/>
    <n v="0"/>
  </r>
  <r>
    <d v="2025-09-23T00:00:00"/>
    <x v="2"/>
    <n v="539"/>
    <n v="0.04"/>
    <n v="0"/>
    <n v="2"/>
    <b v="0"/>
    <n v="0"/>
  </r>
  <r>
    <d v="2025-09-23T00:00:00"/>
    <x v="3"/>
    <n v="330"/>
    <n v="0.15"/>
    <n v="0"/>
    <n v="5"/>
    <b v="0"/>
    <n v="0"/>
  </r>
  <r>
    <d v="2025-09-23T00:00:00"/>
    <x v="4"/>
    <n v="830"/>
    <n v="0.03"/>
    <n v="0"/>
    <n v="2"/>
    <b v="0"/>
    <n v="0"/>
  </r>
  <r>
    <d v="2025-09-24T00:00:00"/>
    <x v="0"/>
    <n v="53"/>
    <n v="0.05"/>
    <n v="0"/>
    <n v="5"/>
    <b v="0"/>
    <n v="0"/>
  </r>
  <r>
    <d v="2025-09-24T00:00:00"/>
    <x v="1"/>
    <n v="829"/>
    <n v="0.02"/>
    <n v="0"/>
    <n v="5"/>
    <b v="0"/>
    <n v="0"/>
  </r>
  <r>
    <d v="2025-09-24T00:00:00"/>
    <x v="2"/>
    <n v="585"/>
    <n v="0.04"/>
    <n v="0"/>
    <n v="2"/>
    <b v="0"/>
    <n v="0"/>
  </r>
  <r>
    <d v="2025-09-24T00:00:00"/>
    <x v="3"/>
    <n v="549"/>
    <n v="0.15"/>
    <n v="0"/>
    <n v="2"/>
    <b v="0"/>
    <n v="0"/>
  </r>
  <r>
    <d v="2025-09-24T00:00:00"/>
    <x v="4"/>
    <n v="423"/>
    <n v="0.03"/>
    <n v="0"/>
    <n v="2"/>
    <b v="0"/>
    <n v="0"/>
  </r>
  <r>
    <d v="2025-09-25T00:00:00"/>
    <x v="0"/>
    <n v="558"/>
    <n v="0.05"/>
    <n v="0"/>
    <n v="2"/>
    <b v="0"/>
    <n v="0"/>
  </r>
  <r>
    <d v="2025-09-25T00:00:00"/>
    <x v="1"/>
    <n v="405"/>
    <n v="0.02"/>
    <n v="0"/>
    <n v="2"/>
    <b v="0"/>
    <n v="0"/>
  </r>
  <r>
    <d v="2025-09-25T00:00:00"/>
    <x v="2"/>
    <n v="312"/>
    <n v="0.04"/>
    <n v="0"/>
    <n v="2"/>
    <b v="0"/>
    <n v="0"/>
  </r>
  <r>
    <d v="2025-09-25T00:00:00"/>
    <x v="3"/>
    <n v="707"/>
    <n v="0.15"/>
    <n v="0"/>
    <n v="2"/>
    <b v="0"/>
    <n v="0"/>
  </r>
  <r>
    <d v="2025-09-25T00:00:00"/>
    <x v="4"/>
    <n v="645"/>
    <n v="0.03"/>
    <n v="0"/>
    <n v="2"/>
    <b v="0"/>
    <n v="0"/>
  </r>
  <r>
    <d v="2025-09-26T00:00:00"/>
    <x v="0"/>
    <n v="0"/>
    <n v="0.05"/>
    <n v="0"/>
    <n v="2"/>
    <b v="0"/>
    <n v="1"/>
  </r>
  <r>
    <d v="2025-09-26T00:00:00"/>
    <x v="1"/>
    <n v="262"/>
    <n v="0.02"/>
    <n v="0"/>
    <n v="2"/>
    <b v="0"/>
    <n v="0"/>
  </r>
  <r>
    <d v="2025-09-26T00:00:00"/>
    <x v="2"/>
    <n v="285"/>
    <n v="0.04"/>
    <n v="0"/>
    <n v="5"/>
    <b v="0"/>
    <n v="0"/>
  </r>
  <r>
    <d v="2025-09-26T00:00:00"/>
    <x v="3"/>
    <n v="614"/>
    <n v="0.15"/>
    <n v="0"/>
    <n v="5"/>
    <b v="0"/>
    <n v="0"/>
  </r>
  <r>
    <d v="2025-09-26T00:00:00"/>
    <x v="4"/>
    <n v="129"/>
    <n v="0.03"/>
    <n v="0"/>
    <n v="2"/>
    <b v="0"/>
    <n v="0"/>
  </r>
  <r>
    <d v="2025-09-27T00:00:00"/>
    <x v="0"/>
    <n v="655"/>
    <n v="0.05"/>
    <n v="0"/>
    <n v="5"/>
    <b v="0"/>
    <n v="0"/>
  </r>
  <r>
    <d v="2025-09-27T00:00:00"/>
    <x v="1"/>
    <n v="373"/>
    <n v="0.02"/>
    <n v="0"/>
    <n v="5"/>
    <b v="0"/>
    <n v="0"/>
  </r>
  <r>
    <d v="2025-09-27T00:00:00"/>
    <x v="2"/>
    <n v="606"/>
    <n v="0.04"/>
    <n v="0"/>
    <n v="2"/>
    <b v="0"/>
    <n v="0"/>
  </r>
  <r>
    <d v="2025-09-27T00:00:00"/>
    <x v="3"/>
    <n v="224"/>
    <n v="0.15"/>
    <n v="0"/>
    <n v="2"/>
    <b v="0"/>
    <n v="0"/>
  </r>
  <r>
    <d v="2025-09-27T00:00:00"/>
    <x v="4"/>
    <n v="341"/>
    <n v="0.03"/>
    <n v="0"/>
    <n v="15"/>
    <b v="0"/>
    <n v="0"/>
  </r>
  <r>
    <d v="2025-09-28T00:00:00"/>
    <x v="0"/>
    <n v="848"/>
    <n v="0.05"/>
    <n v="0"/>
    <n v="2"/>
    <b v="0"/>
    <n v="0"/>
  </r>
  <r>
    <d v="2025-09-28T00:00:00"/>
    <x v="1"/>
    <n v="310"/>
    <n v="0.02"/>
    <n v="0"/>
    <n v="2"/>
    <b v="0"/>
    <n v="0"/>
  </r>
  <r>
    <d v="2025-09-28T00:00:00"/>
    <x v="2"/>
    <n v="112"/>
    <n v="0.04"/>
    <n v="0"/>
    <n v="2"/>
    <b v="0"/>
    <n v="0"/>
  </r>
  <r>
    <d v="2025-09-28T00:00:00"/>
    <x v="3"/>
    <n v="390"/>
    <n v="0.15"/>
    <n v="0"/>
    <n v="2"/>
    <b v="0"/>
    <n v="0"/>
  </r>
  <r>
    <d v="2025-09-28T00:00:00"/>
    <x v="4"/>
    <n v="653"/>
    <n v="0.03"/>
    <n v="0"/>
    <n v="2"/>
    <b v="0"/>
    <n v="0"/>
  </r>
  <r>
    <d v="2025-09-29T00:00:00"/>
    <x v="0"/>
    <n v="438"/>
    <n v="0.05"/>
    <n v="0"/>
    <n v="2"/>
    <b v="0"/>
    <n v="0"/>
  </r>
  <r>
    <d v="2025-09-29T00:00:00"/>
    <x v="1"/>
    <n v="844"/>
    <n v="0.02"/>
    <n v="0"/>
    <n v="2"/>
    <b v="0"/>
    <n v="0"/>
  </r>
  <r>
    <d v="2025-09-29T00:00:00"/>
    <x v="2"/>
    <n v="878"/>
    <n v="0.04"/>
    <n v="0"/>
    <n v="5"/>
    <b v="0"/>
    <n v="0"/>
  </r>
  <r>
    <d v="2025-09-29T00:00:00"/>
    <x v="3"/>
    <n v="326"/>
    <n v="0.15"/>
    <n v="0"/>
    <n v="2"/>
    <b v="0"/>
    <n v="0"/>
  </r>
  <r>
    <d v="2025-09-29T00:00:00"/>
    <x v="4"/>
    <n v="153"/>
    <n v="0.03"/>
    <n v="0"/>
    <n v="2"/>
    <b v="0"/>
    <n v="0"/>
  </r>
  <r>
    <d v="2025-09-30T00:00:00"/>
    <x v="0"/>
    <n v="159"/>
    <n v="0.05"/>
    <n v="0"/>
    <n v="5"/>
    <b v="0"/>
    <n v="0"/>
  </r>
  <r>
    <d v="2025-09-30T00:00:00"/>
    <x v="1"/>
    <n v="580"/>
    <n v="0.02"/>
    <n v="0"/>
    <n v="5"/>
    <b v="0"/>
    <n v="0"/>
  </r>
  <r>
    <d v="2025-09-30T00:00:00"/>
    <x v="2"/>
    <n v="800"/>
    <n v="0.04"/>
    <n v="0"/>
    <n v="5"/>
    <b v="0"/>
    <n v="0"/>
  </r>
  <r>
    <d v="2025-09-30T00:00:00"/>
    <x v="3"/>
    <n v="595"/>
    <n v="0.15"/>
    <n v="0"/>
    <n v="5"/>
    <b v="0"/>
    <n v="0"/>
  </r>
  <r>
    <d v="2025-09-30T00:00:00"/>
    <x v="4"/>
    <n v="147"/>
    <n v="0.03"/>
    <n v="0"/>
    <n v="5"/>
    <b v="0"/>
    <n v="0"/>
  </r>
  <r>
    <d v="2025-10-01T00:00:00"/>
    <x v="0"/>
    <n v="454"/>
    <n v="0.05"/>
    <n v="0"/>
    <n v="2"/>
    <b v="0"/>
    <n v="0"/>
  </r>
  <r>
    <d v="2025-10-01T00:00:00"/>
    <x v="1"/>
    <n v="214"/>
    <n v="0.02"/>
    <n v="0"/>
    <n v="2"/>
    <b v="0"/>
    <n v="0"/>
  </r>
  <r>
    <d v="2025-10-01T00:00:00"/>
    <x v="2"/>
    <n v="508"/>
    <n v="0.04"/>
    <n v="0"/>
    <n v="2"/>
    <b v="0"/>
    <n v="0"/>
  </r>
  <r>
    <d v="2025-10-01T00:00:00"/>
    <x v="3"/>
    <n v="739"/>
    <n v="0.15"/>
    <n v="0"/>
    <n v="5"/>
    <b v="0"/>
    <n v="0"/>
  </r>
  <r>
    <d v="2025-10-01T00:00:00"/>
    <x v="4"/>
    <n v="525"/>
    <n v="0.03"/>
    <n v="0"/>
    <n v="2"/>
    <b v="0"/>
    <n v="0"/>
  </r>
  <r>
    <d v="2025-10-02T00:00:00"/>
    <x v="0"/>
    <n v="616"/>
    <n v="0.05"/>
    <n v="0"/>
    <n v="2"/>
    <b v="0"/>
    <n v="0"/>
  </r>
  <r>
    <d v="2025-10-02T00:00:00"/>
    <x v="1"/>
    <n v="188"/>
    <n v="0.02"/>
    <n v="0"/>
    <n v="5"/>
    <b v="0"/>
    <n v="0"/>
  </r>
  <r>
    <d v="2025-10-02T00:00:00"/>
    <x v="2"/>
    <n v="387"/>
    <n v="0.04"/>
    <n v="0"/>
    <n v="5"/>
    <b v="0"/>
    <n v="0"/>
  </r>
  <r>
    <d v="2025-10-02T00:00:00"/>
    <x v="3"/>
    <n v="649"/>
    <n v="0.15"/>
    <n v="0"/>
    <n v="5"/>
    <b v="0"/>
    <n v="0"/>
  </r>
  <r>
    <d v="2025-10-02T00:00:00"/>
    <x v="4"/>
    <n v="222"/>
    <n v="0.03"/>
    <n v="0"/>
    <n v="2"/>
    <b v="0"/>
    <n v="0"/>
  </r>
  <r>
    <d v="2025-10-03T00:00:00"/>
    <x v="0"/>
    <n v="556"/>
    <n v="0.05"/>
    <n v="0"/>
    <n v="10"/>
    <b v="0"/>
    <n v="0"/>
  </r>
  <r>
    <d v="2025-10-03T00:00:00"/>
    <x v="1"/>
    <n v="592"/>
    <n v="0.02"/>
    <n v="0"/>
    <n v="2"/>
    <b v="0"/>
    <n v="0"/>
  </r>
  <r>
    <d v="2025-10-03T00:00:00"/>
    <x v="2"/>
    <n v="172"/>
    <n v="0.04"/>
    <n v="0"/>
    <n v="2"/>
    <b v="0"/>
    <n v="0"/>
  </r>
  <r>
    <d v="2025-10-03T00:00:00"/>
    <x v="3"/>
    <n v="331"/>
    <n v="0.15"/>
    <n v="0"/>
    <n v="2"/>
    <b v="0"/>
    <n v="0"/>
  </r>
  <r>
    <d v="2025-10-03T00:00:00"/>
    <x v="4"/>
    <n v="395"/>
    <n v="0.03"/>
    <n v="0"/>
    <n v="5"/>
    <b v="0"/>
    <n v="0"/>
  </r>
  <r>
    <d v="2025-10-04T00:00:00"/>
    <x v="0"/>
    <n v="512"/>
    <n v="0.05"/>
    <n v="0"/>
    <n v="10"/>
    <b v="0"/>
    <n v="0"/>
  </r>
  <r>
    <d v="2025-10-04T00:00:00"/>
    <x v="1"/>
    <n v="454"/>
    <n v="0.02"/>
    <n v="0"/>
    <n v="2"/>
    <b v="0"/>
    <n v="0"/>
  </r>
  <r>
    <d v="2025-10-04T00:00:00"/>
    <x v="2"/>
    <n v="747"/>
    <n v="0.04"/>
    <n v="0"/>
    <n v="2"/>
    <b v="0"/>
    <n v="0"/>
  </r>
  <r>
    <d v="2025-10-04T00:00:00"/>
    <x v="3"/>
    <n v="824"/>
    <n v="0.15"/>
    <n v="0"/>
    <n v="2"/>
    <b v="0"/>
    <n v="0"/>
  </r>
  <r>
    <d v="2025-10-04T00:00:00"/>
    <x v="4"/>
    <n v="189"/>
    <n v="0.03"/>
    <n v="0"/>
    <n v="2"/>
    <b v="0"/>
    <n v="0"/>
  </r>
  <r>
    <d v="2025-10-05T00:00:00"/>
    <x v="0"/>
    <n v="653"/>
    <n v="0.05"/>
    <n v="0"/>
    <n v="2"/>
    <b v="0"/>
    <n v="0"/>
  </r>
  <r>
    <d v="2025-10-05T00:00:00"/>
    <x v="1"/>
    <n v="75"/>
    <n v="0.02"/>
    <n v="0"/>
    <n v="10"/>
    <b v="0"/>
    <n v="0"/>
  </r>
  <r>
    <d v="2025-10-05T00:00:00"/>
    <x v="2"/>
    <n v="104"/>
    <n v="0.04"/>
    <n v="0"/>
    <n v="2"/>
    <b v="0"/>
    <n v="0"/>
  </r>
  <r>
    <d v="2025-10-05T00:00:00"/>
    <x v="3"/>
    <n v="293"/>
    <n v="0.15"/>
    <n v="0"/>
    <n v="5"/>
    <b v="0"/>
    <n v="0"/>
  </r>
  <r>
    <d v="2025-10-05T00:00:00"/>
    <x v="4"/>
    <n v="650"/>
    <n v="0.03"/>
    <n v="0"/>
    <n v="2"/>
    <b v="0"/>
    <n v="0"/>
  </r>
  <r>
    <d v="2025-10-06T00:00:00"/>
    <x v="0"/>
    <n v="454"/>
    <n v="0.05"/>
    <n v="0"/>
    <n v="2"/>
    <b v="0"/>
    <n v="0"/>
  </r>
  <r>
    <d v="2025-10-06T00:00:00"/>
    <x v="1"/>
    <n v="575"/>
    <n v="0.02"/>
    <n v="0"/>
    <n v="2"/>
    <b v="0"/>
    <n v="0"/>
  </r>
  <r>
    <d v="2025-10-06T00:00:00"/>
    <x v="2"/>
    <n v="836"/>
    <n v="0.04"/>
    <n v="0"/>
    <n v="5"/>
    <b v="0"/>
    <n v="0"/>
  </r>
  <r>
    <d v="2025-10-06T00:00:00"/>
    <x v="3"/>
    <n v="739"/>
    <n v="0.15"/>
    <n v="0"/>
    <n v="2"/>
    <b v="0"/>
    <n v="0"/>
  </r>
  <r>
    <d v="2025-10-06T00:00:00"/>
    <x v="4"/>
    <n v="655"/>
    <n v="0.03"/>
    <n v="0"/>
    <n v="2"/>
    <b v="0"/>
    <n v="0"/>
  </r>
  <r>
    <d v="2025-10-07T00:00:00"/>
    <x v="0"/>
    <n v="443"/>
    <n v="0.05"/>
    <n v="0"/>
    <n v="15"/>
    <b v="0"/>
    <n v="0"/>
  </r>
  <r>
    <d v="2025-10-07T00:00:00"/>
    <x v="1"/>
    <n v="276"/>
    <n v="0.02"/>
    <n v="0"/>
    <n v="5"/>
    <b v="0"/>
    <n v="0"/>
  </r>
  <r>
    <d v="2025-10-07T00:00:00"/>
    <x v="2"/>
    <n v="621"/>
    <n v="0.04"/>
    <n v="0"/>
    <n v="2"/>
    <b v="0"/>
    <n v="0"/>
  </r>
  <r>
    <d v="2025-10-07T00:00:00"/>
    <x v="3"/>
    <n v="813"/>
    <n v="0.15"/>
    <n v="0"/>
    <n v="5"/>
    <b v="0"/>
    <n v="0"/>
  </r>
  <r>
    <d v="2025-10-07T00:00:00"/>
    <x v="4"/>
    <n v="91"/>
    <n v="0.03"/>
    <n v="0"/>
    <n v="2"/>
    <b v="0"/>
    <n v="0"/>
  </r>
  <r>
    <d v="2025-10-08T00:00:00"/>
    <x v="0"/>
    <n v="789"/>
    <n v="0.05"/>
    <n v="0"/>
    <n v="2"/>
    <b v="0"/>
    <n v="0"/>
  </r>
  <r>
    <d v="2025-10-08T00:00:00"/>
    <x v="1"/>
    <n v="112"/>
    <n v="0.02"/>
    <n v="0"/>
    <n v="2"/>
    <b v="0"/>
    <n v="0"/>
  </r>
  <r>
    <d v="2025-10-08T00:00:00"/>
    <x v="2"/>
    <n v="723"/>
    <n v="0.04"/>
    <n v="0"/>
    <n v="5"/>
    <b v="0"/>
    <n v="0"/>
  </r>
  <r>
    <d v="2025-10-08T00:00:00"/>
    <x v="3"/>
    <n v="28"/>
    <n v="0.15"/>
    <n v="0"/>
    <n v="2"/>
    <b v="0"/>
    <n v="0"/>
  </r>
  <r>
    <d v="2025-10-08T00:00:00"/>
    <x v="4"/>
    <n v="298"/>
    <n v="0.03"/>
    <n v="0"/>
    <n v="2"/>
    <b v="0"/>
    <n v="0"/>
  </r>
  <r>
    <d v="2025-10-09T00:00:00"/>
    <x v="0"/>
    <n v="571"/>
    <n v="0.05"/>
    <n v="0"/>
    <n v="2"/>
    <b v="0"/>
    <n v="0"/>
  </r>
  <r>
    <d v="2025-10-09T00:00:00"/>
    <x v="1"/>
    <n v="111"/>
    <n v="0.02"/>
    <n v="0"/>
    <n v="2"/>
    <b v="0"/>
    <n v="0"/>
  </r>
  <r>
    <d v="2025-10-09T00:00:00"/>
    <x v="2"/>
    <n v="780"/>
    <n v="0.04"/>
    <n v="0"/>
    <n v="2"/>
    <b v="0"/>
    <n v="0"/>
  </r>
  <r>
    <d v="2025-10-09T00:00:00"/>
    <x v="3"/>
    <n v="489"/>
    <n v="0.15"/>
    <n v="0"/>
    <n v="2"/>
    <b v="0"/>
    <n v="0"/>
  </r>
  <r>
    <d v="2025-10-09T00:00:00"/>
    <x v="4"/>
    <n v="664"/>
    <n v="0.03"/>
    <n v="0"/>
    <n v="2"/>
    <b v="0"/>
    <n v="0"/>
  </r>
  <r>
    <d v="2025-10-10T00:00:00"/>
    <x v="0"/>
    <n v="445"/>
    <n v="0.05"/>
    <n v="0"/>
    <n v="2"/>
    <b v="0"/>
    <n v="0"/>
  </r>
  <r>
    <d v="2025-10-10T00:00:00"/>
    <x v="1"/>
    <n v="515"/>
    <n v="0.02"/>
    <n v="0"/>
    <n v="5"/>
    <b v="0"/>
    <n v="0"/>
  </r>
  <r>
    <d v="2025-10-10T00:00:00"/>
    <x v="2"/>
    <n v="602"/>
    <n v="0.04"/>
    <n v="0"/>
    <n v="2"/>
    <b v="0"/>
    <n v="0"/>
  </r>
  <r>
    <d v="2025-10-10T00:00:00"/>
    <x v="3"/>
    <n v="769"/>
    <n v="0.15"/>
    <n v="0"/>
    <n v="5"/>
    <b v="0"/>
    <n v="0"/>
  </r>
  <r>
    <d v="2025-10-10T00:00:00"/>
    <x v="4"/>
    <n v="384"/>
    <n v="0.03"/>
    <n v="0"/>
    <n v="2"/>
    <b v="0"/>
    <n v="0"/>
  </r>
  <r>
    <d v="2025-10-11T00:00:00"/>
    <x v="0"/>
    <n v="364"/>
    <n v="0.05"/>
    <n v="0"/>
    <n v="2"/>
    <b v="0"/>
    <n v="0"/>
  </r>
  <r>
    <d v="2025-10-11T00:00:00"/>
    <x v="1"/>
    <n v="813"/>
    <n v="0.02"/>
    <n v="0"/>
    <n v="5"/>
    <b v="0"/>
    <n v="0"/>
  </r>
  <r>
    <d v="2025-10-11T00:00:00"/>
    <x v="2"/>
    <n v="177"/>
    <n v="0.04"/>
    <n v="0"/>
    <n v="15"/>
    <b v="0"/>
    <n v="0"/>
  </r>
  <r>
    <d v="2025-10-11T00:00:00"/>
    <x v="3"/>
    <n v="704"/>
    <n v="0.15"/>
    <n v="0"/>
    <n v="2"/>
    <b v="0"/>
    <n v="0"/>
  </r>
  <r>
    <d v="2025-10-11T00:00:00"/>
    <x v="4"/>
    <n v="148"/>
    <n v="0.03"/>
    <n v="0"/>
    <n v="2"/>
    <b v="0"/>
    <n v="0"/>
  </r>
  <r>
    <d v="2025-10-12T00:00:00"/>
    <x v="0"/>
    <n v="185"/>
    <n v="0.05"/>
    <n v="0"/>
    <n v="2"/>
    <b v="0"/>
    <n v="0"/>
  </r>
  <r>
    <d v="2025-10-12T00:00:00"/>
    <x v="1"/>
    <n v="110"/>
    <n v="0.02"/>
    <n v="0"/>
    <n v="2"/>
    <b v="0"/>
    <n v="0"/>
  </r>
  <r>
    <d v="2025-10-12T00:00:00"/>
    <x v="2"/>
    <n v="824"/>
    <n v="0.04"/>
    <n v="0"/>
    <n v="2"/>
    <b v="0"/>
    <n v="0"/>
  </r>
  <r>
    <d v="2025-10-12T00:00:00"/>
    <x v="3"/>
    <n v="846"/>
    <n v="0.15"/>
    <n v="0"/>
    <n v="2"/>
    <b v="0"/>
    <n v="0"/>
  </r>
  <r>
    <d v="2025-10-12T00:00:00"/>
    <x v="4"/>
    <n v="812"/>
    <n v="0.03"/>
    <n v="0"/>
    <n v="5"/>
    <b v="0"/>
    <n v="0"/>
  </r>
  <r>
    <d v="2025-10-13T00:00:00"/>
    <x v="0"/>
    <n v="198"/>
    <n v="0.05"/>
    <n v="0"/>
    <n v="2"/>
    <b v="0"/>
    <n v="0"/>
  </r>
  <r>
    <d v="2025-10-13T00:00:00"/>
    <x v="1"/>
    <n v="621"/>
    <n v="0.02"/>
    <n v="0"/>
    <n v="2"/>
    <b v="0"/>
    <n v="0"/>
  </r>
  <r>
    <d v="2025-10-13T00:00:00"/>
    <x v="2"/>
    <n v="163"/>
    <n v="0.04"/>
    <n v="0"/>
    <n v="5"/>
    <b v="0"/>
    <n v="0"/>
  </r>
  <r>
    <d v="2025-10-13T00:00:00"/>
    <x v="3"/>
    <n v="91"/>
    <n v="0.15"/>
    <n v="0"/>
    <n v="2"/>
    <b v="0"/>
    <n v="0"/>
  </r>
  <r>
    <d v="2025-10-13T00:00:00"/>
    <x v="4"/>
    <n v="564"/>
    <n v="0.03"/>
    <n v="0"/>
    <n v="2"/>
    <b v="0"/>
    <n v="0"/>
  </r>
  <r>
    <d v="2025-10-14T00:00:00"/>
    <x v="0"/>
    <n v="626"/>
    <n v="0.05"/>
    <n v="0"/>
    <n v="2"/>
    <b v="0"/>
    <n v="0"/>
  </r>
  <r>
    <d v="2025-10-14T00:00:00"/>
    <x v="1"/>
    <n v="373"/>
    <n v="0.02"/>
    <n v="0"/>
    <n v="5"/>
    <b v="0"/>
    <n v="0"/>
  </r>
  <r>
    <d v="2025-10-14T00:00:00"/>
    <x v="2"/>
    <n v="235"/>
    <n v="0.04"/>
    <n v="0"/>
    <n v="2"/>
    <b v="0"/>
    <n v="0"/>
  </r>
  <r>
    <d v="2025-10-14T00:00:00"/>
    <x v="3"/>
    <n v="269"/>
    <n v="0.15"/>
    <n v="0"/>
    <n v="2"/>
    <b v="0"/>
    <n v="0"/>
  </r>
  <r>
    <d v="2025-10-14T00:00:00"/>
    <x v="4"/>
    <n v="347"/>
    <n v="0.03"/>
    <n v="0"/>
    <n v="15"/>
    <b v="0"/>
    <n v="0"/>
  </r>
  <r>
    <d v="2025-10-15T00:00:00"/>
    <x v="0"/>
    <n v="651"/>
    <n v="0.05"/>
    <n v="0"/>
    <n v="2"/>
    <b v="0"/>
    <n v="0"/>
  </r>
  <r>
    <d v="2025-10-15T00:00:00"/>
    <x v="1"/>
    <n v="528"/>
    <n v="0.02"/>
    <n v="0"/>
    <n v="10"/>
    <b v="0"/>
    <n v="0"/>
  </r>
  <r>
    <d v="2025-10-15T00:00:00"/>
    <x v="2"/>
    <n v="74"/>
    <n v="0.04"/>
    <n v="0"/>
    <n v="2"/>
    <b v="0"/>
    <n v="0"/>
  </r>
  <r>
    <d v="2025-10-15T00:00:00"/>
    <x v="3"/>
    <n v="248"/>
    <n v="0.15"/>
    <n v="0"/>
    <n v="5"/>
    <b v="0"/>
    <n v="0"/>
  </r>
  <r>
    <d v="2025-10-15T00:00:00"/>
    <x v="4"/>
    <n v="295"/>
    <n v="0.03"/>
    <n v="0"/>
    <n v="2"/>
    <b v="0"/>
    <n v="0"/>
  </r>
  <r>
    <d v="2025-10-16T00:00:00"/>
    <x v="0"/>
    <n v="698"/>
    <n v="0.05"/>
    <n v="0"/>
    <n v="2"/>
    <b v="0"/>
    <n v="0"/>
  </r>
  <r>
    <d v="2025-10-16T00:00:00"/>
    <x v="1"/>
    <n v="535"/>
    <n v="0.02"/>
    <n v="0"/>
    <n v="2"/>
    <b v="0"/>
    <n v="0"/>
  </r>
  <r>
    <d v="2025-10-16T00:00:00"/>
    <x v="2"/>
    <n v="257"/>
    <n v="0.04"/>
    <n v="0"/>
    <n v="2"/>
    <b v="0"/>
    <n v="0"/>
  </r>
  <r>
    <d v="2025-10-16T00:00:00"/>
    <x v="3"/>
    <n v="839"/>
    <n v="0.15"/>
    <n v="0"/>
    <n v="2"/>
    <b v="0"/>
    <n v="0"/>
  </r>
  <r>
    <d v="2025-10-16T00:00:00"/>
    <x v="4"/>
    <n v="664"/>
    <n v="0.03"/>
    <n v="0"/>
    <n v="2"/>
    <b v="0"/>
    <n v="0"/>
  </r>
  <r>
    <d v="2025-10-17T00:00:00"/>
    <x v="0"/>
    <n v="163"/>
    <n v="0.05"/>
    <n v="0"/>
    <n v="2"/>
    <b v="0"/>
    <n v="0"/>
  </r>
  <r>
    <d v="2025-10-17T00:00:00"/>
    <x v="1"/>
    <n v="157"/>
    <n v="0.02"/>
    <n v="0"/>
    <n v="2"/>
    <b v="0"/>
    <n v="0"/>
  </r>
  <r>
    <d v="2025-10-17T00:00:00"/>
    <x v="2"/>
    <n v="260"/>
    <n v="0.04"/>
    <n v="0"/>
    <n v="5"/>
    <b v="0"/>
    <n v="0"/>
  </r>
  <r>
    <d v="2025-10-17T00:00:00"/>
    <x v="3"/>
    <n v="321"/>
    <n v="0.15"/>
    <n v="0"/>
    <n v="2"/>
    <b v="0"/>
    <n v="0"/>
  </r>
  <r>
    <d v="2025-10-17T00:00:00"/>
    <x v="4"/>
    <n v="783"/>
    <n v="0.03"/>
    <n v="0"/>
    <n v="2"/>
    <b v="0"/>
    <n v="0"/>
  </r>
  <r>
    <d v="2025-10-18T00:00:00"/>
    <x v="0"/>
    <n v="183"/>
    <n v="0.05"/>
    <n v="0"/>
    <n v="2"/>
    <b v="0"/>
    <n v="0"/>
  </r>
  <r>
    <d v="2025-10-18T00:00:00"/>
    <x v="1"/>
    <n v="895"/>
    <n v="0.02"/>
    <n v="0"/>
    <n v="2"/>
    <b v="0"/>
    <n v="0"/>
  </r>
  <r>
    <d v="2025-10-18T00:00:00"/>
    <x v="2"/>
    <n v="152"/>
    <n v="0.04"/>
    <n v="0"/>
    <n v="2"/>
    <b v="0"/>
    <n v="0"/>
  </r>
  <r>
    <d v="2025-10-18T00:00:00"/>
    <x v="3"/>
    <n v="247"/>
    <n v="0.15"/>
    <n v="0"/>
    <n v="2"/>
    <b v="0"/>
    <n v="0"/>
  </r>
  <r>
    <d v="2025-10-18T00:00:00"/>
    <x v="4"/>
    <n v="788"/>
    <n v="0.03"/>
    <n v="0"/>
    <n v="2"/>
    <b v="0"/>
    <n v="0"/>
  </r>
  <r>
    <d v="2025-10-19T00:00:00"/>
    <x v="0"/>
    <n v="363"/>
    <n v="0.05"/>
    <n v="0"/>
    <n v="2"/>
    <b v="0"/>
    <n v="0"/>
  </r>
  <r>
    <d v="2025-10-19T00:00:00"/>
    <x v="1"/>
    <n v="135"/>
    <n v="0.02"/>
    <n v="0"/>
    <n v="2"/>
    <b v="0"/>
    <n v="0"/>
  </r>
  <r>
    <d v="2025-10-19T00:00:00"/>
    <x v="2"/>
    <n v="36"/>
    <n v="0.04"/>
    <n v="0"/>
    <n v="5"/>
    <b v="0"/>
    <n v="0"/>
  </r>
  <r>
    <d v="2025-10-19T00:00:00"/>
    <x v="3"/>
    <n v="586"/>
    <n v="0.15"/>
    <n v="0"/>
    <n v="2"/>
    <b v="0"/>
    <n v="0"/>
  </r>
  <r>
    <d v="2025-10-19T00:00:00"/>
    <x v="4"/>
    <n v="90"/>
    <n v="0.03"/>
    <n v="0"/>
    <n v="2"/>
    <b v="0"/>
    <n v="0"/>
  </r>
  <r>
    <d v="2025-10-20T00:00:00"/>
    <x v="0"/>
    <n v="298"/>
    <n v="0.05"/>
    <n v="0"/>
    <n v="2"/>
    <b v="0"/>
    <n v="0"/>
  </r>
  <r>
    <d v="2025-10-20T00:00:00"/>
    <x v="1"/>
    <n v="30"/>
    <n v="0.02"/>
    <n v="0"/>
    <n v="2"/>
    <b v="0"/>
    <n v="0"/>
  </r>
  <r>
    <d v="2025-10-20T00:00:00"/>
    <x v="2"/>
    <n v="213"/>
    <n v="0.04"/>
    <n v="0"/>
    <n v="5"/>
    <b v="0"/>
    <n v="0"/>
  </r>
  <r>
    <d v="2025-10-20T00:00:00"/>
    <x v="3"/>
    <n v="113"/>
    <n v="0.15"/>
    <n v="0"/>
    <n v="5"/>
    <b v="0"/>
    <n v="0"/>
  </r>
  <r>
    <d v="2025-10-20T00:00:00"/>
    <x v="4"/>
    <n v="760"/>
    <n v="0.03"/>
    <n v="0"/>
    <n v="5"/>
    <b v="0"/>
    <n v="0"/>
  </r>
  <r>
    <d v="2025-10-21T00:00:00"/>
    <x v="0"/>
    <n v="338"/>
    <n v="0.05"/>
    <n v="0"/>
    <n v="2"/>
    <b v="0"/>
    <n v="0"/>
  </r>
  <r>
    <d v="2025-10-21T00:00:00"/>
    <x v="1"/>
    <n v="464"/>
    <n v="0.02"/>
    <n v="0"/>
    <n v="5"/>
    <b v="0"/>
    <n v="0"/>
  </r>
  <r>
    <d v="2025-10-21T00:00:00"/>
    <x v="2"/>
    <n v="230"/>
    <n v="0.04"/>
    <n v="0"/>
    <n v="2"/>
    <b v="0"/>
    <n v="0"/>
  </r>
  <r>
    <d v="2025-10-21T00:00:00"/>
    <x v="3"/>
    <n v="621"/>
    <n v="0.15"/>
    <n v="0"/>
    <n v="5"/>
    <b v="0"/>
    <n v="0"/>
  </r>
  <r>
    <d v="2025-10-21T00:00:00"/>
    <x v="4"/>
    <n v="727"/>
    <n v="0.03"/>
    <n v="0"/>
    <n v="2"/>
    <b v="0"/>
    <n v="0"/>
  </r>
  <r>
    <d v="2025-10-22T00:00:00"/>
    <x v="0"/>
    <n v="888"/>
    <n v="0.05"/>
    <n v="0"/>
    <n v="2"/>
    <b v="0"/>
    <n v="0"/>
  </r>
  <r>
    <d v="2025-10-22T00:00:00"/>
    <x v="1"/>
    <n v="21"/>
    <n v="0.02"/>
    <n v="0"/>
    <n v="5"/>
    <b v="0"/>
    <n v="0"/>
  </r>
  <r>
    <d v="2025-10-22T00:00:00"/>
    <x v="2"/>
    <n v="463"/>
    <n v="0.04"/>
    <n v="0"/>
    <n v="2"/>
    <b v="0"/>
    <n v="0"/>
  </r>
  <r>
    <d v="2025-10-22T00:00:00"/>
    <x v="3"/>
    <n v="494"/>
    <n v="0.15"/>
    <n v="0"/>
    <n v="2"/>
    <b v="0"/>
    <n v="0"/>
  </r>
  <r>
    <d v="2025-10-22T00:00:00"/>
    <x v="4"/>
    <n v="400"/>
    <n v="0.03"/>
    <n v="0"/>
    <n v="2"/>
    <b v="0"/>
    <n v="0"/>
  </r>
  <r>
    <d v="2025-10-23T00:00:00"/>
    <x v="0"/>
    <n v="704"/>
    <n v="0.05"/>
    <n v="0"/>
    <n v="2"/>
    <b v="0"/>
    <n v="0"/>
  </r>
  <r>
    <d v="2025-10-23T00:00:00"/>
    <x v="1"/>
    <n v="583"/>
    <n v="0.02"/>
    <n v="0"/>
    <n v="5"/>
    <b v="0"/>
    <n v="0"/>
  </r>
  <r>
    <d v="2025-10-23T00:00:00"/>
    <x v="2"/>
    <n v="105"/>
    <n v="0.04"/>
    <n v="0"/>
    <n v="5"/>
    <b v="0"/>
    <n v="0"/>
  </r>
  <r>
    <d v="2025-10-23T00:00:00"/>
    <x v="3"/>
    <n v="79"/>
    <n v="0.15"/>
    <n v="0"/>
    <n v="2"/>
    <b v="0"/>
    <n v="0"/>
  </r>
  <r>
    <d v="2025-10-23T00:00:00"/>
    <x v="4"/>
    <n v="324"/>
    <n v="0.03"/>
    <n v="0"/>
    <n v="2"/>
    <b v="0"/>
    <n v="0"/>
  </r>
  <r>
    <d v="2025-10-24T00:00:00"/>
    <x v="0"/>
    <n v="901"/>
    <n v="0.05"/>
    <n v="0"/>
    <n v="5"/>
    <b v="0"/>
    <n v="0"/>
  </r>
  <r>
    <d v="2025-10-24T00:00:00"/>
    <x v="1"/>
    <n v="575"/>
    <n v="0.02"/>
    <n v="0"/>
    <n v="5"/>
    <b v="0"/>
    <n v="0"/>
  </r>
  <r>
    <d v="2025-10-24T00:00:00"/>
    <x v="2"/>
    <n v="6"/>
    <n v="0.04"/>
    <n v="0"/>
    <n v="5"/>
    <b v="0"/>
    <n v="0"/>
  </r>
  <r>
    <d v="2025-10-24T00:00:00"/>
    <x v="3"/>
    <n v="239"/>
    <n v="0.15"/>
    <n v="0"/>
    <n v="5"/>
    <b v="0"/>
    <n v="0"/>
  </r>
  <r>
    <d v="2025-10-24T00:00:00"/>
    <x v="4"/>
    <n v="151"/>
    <n v="0.03"/>
    <n v="0"/>
    <n v="2"/>
    <b v="0"/>
    <n v="0"/>
  </r>
  <r>
    <d v="2025-10-25T00:00:00"/>
    <x v="0"/>
    <n v="43"/>
    <n v="0.05"/>
    <n v="0"/>
    <n v="15"/>
    <b v="0"/>
    <n v="0"/>
  </r>
  <r>
    <d v="2025-10-25T00:00:00"/>
    <x v="1"/>
    <n v="516"/>
    <n v="0.02"/>
    <n v="0"/>
    <n v="10"/>
    <b v="0"/>
    <n v="0"/>
  </r>
  <r>
    <d v="2025-10-25T00:00:00"/>
    <x v="2"/>
    <n v="386"/>
    <n v="0.04"/>
    <n v="0"/>
    <n v="10"/>
    <b v="0"/>
    <n v="0"/>
  </r>
  <r>
    <d v="2025-10-25T00:00:00"/>
    <x v="3"/>
    <n v="0"/>
    <n v="0.15"/>
    <n v="0"/>
    <n v="15"/>
    <b v="0"/>
    <n v="1"/>
  </r>
  <r>
    <d v="2025-10-25T00:00:00"/>
    <x v="4"/>
    <n v="568"/>
    <n v="0.03"/>
    <n v="0"/>
    <n v="5"/>
    <b v="0"/>
    <n v="0"/>
  </r>
  <r>
    <d v="2025-10-26T00:00:00"/>
    <x v="0"/>
    <n v="882"/>
    <n v="0.05"/>
    <n v="0"/>
    <n v="2"/>
    <b v="0"/>
    <n v="0"/>
  </r>
  <r>
    <d v="2025-10-26T00:00:00"/>
    <x v="1"/>
    <n v="700"/>
    <n v="0.02"/>
    <n v="0"/>
    <n v="2"/>
    <b v="0"/>
    <n v="0"/>
  </r>
  <r>
    <d v="2025-10-26T00:00:00"/>
    <x v="2"/>
    <n v="72"/>
    <n v="0.04"/>
    <n v="0"/>
    <n v="2"/>
    <b v="0"/>
    <n v="0"/>
  </r>
  <r>
    <d v="2025-10-26T00:00:00"/>
    <x v="3"/>
    <n v="400"/>
    <n v="0.15"/>
    <n v="0"/>
    <n v="2"/>
    <b v="0"/>
    <n v="0"/>
  </r>
  <r>
    <d v="2025-10-26T00:00:00"/>
    <x v="4"/>
    <n v="0"/>
    <n v="0.03"/>
    <n v="0"/>
    <n v="2"/>
    <b v="0"/>
    <n v="1"/>
  </r>
  <r>
    <d v="2025-10-27T00:00:00"/>
    <x v="0"/>
    <n v="750"/>
    <n v="0.05"/>
    <n v="0"/>
    <n v="2"/>
    <b v="0"/>
    <n v="0"/>
  </r>
  <r>
    <d v="2025-10-27T00:00:00"/>
    <x v="1"/>
    <n v="318"/>
    <n v="0.02"/>
    <n v="0"/>
    <n v="2"/>
    <b v="0"/>
    <n v="0"/>
  </r>
  <r>
    <d v="2025-10-27T00:00:00"/>
    <x v="2"/>
    <n v="0"/>
    <n v="0.04"/>
    <n v="0"/>
    <n v="5"/>
    <b v="0"/>
    <n v="1"/>
  </r>
  <r>
    <d v="2025-10-27T00:00:00"/>
    <x v="3"/>
    <n v="230"/>
    <n v="0.15"/>
    <n v="0"/>
    <n v="2"/>
    <b v="0"/>
    <n v="0"/>
  </r>
  <r>
    <d v="2025-10-27T00:00:00"/>
    <x v="4"/>
    <n v="681"/>
    <n v="0.03"/>
    <n v="0"/>
    <n v="5"/>
    <b v="0"/>
    <n v="0"/>
  </r>
  <r>
    <d v="2025-10-28T00:00:00"/>
    <x v="0"/>
    <n v="509"/>
    <n v="0.05"/>
    <n v="0"/>
    <n v="2"/>
    <b v="0"/>
    <n v="0"/>
  </r>
  <r>
    <d v="2025-10-28T00:00:00"/>
    <x v="1"/>
    <n v="149"/>
    <n v="0.02"/>
    <n v="0"/>
    <n v="2"/>
    <b v="0"/>
    <n v="0"/>
  </r>
  <r>
    <d v="2025-10-28T00:00:00"/>
    <x v="2"/>
    <n v="292"/>
    <n v="0.04"/>
    <n v="0"/>
    <n v="2"/>
    <b v="0"/>
    <n v="0"/>
  </r>
  <r>
    <d v="2025-10-28T00:00:00"/>
    <x v="3"/>
    <n v="498"/>
    <n v="0.15"/>
    <n v="0"/>
    <n v="2"/>
    <b v="0"/>
    <n v="0"/>
  </r>
  <r>
    <d v="2025-10-28T00:00:00"/>
    <x v="4"/>
    <n v="367"/>
    <n v="0.03"/>
    <n v="0"/>
    <n v="2"/>
    <b v="0"/>
    <n v="0"/>
  </r>
  <r>
    <d v="2025-10-29T00:00:00"/>
    <x v="0"/>
    <n v="0"/>
    <n v="0.05"/>
    <n v="0"/>
    <n v="10"/>
    <b v="0"/>
    <n v="1"/>
  </r>
  <r>
    <d v="2025-10-29T00:00:00"/>
    <x v="1"/>
    <n v="600"/>
    <n v="0.02"/>
    <n v="0"/>
    <n v="2"/>
    <b v="0"/>
    <n v="0"/>
  </r>
  <r>
    <d v="2025-10-29T00:00:00"/>
    <x v="2"/>
    <n v="838"/>
    <n v="0.04"/>
    <n v="0"/>
    <n v="5"/>
    <b v="0"/>
    <n v="0"/>
  </r>
  <r>
    <d v="2025-10-29T00:00:00"/>
    <x v="3"/>
    <n v="301"/>
    <n v="0.15"/>
    <n v="0"/>
    <n v="2"/>
    <b v="0"/>
    <n v="0"/>
  </r>
  <r>
    <d v="2025-10-29T00:00:00"/>
    <x v="4"/>
    <n v="400"/>
    <n v="0.03"/>
    <n v="0"/>
    <n v="2"/>
    <b v="0"/>
    <n v="0"/>
  </r>
  <r>
    <d v="2025-10-30T00:00:00"/>
    <x v="0"/>
    <n v="178"/>
    <n v="0.05"/>
    <n v="0"/>
    <n v="2"/>
    <b v="0"/>
    <n v="0"/>
  </r>
  <r>
    <d v="2025-10-30T00:00:00"/>
    <x v="1"/>
    <n v="111"/>
    <n v="0.02"/>
    <n v="0"/>
    <n v="2"/>
    <b v="0"/>
    <n v="0"/>
  </r>
  <r>
    <d v="2025-10-30T00:00:00"/>
    <x v="2"/>
    <n v="600"/>
    <n v="0.04"/>
    <n v="0"/>
    <n v="2"/>
    <b v="0"/>
    <n v="0"/>
  </r>
  <r>
    <d v="2025-10-30T00:00:00"/>
    <x v="3"/>
    <n v="43"/>
    <n v="0.15"/>
    <n v="0"/>
    <n v="2"/>
    <b v="0"/>
    <n v="0"/>
  </r>
  <r>
    <d v="2025-10-30T00:00:00"/>
    <x v="4"/>
    <n v="815"/>
    <n v="0.03"/>
    <n v="0"/>
    <n v="2"/>
    <b v="0"/>
    <n v="0"/>
  </r>
  <r>
    <d v="2025-10-31T00:00:00"/>
    <x v="0"/>
    <n v="717"/>
    <n v="0.05"/>
    <n v="0"/>
    <n v="5"/>
    <b v="0"/>
    <n v="0"/>
  </r>
  <r>
    <d v="2025-10-31T00:00:00"/>
    <x v="1"/>
    <n v="399"/>
    <n v="0.02"/>
    <n v="0"/>
    <n v="2"/>
    <b v="0"/>
    <n v="0"/>
  </r>
  <r>
    <d v="2025-10-31T00:00:00"/>
    <x v="2"/>
    <n v="572"/>
    <n v="0.04"/>
    <n v="0"/>
    <n v="5"/>
    <b v="0"/>
    <n v="0"/>
  </r>
  <r>
    <d v="2025-10-31T00:00:00"/>
    <x v="3"/>
    <n v="447"/>
    <n v="0.15"/>
    <n v="0"/>
    <n v="2"/>
    <b v="0"/>
    <n v="0"/>
  </r>
  <r>
    <d v="2025-10-31T00:00:00"/>
    <x v="4"/>
    <n v="249"/>
    <n v="0.03"/>
    <n v="0"/>
    <n v="2"/>
    <b v="0"/>
    <n v="0"/>
  </r>
  <r>
    <d v="2025-11-01T00:00:00"/>
    <x v="0"/>
    <n v="240"/>
    <n v="0.05"/>
    <n v="0"/>
    <n v="5"/>
    <b v="0"/>
    <n v="0"/>
  </r>
  <r>
    <d v="2025-11-01T00:00:00"/>
    <x v="1"/>
    <n v="849"/>
    <n v="0.02"/>
    <n v="0"/>
    <n v="2"/>
    <b v="0"/>
    <n v="0"/>
  </r>
  <r>
    <d v="2025-11-01T00:00:00"/>
    <x v="2"/>
    <n v="860"/>
    <n v="0.04"/>
    <n v="0"/>
    <n v="2"/>
    <b v="0"/>
    <n v="0"/>
  </r>
  <r>
    <d v="2025-11-01T00:00:00"/>
    <x v="3"/>
    <n v="744"/>
    <n v="0.15"/>
    <n v="0"/>
    <n v="2"/>
    <b v="0"/>
    <n v="0"/>
  </r>
  <r>
    <d v="2025-11-01T00:00:00"/>
    <x v="4"/>
    <n v="895"/>
    <n v="0.03"/>
    <n v="0"/>
    <n v="2"/>
    <b v="0"/>
    <n v="0"/>
  </r>
  <r>
    <d v="2025-11-02T00:00:00"/>
    <x v="0"/>
    <n v="0"/>
    <n v="0.05"/>
    <n v="0"/>
    <n v="2"/>
    <b v="0"/>
    <n v="1"/>
  </r>
  <r>
    <d v="2025-11-02T00:00:00"/>
    <x v="1"/>
    <n v="539"/>
    <n v="0.02"/>
    <n v="0"/>
    <n v="5"/>
    <b v="0"/>
    <n v="0"/>
  </r>
  <r>
    <d v="2025-11-02T00:00:00"/>
    <x v="2"/>
    <n v="148"/>
    <n v="0.04"/>
    <n v="0"/>
    <n v="15"/>
    <b v="0"/>
    <n v="0"/>
  </r>
  <r>
    <d v="2025-11-02T00:00:00"/>
    <x v="3"/>
    <n v="233"/>
    <n v="0.15"/>
    <n v="0"/>
    <n v="2"/>
    <b v="0"/>
    <n v="0"/>
  </r>
  <r>
    <d v="2025-11-02T00:00:00"/>
    <x v="4"/>
    <n v="754"/>
    <n v="0.03"/>
    <n v="0"/>
    <n v="5"/>
    <b v="0"/>
    <n v="0"/>
  </r>
  <r>
    <d v="2025-11-03T00:00:00"/>
    <x v="0"/>
    <n v="646"/>
    <n v="0.05"/>
    <n v="0"/>
    <n v="10"/>
    <b v="0"/>
    <n v="0"/>
  </r>
  <r>
    <d v="2025-11-03T00:00:00"/>
    <x v="1"/>
    <n v="234"/>
    <n v="0.02"/>
    <n v="0"/>
    <n v="5"/>
    <b v="0"/>
    <n v="0"/>
  </r>
  <r>
    <d v="2025-11-03T00:00:00"/>
    <x v="2"/>
    <n v="682"/>
    <n v="0.04"/>
    <n v="0"/>
    <n v="2"/>
    <b v="0"/>
    <n v="0"/>
  </r>
  <r>
    <d v="2025-11-03T00:00:00"/>
    <x v="3"/>
    <n v="599"/>
    <n v="0.15"/>
    <n v="0"/>
    <n v="2"/>
    <b v="0"/>
    <n v="0"/>
  </r>
  <r>
    <d v="2025-11-03T00:00:00"/>
    <x v="4"/>
    <n v="856"/>
    <n v="0.03"/>
    <n v="0"/>
    <n v="5"/>
    <b v="0"/>
    <n v="0"/>
  </r>
  <r>
    <d v="2025-11-04T00:00:00"/>
    <x v="0"/>
    <n v="552"/>
    <n v="0.05"/>
    <n v="0"/>
    <n v="5"/>
    <b v="0"/>
    <n v="0"/>
  </r>
  <r>
    <d v="2025-11-04T00:00:00"/>
    <x v="1"/>
    <n v="621"/>
    <n v="0.02"/>
    <n v="0"/>
    <n v="2"/>
    <b v="0"/>
    <n v="0"/>
  </r>
  <r>
    <d v="2025-11-04T00:00:00"/>
    <x v="2"/>
    <n v="777"/>
    <n v="0.04"/>
    <n v="0"/>
    <n v="10"/>
    <b v="0"/>
    <n v="0"/>
  </r>
  <r>
    <d v="2025-11-04T00:00:00"/>
    <x v="3"/>
    <n v="0"/>
    <n v="0.15"/>
    <n v="0"/>
    <n v="2"/>
    <b v="0"/>
    <n v="1"/>
  </r>
  <r>
    <d v="2025-11-04T00:00:00"/>
    <x v="4"/>
    <n v="844"/>
    <n v="0.03"/>
    <n v="0"/>
    <n v="5"/>
    <b v="0"/>
    <n v="0"/>
  </r>
  <r>
    <d v="2025-11-05T00:00:00"/>
    <x v="0"/>
    <n v="221"/>
    <n v="0.05"/>
    <n v="0"/>
    <n v="15"/>
    <b v="0"/>
    <n v="0"/>
  </r>
  <r>
    <d v="2025-11-05T00:00:00"/>
    <x v="1"/>
    <n v="410"/>
    <n v="0.02"/>
    <n v="0"/>
    <n v="10"/>
    <b v="0"/>
    <n v="0"/>
  </r>
  <r>
    <d v="2025-11-05T00:00:00"/>
    <x v="2"/>
    <n v="532"/>
    <n v="0.04"/>
    <n v="0"/>
    <n v="2"/>
    <b v="0"/>
    <n v="0"/>
  </r>
  <r>
    <d v="2025-11-05T00:00:00"/>
    <x v="3"/>
    <n v="9"/>
    <n v="0.15"/>
    <n v="0"/>
    <n v="10"/>
    <b v="0"/>
    <n v="0"/>
  </r>
  <r>
    <d v="2025-11-05T00:00:00"/>
    <x v="4"/>
    <n v="124"/>
    <n v="0.03"/>
    <n v="0"/>
    <n v="5"/>
    <b v="0"/>
    <n v="0"/>
  </r>
  <r>
    <d v="2025-11-06T00:00:00"/>
    <x v="0"/>
    <n v="470"/>
    <n v="0.05"/>
    <n v="0"/>
    <n v="2"/>
    <b v="0"/>
    <n v="0"/>
  </r>
  <r>
    <d v="2025-11-06T00:00:00"/>
    <x v="1"/>
    <n v="476"/>
    <n v="0.02"/>
    <n v="0"/>
    <n v="5"/>
    <b v="0"/>
    <n v="0"/>
  </r>
  <r>
    <d v="2025-11-06T00:00:00"/>
    <x v="2"/>
    <n v="894"/>
    <n v="0.04"/>
    <n v="0"/>
    <n v="5"/>
    <b v="0"/>
    <n v="0"/>
  </r>
  <r>
    <d v="2025-11-06T00:00:00"/>
    <x v="3"/>
    <n v="562"/>
    <n v="0.15"/>
    <n v="0"/>
    <n v="2"/>
    <b v="0"/>
    <n v="0"/>
  </r>
  <r>
    <d v="2025-11-06T00:00:00"/>
    <x v="4"/>
    <n v="710"/>
    <n v="0.03"/>
    <n v="0"/>
    <n v="2"/>
    <b v="0"/>
    <n v="0"/>
  </r>
  <r>
    <d v="2025-11-07T00:00:00"/>
    <x v="0"/>
    <n v="387"/>
    <n v="0.05"/>
    <n v="0"/>
    <n v="2"/>
    <b v="0"/>
    <n v="0"/>
  </r>
  <r>
    <d v="2025-11-07T00:00:00"/>
    <x v="1"/>
    <n v="203"/>
    <n v="0.02"/>
    <n v="0"/>
    <n v="2"/>
    <b v="0"/>
    <n v="0"/>
  </r>
  <r>
    <d v="2025-11-07T00:00:00"/>
    <x v="2"/>
    <n v="571"/>
    <n v="0.04"/>
    <n v="0"/>
    <n v="15"/>
    <b v="0"/>
    <n v="0"/>
  </r>
  <r>
    <d v="2025-11-07T00:00:00"/>
    <x v="3"/>
    <n v="133"/>
    <n v="0.15"/>
    <n v="0"/>
    <n v="5"/>
    <b v="0"/>
    <n v="0"/>
  </r>
  <r>
    <d v="2025-11-07T00:00:00"/>
    <x v="4"/>
    <n v="167"/>
    <n v="0.03"/>
    <n v="0"/>
    <n v="2"/>
    <b v="0"/>
    <n v="0"/>
  </r>
  <r>
    <d v="2025-11-08T00:00:00"/>
    <x v="0"/>
    <n v="208"/>
    <n v="0.05"/>
    <n v="0"/>
    <n v="2"/>
    <b v="0"/>
    <n v="0"/>
  </r>
  <r>
    <d v="2025-11-08T00:00:00"/>
    <x v="1"/>
    <n v="395"/>
    <n v="0.02"/>
    <n v="0"/>
    <n v="2"/>
    <b v="0"/>
    <n v="0"/>
  </r>
  <r>
    <d v="2025-11-08T00:00:00"/>
    <x v="2"/>
    <n v="641"/>
    <n v="0.04"/>
    <n v="0"/>
    <n v="2"/>
    <b v="0"/>
    <n v="0"/>
  </r>
  <r>
    <d v="2025-11-08T00:00:00"/>
    <x v="3"/>
    <n v="588"/>
    <n v="0.15"/>
    <n v="0"/>
    <n v="2"/>
    <b v="0"/>
    <n v="0"/>
  </r>
  <r>
    <d v="2025-11-08T00:00:00"/>
    <x v="4"/>
    <n v="0"/>
    <n v="0.03"/>
    <n v="0"/>
    <n v="2"/>
    <b v="0"/>
    <n v="1"/>
  </r>
  <r>
    <d v="2025-11-09T00:00:00"/>
    <x v="0"/>
    <n v="620"/>
    <n v="0.05"/>
    <n v="0"/>
    <n v="2"/>
    <b v="0"/>
    <n v="0"/>
  </r>
  <r>
    <d v="2025-11-09T00:00:00"/>
    <x v="1"/>
    <n v="1"/>
    <n v="0.02"/>
    <n v="0"/>
    <n v="2"/>
    <b v="0"/>
    <n v="0"/>
  </r>
  <r>
    <d v="2025-11-09T00:00:00"/>
    <x v="2"/>
    <n v="69"/>
    <n v="0.04"/>
    <n v="0"/>
    <n v="5"/>
    <b v="0"/>
    <n v="0"/>
  </r>
  <r>
    <d v="2025-11-09T00:00:00"/>
    <x v="3"/>
    <n v="232"/>
    <n v="0.15"/>
    <n v="0"/>
    <n v="2"/>
    <b v="0"/>
    <n v="0"/>
  </r>
  <r>
    <d v="2025-11-09T00:00:00"/>
    <x v="4"/>
    <n v="318"/>
    <n v="0.03"/>
    <n v="0"/>
    <n v="2"/>
    <b v="0"/>
    <n v="0"/>
  </r>
  <r>
    <d v="2025-11-10T00:00:00"/>
    <x v="0"/>
    <n v="809"/>
    <n v="0.05"/>
    <n v="0"/>
    <n v="5"/>
    <b v="0"/>
    <n v="0"/>
  </r>
  <r>
    <d v="2025-11-10T00:00:00"/>
    <x v="1"/>
    <n v="570"/>
    <n v="0.02"/>
    <n v="0"/>
    <n v="5"/>
    <b v="0"/>
    <n v="0"/>
  </r>
  <r>
    <d v="2025-11-10T00:00:00"/>
    <x v="2"/>
    <n v="674"/>
    <n v="0.04"/>
    <n v="0"/>
    <n v="5"/>
    <b v="0"/>
    <n v="0"/>
  </r>
  <r>
    <d v="2025-11-10T00:00:00"/>
    <x v="3"/>
    <n v="532"/>
    <n v="0.15"/>
    <n v="0"/>
    <n v="2"/>
    <b v="0"/>
    <n v="0"/>
  </r>
  <r>
    <d v="2025-11-10T00:00:00"/>
    <x v="4"/>
    <n v="707"/>
    <n v="0.03"/>
    <n v="0"/>
    <n v="2"/>
    <b v="0"/>
    <n v="0"/>
  </r>
  <r>
    <d v="2025-11-11T00:00:00"/>
    <x v="0"/>
    <n v="473"/>
    <n v="0.05"/>
    <n v="0"/>
    <n v="2"/>
    <b v="0"/>
    <n v="0"/>
  </r>
  <r>
    <d v="2025-11-11T00:00:00"/>
    <x v="1"/>
    <n v="387"/>
    <n v="0.02"/>
    <n v="0"/>
    <n v="2"/>
    <b v="0"/>
    <n v="0"/>
  </r>
  <r>
    <d v="2025-11-11T00:00:00"/>
    <x v="2"/>
    <n v="559"/>
    <n v="0.04"/>
    <n v="0"/>
    <n v="5"/>
    <b v="0"/>
    <n v="0"/>
  </r>
  <r>
    <d v="2025-11-11T00:00:00"/>
    <x v="3"/>
    <n v="705"/>
    <n v="0.15"/>
    <n v="0"/>
    <n v="5"/>
    <b v="0"/>
    <n v="0"/>
  </r>
  <r>
    <d v="2025-11-11T00:00:00"/>
    <x v="4"/>
    <n v="74"/>
    <n v="0.03"/>
    <n v="0"/>
    <n v="5"/>
    <b v="0"/>
    <n v="0"/>
  </r>
  <r>
    <d v="2025-11-12T00:00:00"/>
    <x v="0"/>
    <n v="876"/>
    <n v="0.05"/>
    <n v="0"/>
    <n v="2"/>
    <b v="0"/>
    <n v="0"/>
  </r>
  <r>
    <d v="2025-11-12T00:00:00"/>
    <x v="1"/>
    <n v="213"/>
    <n v="0.02"/>
    <n v="0"/>
    <n v="10"/>
    <b v="0"/>
    <n v="0"/>
  </r>
  <r>
    <d v="2025-11-12T00:00:00"/>
    <x v="2"/>
    <n v="464"/>
    <n v="0.04"/>
    <n v="0"/>
    <n v="5"/>
    <b v="0"/>
    <n v="0"/>
  </r>
  <r>
    <d v="2025-11-12T00:00:00"/>
    <x v="3"/>
    <n v="63"/>
    <n v="0.15"/>
    <n v="0"/>
    <n v="5"/>
    <b v="0"/>
    <n v="0"/>
  </r>
  <r>
    <d v="2025-11-12T00:00:00"/>
    <x v="4"/>
    <n v="227"/>
    <n v="0.03"/>
    <n v="0"/>
    <n v="2"/>
    <b v="0"/>
    <n v="0"/>
  </r>
  <r>
    <d v="2025-11-13T00:00:00"/>
    <x v="0"/>
    <n v="0"/>
    <n v="0.05"/>
    <n v="0"/>
    <n v="5"/>
    <b v="0"/>
    <n v="1"/>
  </r>
  <r>
    <d v="2025-11-13T00:00:00"/>
    <x v="1"/>
    <n v="144"/>
    <n v="0.02"/>
    <n v="0"/>
    <n v="5"/>
    <b v="0"/>
    <n v="0"/>
  </r>
  <r>
    <d v="2025-11-13T00:00:00"/>
    <x v="2"/>
    <n v="85"/>
    <n v="0.04"/>
    <n v="0"/>
    <n v="5"/>
    <b v="0"/>
    <n v="0"/>
  </r>
  <r>
    <d v="2025-11-13T00:00:00"/>
    <x v="3"/>
    <n v="405"/>
    <n v="0.15"/>
    <n v="0"/>
    <n v="5"/>
    <b v="0"/>
    <n v="0"/>
  </r>
  <r>
    <d v="2025-11-13T00:00:00"/>
    <x v="4"/>
    <n v="78"/>
    <n v="0.03"/>
    <n v="0"/>
    <n v="5"/>
    <b v="0"/>
    <n v="0"/>
  </r>
  <r>
    <d v="2025-11-14T00:00:00"/>
    <x v="0"/>
    <n v="721"/>
    <n v="0.05"/>
    <n v="0"/>
    <n v="5"/>
    <b v="0"/>
    <n v="0"/>
  </r>
  <r>
    <d v="2025-11-14T00:00:00"/>
    <x v="1"/>
    <n v="209"/>
    <n v="0.02"/>
    <n v="0"/>
    <n v="5"/>
    <b v="0"/>
    <n v="0"/>
  </r>
  <r>
    <d v="2025-11-14T00:00:00"/>
    <x v="2"/>
    <n v="716"/>
    <n v="0.04"/>
    <n v="0"/>
    <n v="2"/>
    <b v="0"/>
    <n v="0"/>
  </r>
  <r>
    <d v="2025-11-14T00:00:00"/>
    <x v="3"/>
    <n v="52"/>
    <n v="0.15"/>
    <n v="0"/>
    <n v="2"/>
    <b v="0"/>
    <n v="0"/>
  </r>
  <r>
    <d v="2025-11-14T00:00:00"/>
    <x v="4"/>
    <n v="215"/>
    <n v="0.03"/>
    <n v="0"/>
    <n v="2"/>
    <b v="0"/>
    <n v="0"/>
  </r>
  <r>
    <d v="2025-11-15T00:00:00"/>
    <x v="0"/>
    <n v="90"/>
    <n v="0.05"/>
    <n v="0"/>
    <n v="2"/>
    <b v="0"/>
    <n v="0"/>
  </r>
  <r>
    <d v="2025-11-15T00:00:00"/>
    <x v="1"/>
    <n v="831"/>
    <n v="0.02"/>
    <n v="0"/>
    <n v="2"/>
    <b v="0"/>
    <n v="0"/>
  </r>
  <r>
    <d v="2025-11-15T00:00:00"/>
    <x v="2"/>
    <n v="500"/>
    <n v="0.04"/>
    <n v="0"/>
    <n v="2"/>
    <b v="0"/>
    <n v="0"/>
  </r>
  <r>
    <d v="2025-11-15T00:00:00"/>
    <x v="3"/>
    <n v="506"/>
    <n v="0.15"/>
    <n v="0"/>
    <n v="2"/>
    <b v="0"/>
    <n v="0"/>
  </r>
  <r>
    <d v="2025-11-15T00:00:00"/>
    <x v="4"/>
    <n v="185"/>
    <n v="0.03"/>
    <n v="0"/>
    <n v="5"/>
    <b v="0"/>
    <n v="0"/>
  </r>
  <r>
    <d v="2025-11-16T00:00:00"/>
    <x v="0"/>
    <n v="0"/>
    <n v="0.05"/>
    <n v="0"/>
    <n v="2"/>
    <b v="0"/>
    <n v="1"/>
  </r>
  <r>
    <d v="2025-11-16T00:00:00"/>
    <x v="1"/>
    <n v="350"/>
    <n v="0.02"/>
    <n v="0"/>
    <n v="2"/>
    <b v="0"/>
    <n v="0"/>
  </r>
  <r>
    <d v="2025-11-16T00:00:00"/>
    <x v="2"/>
    <n v="789"/>
    <n v="0.04"/>
    <n v="0"/>
    <n v="2"/>
    <b v="0"/>
    <n v="0"/>
  </r>
  <r>
    <d v="2025-11-16T00:00:00"/>
    <x v="3"/>
    <n v="162"/>
    <n v="0.15"/>
    <n v="0"/>
    <n v="5"/>
    <b v="0"/>
    <n v="0"/>
  </r>
  <r>
    <d v="2025-11-16T00:00:00"/>
    <x v="4"/>
    <n v="312"/>
    <n v="0.03"/>
    <n v="0"/>
    <n v="5"/>
    <b v="0"/>
    <n v="0"/>
  </r>
  <r>
    <d v="2025-11-17T00:00:00"/>
    <x v="0"/>
    <n v="846"/>
    <n v="0.05"/>
    <n v="0"/>
    <n v="5"/>
    <b v="0"/>
    <n v="0"/>
  </r>
  <r>
    <d v="2025-11-17T00:00:00"/>
    <x v="1"/>
    <n v="83"/>
    <n v="0.02"/>
    <n v="0"/>
    <n v="5"/>
    <b v="0"/>
    <n v="0"/>
  </r>
  <r>
    <d v="2025-11-17T00:00:00"/>
    <x v="2"/>
    <n v="329"/>
    <n v="0.04"/>
    <n v="0"/>
    <n v="15"/>
    <b v="0"/>
    <n v="0"/>
  </r>
  <r>
    <d v="2025-11-17T00:00:00"/>
    <x v="3"/>
    <n v="819"/>
    <n v="0.15"/>
    <n v="0"/>
    <n v="5"/>
    <b v="0"/>
    <n v="0"/>
  </r>
  <r>
    <d v="2025-11-17T00:00:00"/>
    <x v="4"/>
    <n v="124"/>
    <n v="0.03"/>
    <n v="0"/>
    <n v="2"/>
    <b v="0"/>
    <n v="0"/>
  </r>
  <r>
    <d v="2025-11-18T00:00:00"/>
    <x v="0"/>
    <n v="403"/>
    <n v="0.05"/>
    <n v="0"/>
    <n v="2"/>
    <b v="0"/>
    <n v="0"/>
  </r>
  <r>
    <d v="2025-11-18T00:00:00"/>
    <x v="1"/>
    <n v="156"/>
    <n v="0.02"/>
    <n v="0"/>
    <n v="2"/>
    <b v="0"/>
    <n v="0"/>
  </r>
  <r>
    <d v="2025-11-18T00:00:00"/>
    <x v="2"/>
    <n v="158"/>
    <n v="0.04"/>
    <n v="0"/>
    <n v="2"/>
    <b v="0"/>
    <n v="0"/>
  </r>
  <r>
    <d v="2025-11-18T00:00:00"/>
    <x v="3"/>
    <n v="121"/>
    <n v="0.15"/>
    <n v="0"/>
    <n v="5"/>
    <b v="0"/>
    <n v="0"/>
  </r>
  <r>
    <d v="2025-11-18T00:00:00"/>
    <x v="4"/>
    <n v="727"/>
    <n v="0.03"/>
    <n v="0"/>
    <n v="2"/>
    <b v="0"/>
    <n v="0"/>
  </r>
  <r>
    <d v="2025-11-19T00:00:00"/>
    <x v="0"/>
    <n v="47"/>
    <n v="0.05"/>
    <n v="0"/>
    <n v="2"/>
    <b v="0"/>
    <n v="0"/>
  </r>
  <r>
    <d v="2025-11-19T00:00:00"/>
    <x v="1"/>
    <n v="18"/>
    <n v="0.02"/>
    <n v="0"/>
    <n v="2"/>
    <b v="0"/>
    <n v="0"/>
  </r>
  <r>
    <d v="2025-11-19T00:00:00"/>
    <x v="2"/>
    <n v="818"/>
    <n v="0.04"/>
    <n v="0"/>
    <n v="2"/>
    <b v="0"/>
    <n v="0"/>
  </r>
  <r>
    <d v="2025-11-19T00:00:00"/>
    <x v="3"/>
    <n v="0"/>
    <n v="0.15"/>
    <n v="0"/>
    <n v="10"/>
    <b v="0"/>
    <n v="1"/>
  </r>
  <r>
    <d v="2025-11-19T00:00:00"/>
    <x v="4"/>
    <n v="407"/>
    <n v="0.03"/>
    <n v="0"/>
    <n v="5"/>
    <b v="0"/>
    <n v="0"/>
  </r>
  <r>
    <d v="2025-11-20T00:00:00"/>
    <x v="0"/>
    <n v="533"/>
    <n v="0.05"/>
    <n v="0"/>
    <n v="5"/>
    <b v="0"/>
    <n v="0"/>
  </r>
  <r>
    <d v="2025-11-20T00:00:00"/>
    <x v="1"/>
    <n v="181"/>
    <n v="0.02"/>
    <n v="0"/>
    <n v="2"/>
    <b v="0"/>
    <n v="0"/>
  </r>
  <r>
    <d v="2025-11-20T00:00:00"/>
    <x v="2"/>
    <n v="26"/>
    <n v="0.04"/>
    <n v="0"/>
    <n v="5"/>
    <b v="0"/>
    <n v="0"/>
  </r>
  <r>
    <d v="2025-11-20T00:00:00"/>
    <x v="3"/>
    <n v="850"/>
    <n v="0.15"/>
    <n v="0"/>
    <n v="2"/>
    <b v="0"/>
    <n v="0"/>
  </r>
  <r>
    <d v="2025-11-20T00:00:00"/>
    <x v="4"/>
    <n v="568"/>
    <n v="0.03"/>
    <n v="0"/>
    <n v="5"/>
    <b v="0"/>
    <n v="0"/>
  </r>
  <r>
    <d v="2025-11-21T00:00:00"/>
    <x v="0"/>
    <n v="797"/>
    <n v="0.05"/>
    <n v="0"/>
    <n v="2"/>
    <b v="0"/>
    <n v="0"/>
  </r>
  <r>
    <d v="2025-11-21T00:00:00"/>
    <x v="1"/>
    <n v="762"/>
    <n v="0.02"/>
    <n v="0"/>
    <n v="2"/>
    <b v="0"/>
    <n v="0"/>
  </r>
  <r>
    <d v="2025-11-21T00:00:00"/>
    <x v="2"/>
    <n v="777"/>
    <n v="0.04"/>
    <n v="0"/>
    <n v="5"/>
    <b v="0"/>
    <n v="0"/>
  </r>
  <r>
    <d v="2025-11-21T00:00:00"/>
    <x v="3"/>
    <n v="615"/>
    <n v="0.15"/>
    <n v="0"/>
    <n v="5"/>
    <b v="0"/>
    <n v="0"/>
  </r>
  <r>
    <d v="2025-11-21T00:00:00"/>
    <x v="4"/>
    <n v="183"/>
    <n v="0.03"/>
    <n v="0"/>
    <n v="2"/>
    <b v="0"/>
    <n v="0"/>
  </r>
  <r>
    <d v="2025-11-22T00:00:00"/>
    <x v="0"/>
    <n v="690"/>
    <n v="0.05"/>
    <n v="0"/>
    <n v="2"/>
    <b v="0"/>
    <n v="0"/>
  </r>
  <r>
    <d v="2025-11-22T00:00:00"/>
    <x v="1"/>
    <n v="470"/>
    <n v="0.02"/>
    <n v="0"/>
    <n v="5"/>
    <b v="0"/>
    <n v="0"/>
  </r>
  <r>
    <d v="2025-11-22T00:00:00"/>
    <x v="2"/>
    <n v="25"/>
    <n v="0.04"/>
    <n v="0"/>
    <n v="2"/>
    <b v="0"/>
    <n v="0"/>
  </r>
  <r>
    <d v="2025-11-22T00:00:00"/>
    <x v="3"/>
    <n v="105"/>
    <n v="0.15"/>
    <n v="0"/>
    <n v="2"/>
    <b v="0"/>
    <n v="0"/>
  </r>
  <r>
    <d v="2025-11-22T00:00:00"/>
    <x v="4"/>
    <n v="91"/>
    <n v="0.03"/>
    <n v="0"/>
    <n v="2"/>
    <b v="0"/>
    <n v="0"/>
  </r>
  <r>
    <d v="2025-11-23T00:00:00"/>
    <x v="0"/>
    <n v="371"/>
    <n v="0.05"/>
    <n v="0"/>
    <n v="10"/>
    <b v="0"/>
    <n v="0"/>
  </r>
  <r>
    <d v="2025-11-23T00:00:00"/>
    <x v="1"/>
    <n v="214"/>
    <n v="0.02"/>
    <n v="0"/>
    <n v="2"/>
    <b v="0"/>
    <n v="0"/>
  </r>
  <r>
    <d v="2025-11-23T00:00:00"/>
    <x v="2"/>
    <n v="415"/>
    <n v="0.04"/>
    <n v="0"/>
    <n v="2"/>
    <b v="0"/>
    <n v="0"/>
  </r>
  <r>
    <d v="2025-11-23T00:00:00"/>
    <x v="3"/>
    <n v="528"/>
    <n v="0.15"/>
    <n v="0"/>
    <n v="10"/>
    <b v="0"/>
    <n v="0"/>
  </r>
  <r>
    <d v="2025-11-23T00:00:00"/>
    <x v="4"/>
    <n v="95"/>
    <n v="0.03"/>
    <n v="0"/>
    <n v="2"/>
    <b v="0"/>
    <n v="0"/>
  </r>
  <r>
    <d v="2025-11-24T00:00:00"/>
    <x v="0"/>
    <n v="314"/>
    <n v="0.05"/>
    <n v="0"/>
    <n v="2"/>
    <b v="0"/>
    <n v="0"/>
  </r>
  <r>
    <d v="2025-11-24T00:00:00"/>
    <x v="1"/>
    <n v="283"/>
    <n v="0.02"/>
    <n v="0"/>
    <n v="2"/>
    <b v="0"/>
    <n v="0"/>
  </r>
  <r>
    <d v="2025-11-24T00:00:00"/>
    <x v="2"/>
    <n v="774"/>
    <n v="0.04"/>
    <n v="0"/>
    <n v="2"/>
    <b v="0"/>
    <n v="0"/>
  </r>
  <r>
    <d v="2025-11-24T00:00:00"/>
    <x v="3"/>
    <n v="363"/>
    <n v="0.15"/>
    <n v="0"/>
    <n v="5"/>
    <b v="0"/>
    <n v="0"/>
  </r>
  <r>
    <d v="2025-11-24T00:00:00"/>
    <x v="4"/>
    <n v="160"/>
    <n v="0.03"/>
    <n v="0"/>
    <n v="2"/>
    <b v="0"/>
    <n v="0"/>
  </r>
  <r>
    <d v="2025-11-25T00:00:00"/>
    <x v="0"/>
    <n v="797"/>
    <n v="0.05"/>
    <n v="0"/>
    <n v="2"/>
    <b v="0"/>
    <n v="0"/>
  </r>
  <r>
    <d v="2025-11-25T00:00:00"/>
    <x v="1"/>
    <n v="379"/>
    <n v="0.02"/>
    <n v="0"/>
    <n v="2"/>
    <b v="0"/>
    <n v="0"/>
  </r>
  <r>
    <d v="2025-11-25T00:00:00"/>
    <x v="2"/>
    <n v="445"/>
    <n v="0.04"/>
    <n v="0"/>
    <n v="2"/>
    <b v="0"/>
    <n v="0"/>
  </r>
  <r>
    <d v="2025-11-25T00:00:00"/>
    <x v="3"/>
    <n v="61"/>
    <n v="0.15"/>
    <n v="0"/>
    <n v="5"/>
    <b v="0"/>
    <n v="0"/>
  </r>
  <r>
    <d v="2025-11-25T00:00:00"/>
    <x v="4"/>
    <n v="0"/>
    <n v="0.03"/>
    <n v="0"/>
    <n v="2"/>
    <b v="0"/>
    <n v="1"/>
  </r>
  <r>
    <d v="2025-11-26T00:00:00"/>
    <x v="0"/>
    <n v="243"/>
    <n v="0.05"/>
    <n v="0"/>
    <n v="2"/>
    <b v="0"/>
    <n v="0"/>
  </r>
  <r>
    <d v="2025-11-26T00:00:00"/>
    <x v="1"/>
    <n v="70"/>
    <n v="0.02"/>
    <n v="0"/>
    <n v="2"/>
    <b v="0"/>
    <n v="0"/>
  </r>
  <r>
    <d v="2025-11-26T00:00:00"/>
    <x v="2"/>
    <n v="807"/>
    <n v="0.04"/>
    <n v="0"/>
    <n v="15"/>
    <b v="0"/>
    <n v="0"/>
  </r>
  <r>
    <d v="2025-11-26T00:00:00"/>
    <x v="3"/>
    <n v="601"/>
    <n v="0.15"/>
    <n v="0"/>
    <n v="2"/>
    <b v="0"/>
    <n v="0"/>
  </r>
  <r>
    <d v="2025-11-26T00:00:00"/>
    <x v="4"/>
    <n v="600"/>
    <n v="0.03"/>
    <n v="0"/>
    <n v="2"/>
    <b v="0"/>
    <n v="0"/>
  </r>
  <r>
    <d v="2025-11-27T00:00:00"/>
    <x v="0"/>
    <n v="527"/>
    <n v="0.05"/>
    <n v="0"/>
    <n v="2"/>
    <b v="0"/>
    <n v="0"/>
  </r>
  <r>
    <d v="2025-11-27T00:00:00"/>
    <x v="1"/>
    <n v="802"/>
    <n v="0.02"/>
    <n v="0"/>
    <n v="2"/>
    <b v="0"/>
    <n v="0"/>
  </r>
  <r>
    <d v="2025-11-27T00:00:00"/>
    <x v="2"/>
    <n v="820"/>
    <n v="0.04"/>
    <n v="0"/>
    <n v="5"/>
    <b v="0"/>
    <n v="0"/>
  </r>
  <r>
    <d v="2025-11-27T00:00:00"/>
    <x v="3"/>
    <n v="151"/>
    <n v="0.15"/>
    <n v="0"/>
    <n v="15"/>
    <b v="0"/>
    <n v="0"/>
  </r>
  <r>
    <d v="2025-11-27T00:00:00"/>
    <x v="4"/>
    <n v="395"/>
    <n v="0.03"/>
    <n v="0"/>
    <n v="5"/>
    <b v="0"/>
    <n v="0"/>
  </r>
  <r>
    <d v="2025-11-28T00:00:00"/>
    <x v="0"/>
    <n v="855"/>
    <n v="0.05"/>
    <n v="0"/>
    <n v="2"/>
    <b v="0"/>
    <n v="0"/>
  </r>
  <r>
    <d v="2025-11-28T00:00:00"/>
    <x v="1"/>
    <n v="297"/>
    <n v="0.02"/>
    <n v="0"/>
    <n v="2"/>
    <b v="0"/>
    <n v="0"/>
  </r>
  <r>
    <d v="2025-11-28T00:00:00"/>
    <x v="2"/>
    <n v="90"/>
    <n v="0.04"/>
    <n v="0"/>
    <n v="2"/>
    <b v="0"/>
    <n v="0"/>
  </r>
  <r>
    <d v="2025-11-28T00:00:00"/>
    <x v="3"/>
    <n v="749"/>
    <n v="0.15"/>
    <n v="0"/>
    <n v="2"/>
    <b v="0"/>
    <n v="0"/>
  </r>
  <r>
    <d v="2025-11-28T00:00:00"/>
    <x v="4"/>
    <n v="64"/>
    <n v="0.03"/>
    <n v="0"/>
    <n v="5"/>
    <b v="0"/>
    <n v="0"/>
  </r>
  <r>
    <d v="2025-11-29T00:00:00"/>
    <x v="0"/>
    <n v="329"/>
    <n v="0.05"/>
    <n v="0"/>
    <n v="2"/>
    <b v="0"/>
    <n v="0"/>
  </r>
  <r>
    <d v="2025-11-29T00:00:00"/>
    <x v="1"/>
    <n v="669"/>
    <n v="0.02"/>
    <n v="0"/>
    <n v="5"/>
    <b v="0"/>
    <n v="0"/>
  </r>
  <r>
    <d v="2025-11-29T00:00:00"/>
    <x v="2"/>
    <n v="314"/>
    <n v="0.04"/>
    <n v="0"/>
    <n v="5"/>
    <b v="0"/>
    <n v="0"/>
  </r>
  <r>
    <d v="2025-11-29T00:00:00"/>
    <x v="3"/>
    <n v="207"/>
    <n v="0.15"/>
    <n v="0"/>
    <n v="2"/>
    <b v="0"/>
    <n v="0"/>
  </r>
  <r>
    <d v="2025-11-29T00:00:00"/>
    <x v="4"/>
    <n v="504"/>
    <n v="0.03"/>
    <n v="0"/>
    <n v="2"/>
    <b v="0"/>
    <n v="0"/>
  </r>
  <r>
    <d v="2025-11-30T00:00:00"/>
    <x v="0"/>
    <n v="442"/>
    <n v="0.05"/>
    <n v="0"/>
    <n v="2"/>
    <b v="0"/>
    <n v="0"/>
  </r>
  <r>
    <d v="2025-11-30T00:00:00"/>
    <x v="1"/>
    <n v="796"/>
    <n v="0.02"/>
    <n v="0"/>
    <n v="2"/>
    <b v="0"/>
    <n v="0"/>
  </r>
  <r>
    <d v="2025-11-30T00:00:00"/>
    <x v="2"/>
    <n v="424"/>
    <n v="0.04"/>
    <n v="0"/>
    <n v="2"/>
    <b v="0"/>
    <n v="0"/>
  </r>
  <r>
    <d v="2025-11-30T00:00:00"/>
    <x v="3"/>
    <n v="801"/>
    <n v="0.15"/>
    <n v="0"/>
    <n v="5"/>
    <b v="0"/>
    <n v="0"/>
  </r>
  <r>
    <d v="2025-11-30T00:00:00"/>
    <x v="4"/>
    <n v="388"/>
    <n v="0.03"/>
    <n v="0"/>
    <n v="2"/>
    <b v="0"/>
    <n v="0"/>
  </r>
  <r>
    <d v="2025-12-01T00:00:00"/>
    <x v="0"/>
    <n v="630"/>
    <n v="0.05"/>
    <n v="0"/>
    <n v="2"/>
    <b v="0"/>
    <n v="0"/>
  </r>
  <r>
    <d v="2025-12-01T00:00:00"/>
    <x v="1"/>
    <n v="550"/>
    <n v="0.02"/>
    <n v="0"/>
    <n v="2"/>
    <b v="0"/>
    <n v="0"/>
  </r>
  <r>
    <d v="2025-12-01T00:00:00"/>
    <x v="2"/>
    <n v="253"/>
    <n v="0.04"/>
    <n v="0"/>
    <n v="2"/>
    <b v="0"/>
    <n v="0"/>
  </r>
  <r>
    <d v="2025-12-01T00:00:00"/>
    <x v="3"/>
    <n v="742"/>
    <n v="0.15"/>
    <n v="0"/>
    <n v="2"/>
    <b v="0"/>
    <n v="0"/>
  </r>
  <r>
    <d v="2025-12-01T00:00:00"/>
    <x v="4"/>
    <n v="686"/>
    <n v="0.03"/>
    <n v="0"/>
    <n v="2"/>
    <b v="0"/>
    <n v="0"/>
  </r>
  <r>
    <d v="2025-12-02T00:00:00"/>
    <x v="0"/>
    <n v="382"/>
    <n v="0.05"/>
    <n v="0"/>
    <n v="2"/>
    <b v="0"/>
    <n v="0"/>
  </r>
  <r>
    <d v="2025-12-02T00:00:00"/>
    <x v="1"/>
    <n v="34"/>
    <n v="0.02"/>
    <n v="0"/>
    <n v="2"/>
    <b v="0"/>
    <n v="0"/>
  </r>
  <r>
    <d v="2025-12-02T00:00:00"/>
    <x v="2"/>
    <n v="395"/>
    <n v="0.04"/>
    <n v="0"/>
    <n v="2"/>
    <b v="0"/>
    <n v="0"/>
  </r>
  <r>
    <d v="2025-12-02T00:00:00"/>
    <x v="3"/>
    <n v="190"/>
    <n v="0.15"/>
    <n v="0"/>
    <n v="2"/>
    <b v="0"/>
    <n v="0"/>
  </r>
  <r>
    <d v="2025-12-02T00:00:00"/>
    <x v="4"/>
    <n v="405"/>
    <n v="0.03"/>
    <n v="0"/>
    <n v="2"/>
    <b v="0"/>
    <n v="0"/>
  </r>
  <r>
    <d v="2025-12-03T00:00:00"/>
    <x v="0"/>
    <n v="0"/>
    <n v="0.05"/>
    <n v="0"/>
    <n v="2"/>
    <b v="0"/>
    <n v="1"/>
  </r>
  <r>
    <d v="2025-12-03T00:00:00"/>
    <x v="1"/>
    <n v="596"/>
    <n v="0.02"/>
    <n v="0"/>
    <n v="2"/>
    <b v="0"/>
    <n v="0"/>
  </r>
  <r>
    <d v="2025-12-03T00:00:00"/>
    <x v="2"/>
    <n v="116"/>
    <n v="0.04"/>
    <n v="0"/>
    <n v="5"/>
    <b v="0"/>
    <n v="0"/>
  </r>
  <r>
    <d v="2025-12-03T00:00:00"/>
    <x v="3"/>
    <n v="255"/>
    <n v="0.15"/>
    <n v="0"/>
    <n v="2"/>
    <b v="0"/>
    <n v="0"/>
  </r>
  <r>
    <d v="2025-12-03T00:00:00"/>
    <x v="4"/>
    <n v="287"/>
    <n v="0.03"/>
    <n v="0"/>
    <n v="5"/>
    <b v="0"/>
    <n v="0"/>
  </r>
  <r>
    <d v="2025-12-04T00:00:00"/>
    <x v="0"/>
    <n v="313"/>
    <n v="0.05"/>
    <n v="0"/>
    <n v="15"/>
    <b v="0"/>
    <n v="0"/>
  </r>
  <r>
    <d v="2025-12-04T00:00:00"/>
    <x v="1"/>
    <n v="281"/>
    <n v="0.02"/>
    <n v="0"/>
    <n v="2"/>
    <b v="0"/>
    <n v="0"/>
  </r>
  <r>
    <d v="2025-12-04T00:00:00"/>
    <x v="2"/>
    <n v="359"/>
    <n v="0.04"/>
    <n v="0"/>
    <n v="2"/>
    <b v="0"/>
    <n v="0"/>
  </r>
  <r>
    <d v="2025-12-04T00:00:00"/>
    <x v="3"/>
    <n v="322"/>
    <n v="0.15"/>
    <n v="0"/>
    <n v="2"/>
    <b v="0"/>
    <n v="0"/>
  </r>
  <r>
    <d v="2025-12-04T00:00:00"/>
    <x v="4"/>
    <n v="529"/>
    <n v="0.03"/>
    <n v="0"/>
    <n v="2"/>
    <b v="0"/>
    <n v="0"/>
  </r>
  <r>
    <d v="2025-12-05T00:00:00"/>
    <x v="0"/>
    <n v="202"/>
    <n v="0.05"/>
    <n v="0"/>
    <n v="5"/>
    <b v="0"/>
    <n v="0"/>
  </r>
  <r>
    <d v="2025-12-05T00:00:00"/>
    <x v="1"/>
    <n v="356"/>
    <n v="0.02"/>
    <n v="0"/>
    <n v="10"/>
    <b v="0"/>
    <n v="0"/>
  </r>
  <r>
    <d v="2025-12-05T00:00:00"/>
    <x v="2"/>
    <n v="618"/>
    <n v="0.04"/>
    <n v="0"/>
    <n v="10"/>
    <b v="0"/>
    <n v="0"/>
  </r>
  <r>
    <d v="2025-12-05T00:00:00"/>
    <x v="3"/>
    <n v="124"/>
    <n v="0.15"/>
    <n v="0"/>
    <n v="5"/>
    <b v="0"/>
    <n v="0"/>
  </r>
  <r>
    <d v="2025-12-05T00:00:00"/>
    <x v="4"/>
    <n v="645"/>
    <n v="0.03"/>
    <n v="0"/>
    <n v="5"/>
    <b v="0"/>
    <n v="0"/>
  </r>
  <r>
    <d v="2025-12-06T00:00:00"/>
    <x v="0"/>
    <n v="901"/>
    <n v="0.05"/>
    <n v="0"/>
    <n v="2"/>
    <b v="0"/>
    <n v="0"/>
  </r>
  <r>
    <d v="2025-12-06T00:00:00"/>
    <x v="1"/>
    <n v="709"/>
    <n v="0.02"/>
    <n v="0"/>
    <n v="2"/>
    <b v="0"/>
    <n v="0"/>
  </r>
  <r>
    <d v="2025-12-06T00:00:00"/>
    <x v="2"/>
    <n v="694"/>
    <n v="0.04"/>
    <n v="0"/>
    <n v="2"/>
    <b v="0"/>
    <n v="0"/>
  </r>
  <r>
    <d v="2025-12-06T00:00:00"/>
    <x v="3"/>
    <n v="65"/>
    <n v="0.15"/>
    <n v="0"/>
    <n v="10"/>
    <b v="0"/>
    <n v="0"/>
  </r>
  <r>
    <d v="2025-12-06T00:00:00"/>
    <x v="4"/>
    <n v="746"/>
    <n v="0.03"/>
    <n v="0"/>
    <n v="2"/>
    <b v="0"/>
    <n v="0"/>
  </r>
  <r>
    <d v="2025-12-07T00:00:00"/>
    <x v="0"/>
    <n v="105"/>
    <n v="0.05"/>
    <n v="0"/>
    <n v="2"/>
    <b v="0"/>
    <n v="0"/>
  </r>
  <r>
    <d v="2025-12-07T00:00:00"/>
    <x v="1"/>
    <n v="357"/>
    <n v="0.02"/>
    <n v="0"/>
    <n v="2"/>
    <b v="0"/>
    <n v="0"/>
  </r>
  <r>
    <d v="2025-12-07T00:00:00"/>
    <x v="2"/>
    <n v="362"/>
    <n v="0.04"/>
    <n v="0"/>
    <n v="5"/>
    <b v="0"/>
    <n v="0"/>
  </r>
  <r>
    <d v="2025-12-07T00:00:00"/>
    <x v="3"/>
    <n v="821"/>
    <n v="0.15"/>
    <n v="0"/>
    <n v="2"/>
    <b v="0"/>
    <n v="0"/>
  </r>
  <r>
    <d v="2025-12-07T00:00:00"/>
    <x v="4"/>
    <n v="378"/>
    <n v="0.03"/>
    <n v="0"/>
    <n v="10"/>
    <b v="0"/>
    <n v="0"/>
  </r>
  <r>
    <d v="2025-12-08T00:00:00"/>
    <x v="0"/>
    <n v="0"/>
    <n v="0.05"/>
    <n v="0"/>
    <n v="5"/>
    <b v="0"/>
    <n v="1"/>
  </r>
  <r>
    <d v="2025-12-08T00:00:00"/>
    <x v="1"/>
    <n v="459"/>
    <n v="0.02"/>
    <n v="0"/>
    <n v="2"/>
    <b v="0"/>
    <n v="0"/>
  </r>
  <r>
    <d v="2025-12-08T00:00:00"/>
    <x v="2"/>
    <n v="250"/>
    <n v="0.04"/>
    <n v="0"/>
    <n v="5"/>
    <b v="0"/>
    <n v="0"/>
  </r>
  <r>
    <d v="2025-12-08T00:00:00"/>
    <x v="3"/>
    <n v="101"/>
    <n v="0.15"/>
    <n v="0"/>
    <n v="2"/>
    <b v="0"/>
    <n v="0"/>
  </r>
  <r>
    <d v="2025-12-08T00:00:00"/>
    <x v="4"/>
    <n v="283"/>
    <n v="0.03"/>
    <n v="0"/>
    <n v="5"/>
    <b v="0"/>
    <n v="0"/>
  </r>
  <r>
    <d v="2025-12-09T00:00:00"/>
    <x v="0"/>
    <n v="200"/>
    <n v="0.05"/>
    <n v="0"/>
    <n v="10"/>
    <b v="0"/>
    <n v="0"/>
  </r>
  <r>
    <d v="2025-12-09T00:00:00"/>
    <x v="1"/>
    <n v="363"/>
    <n v="0.02"/>
    <n v="0"/>
    <n v="5"/>
    <b v="0"/>
    <n v="0"/>
  </r>
  <r>
    <d v="2025-12-09T00:00:00"/>
    <x v="2"/>
    <n v="33"/>
    <n v="0.04"/>
    <n v="0"/>
    <n v="2"/>
    <b v="0"/>
    <n v="0"/>
  </r>
  <r>
    <d v="2025-12-09T00:00:00"/>
    <x v="3"/>
    <n v="845"/>
    <n v="0.15"/>
    <n v="0"/>
    <n v="2"/>
    <b v="0"/>
    <n v="0"/>
  </r>
  <r>
    <d v="2025-12-09T00:00:00"/>
    <x v="4"/>
    <n v="829"/>
    <n v="0.03"/>
    <n v="0"/>
    <n v="2"/>
    <b v="0"/>
    <n v="0"/>
  </r>
  <r>
    <d v="2025-12-10T00:00:00"/>
    <x v="0"/>
    <n v="629"/>
    <n v="0.05"/>
    <n v="0"/>
    <n v="2"/>
    <b v="0"/>
    <n v="0"/>
  </r>
  <r>
    <d v="2025-12-10T00:00:00"/>
    <x v="1"/>
    <n v="857"/>
    <n v="0.02"/>
    <n v="0"/>
    <n v="2"/>
    <b v="0"/>
    <n v="0"/>
  </r>
  <r>
    <d v="2025-12-10T00:00:00"/>
    <x v="2"/>
    <n v="147"/>
    <n v="0.04"/>
    <n v="0"/>
    <n v="10"/>
    <b v="0"/>
    <n v="0"/>
  </r>
  <r>
    <d v="2025-12-10T00:00:00"/>
    <x v="3"/>
    <n v="14"/>
    <n v="0.15"/>
    <n v="0"/>
    <n v="2"/>
    <b v="0"/>
    <n v="0"/>
  </r>
  <r>
    <d v="2025-12-10T00:00:00"/>
    <x v="4"/>
    <n v="100"/>
    <n v="0.03"/>
    <n v="0"/>
    <n v="2"/>
    <b v="0"/>
    <n v="0"/>
  </r>
  <r>
    <d v="2025-12-11T00:00:00"/>
    <x v="0"/>
    <n v="673"/>
    <n v="0.05"/>
    <n v="0"/>
    <n v="5"/>
    <b v="0"/>
    <n v="0"/>
  </r>
  <r>
    <d v="2025-12-11T00:00:00"/>
    <x v="1"/>
    <n v="254"/>
    <n v="0.02"/>
    <n v="0"/>
    <n v="5"/>
    <b v="0"/>
    <n v="0"/>
  </r>
  <r>
    <d v="2025-12-11T00:00:00"/>
    <x v="2"/>
    <n v="137"/>
    <n v="0.04"/>
    <n v="0"/>
    <n v="10"/>
    <b v="0"/>
    <n v="0"/>
  </r>
  <r>
    <d v="2025-12-11T00:00:00"/>
    <x v="3"/>
    <n v="322"/>
    <n v="0.15"/>
    <n v="0"/>
    <n v="2"/>
    <b v="0"/>
    <n v="0"/>
  </r>
  <r>
    <d v="2025-12-11T00:00:00"/>
    <x v="4"/>
    <n v="878"/>
    <n v="0.03"/>
    <n v="0"/>
    <n v="2"/>
    <b v="0"/>
    <n v="0"/>
  </r>
  <r>
    <d v="2025-12-12T00:00:00"/>
    <x v="0"/>
    <n v="645"/>
    <n v="0.05"/>
    <n v="0"/>
    <n v="5"/>
    <b v="0"/>
    <n v="0"/>
  </r>
  <r>
    <d v="2025-12-12T00:00:00"/>
    <x v="1"/>
    <n v="767"/>
    <n v="0.02"/>
    <n v="0"/>
    <n v="2"/>
    <b v="0"/>
    <n v="0"/>
  </r>
  <r>
    <d v="2025-12-12T00:00:00"/>
    <x v="2"/>
    <n v="303"/>
    <n v="0.04"/>
    <n v="0"/>
    <n v="15"/>
    <b v="0"/>
    <n v="0"/>
  </r>
  <r>
    <d v="2025-12-12T00:00:00"/>
    <x v="3"/>
    <n v="501"/>
    <n v="0.15"/>
    <n v="0"/>
    <n v="2"/>
    <b v="0"/>
    <n v="0"/>
  </r>
  <r>
    <d v="2025-12-12T00:00:00"/>
    <x v="4"/>
    <n v="80"/>
    <n v="0.03"/>
    <n v="0"/>
    <n v="5"/>
    <b v="0"/>
    <n v="0"/>
  </r>
  <r>
    <d v="2025-12-13T00:00:00"/>
    <x v="0"/>
    <n v="731"/>
    <n v="0.05"/>
    <n v="0"/>
    <n v="5"/>
    <b v="0"/>
    <n v="0"/>
  </r>
  <r>
    <d v="2025-12-13T00:00:00"/>
    <x v="1"/>
    <n v="460"/>
    <n v="0.02"/>
    <n v="0"/>
    <n v="2"/>
    <b v="0"/>
    <n v="0"/>
  </r>
  <r>
    <d v="2025-12-13T00:00:00"/>
    <x v="2"/>
    <n v="786"/>
    <n v="0.04"/>
    <n v="0"/>
    <n v="2"/>
    <b v="0"/>
    <n v="0"/>
  </r>
  <r>
    <d v="2025-12-13T00:00:00"/>
    <x v="3"/>
    <n v="481"/>
    <n v="0.15"/>
    <n v="0"/>
    <n v="2"/>
    <b v="0"/>
    <n v="0"/>
  </r>
  <r>
    <d v="2025-12-13T00:00:00"/>
    <x v="4"/>
    <n v="630"/>
    <n v="0.03"/>
    <n v="0"/>
    <n v="5"/>
    <b v="0"/>
    <n v="0"/>
  </r>
  <r>
    <d v="2025-12-14T00:00:00"/>
    <x v="0"/>
    <n v="836"/>
    <n v="0.05"/>
    <n v="0"/>
    <n v="2"/>
    <b v="0"/>
    <n v="0"/>
  </r>
  <r>
    <d v="2025-12-14T00:00:00"/>
    <x v="1"/>
    <n v="431"/>
    <n v="0.02"/>
    <n v="0"/>
    <n v="2"/>
    <b v="0"/>
    <n v="0"/>
  </r>
  <r>
    <d v="2025-12-14T00:00:00"/>
    <x v="2"/>
    <n v="260"/>
    <n v="0.04"/>
    <n v="0"/>
    <n v="5"/>
    <b v="0"/>
    <n v="0"/>
  </r>
  <r>
    <d v="2025-12-14T00:00:00"/>
    <x v="3"/>
    <n v="584"/>
    <n v="0.15"/>
    <n v="0"/>
    <n v="2"/>
    <b v="0"/>
    <n v="0"/>
  </r>
  <r>
    <d v="2025-12-14T00:00:00"/>
    <x v="4"/>
    <n v="620"/>
    <n v="0.03"/>
    <n v="0"/>
    <n v="2"/>
    <b v="0"/>
    <n v="0"/>
  </r>
  <r>
    <d v="2025-12-15T00:00:00"/>
    <x v="0"/>
    <n v="541"/>
    <n v="0.05"/>
    <n v="0"/>
    <n v="10"/>
    <b v="0"/>
    <n v="0"/>
  </r>
  <r>
    <d v="2025-12-15T00:00:00"/>
    <x v="1"/>
    <n v="668"/>
    <n v="0.02"/>
    <n v="0"/>
    <n v="2"/>
    <b v="0"/>
    <n v="0"/>
  </r>
  <r>
    <d v="2025-12-15T00:00:00"/>
    <x v="2"/>
    <n v="35"/>
    <n v="0.04"/>
    <n v="0"/>
    <n v="15"/>
    <b v="0"/>
    <n v="0"/>
  </r>
  <r>
    <d v="2025-12-15T00:00:00"/>
    <x v="3"/>
    <n v="627"/>
    <n v="0.15"/>
    <n v="0"/>
    <n v="2"/>
    <b v="0"/>
    <n v="0"/>
  </r>
  <r>
    <d v="2025-12-15T00:00:00"/>
    <x v="4"/>
    <n v="216"/>
    <n v="0.03"/>
    <n v="0"/>
    <n v="5"/>
    <b v="0"/>
    <n v="0"/>
  </r>
  <r>
    <d v="2025-12-16T00:00:00"/>
    <x v="0"/>
    <n v="679"/>
    <n v="0.05"/>
    <n v="0"/>
    <n v="5"/>
    <b v="0"/>
    <n v="0"/>
  </r>
  <r>
    <d v="2025-12-16T00:00:00"/>
    <x v="1"/>
    <n v="843"/>
    <n v="0.02"/>
    <n v="0"/>
    <n v="2"/>
    <b v="0"/>
    <n v="0"/>
  </r>
  <r>
    <d v="2025-12-16T00:00:00"/>
    <x v="2"/>
    <n v="339"/>
    <n v="0.04"/>
    <n v="0"/>
    <n v="2"/>
    <b v="0"/>
    <n v="0"/>
  </r>
  <r>
    <d v="2025-12-16T00:00:00"/>
    <x v="3"/>
    <n v="303"/>
    <n v="0.15"/>
    <n v="0"/>
    <n v="5"/>
    <b v="0"/>
    <n v="0"/>
  </r>
  <r>
    <d v="2025-12-16T00:00:00"/>
    <x v="4"/>
    <n v="888"/>
    <n v="0.03"/>
    <n v="0"/>
    <n v="2"/>
    <b v="0"/>
    <n v="0"/>
  </r>
  <r>
    <d v="2025-12-17T00:00:00"/>
    <x v="0"/>
    <n v="419"/>
    <n v="0.05"/>
    <n v="0"/>
    <n v="2"/>
    <b v="0"/>
    <n v="0"/>
  </r>
  <r>
    <d v="2025-12-17T00:00:00"/>
    <x v="1"/>
    <n v="319"/>
    <n v="0.02"/>
    <n v="0"/>
    <n v="2"/>
    <b v="0"/>
    <n v="0"/>
  </r>
  <r>
    <d v="2025-12-17T00:00:00"/>
    <x v="2"/>
    <n v="3"/>
    <n v="0.04"/>
    <n v="0"/>
    <n v="2"/>
    <b v="0"/>
    <n v="0"/>
  </r>
  <r>
    <d v="2025-12-17T00:00:00"/>
    <x v="3"/>
    <n v="529"/>
    <n v="0.15"/>
    <n v="0"/>
    <n v="2"/>
    <b v="0"/>
    <n v="0"/>
  </r>
  <r>
    <d v="2025-12-17T00:00:00"/>
    <x v="4"/>
    <n v="446"/>
    <n v="0.03"/>
    <n v="0"/>
    <n v="2"/>
    <b v="0"/>
    <n v="0"/>
  </r>
  <r>
    <d v="2025-12-18T00:00:00"/>
    <x v="0"/>
    <n v="71"/>
    <n v="0.05"/>
    <n v="0"/>
    <n v="2"/>
    <b v="0"/>
    <n v="0"/>
  </r>
  <r>
    <d v="2025-12-18T00:00:00"/>
    <x v="1"/>
    <n v="724"/>
    <n v="0.02"/>
    <n v="0"/>
    <n v="2"/>
    <b v="0"/>
    <n v="0"/>
  </r>
  <r>
    <d v="2025-12-18T00:00:00"/>
    <x v="2"/>
    <n v="655"/>
    <n v="0.04"/>
    <n v="0"/>
    <n v="2"/>
    <b v="0"/>
    <n v="0"/>
  </r>
  <r>
    <d v="2025-12-18T00:00:00"/>
    <x v="3"/>
    <n v="234"/>
    <n v="0.15"/>
    <n v="0"/>
    <n v="15"/>
    <b v="0"/>
    <n v="0"/>
  </r>
  <r>
    <d v="2025-12-18T00:00:00"/>
    <x v="4"/>
    <n v="420"/>
    <n v="0.03"/>
    <n v="0"/>
    <n v="2"/>
    <b v="0"/>
    <n v="0"/>
  </r>
  <r>
    <d v="2025-12-19T00:00:00"/>
    <x v="0"/>
    <n v="859"/>
    <n v="0.05"/>
    <n v="0"/>
    <n v="2"/>
    <b v="0"/>
    <n v="0"/>
  </r>
  <r>
    <d v="2025-12-19T00:00:00"/>
    <x v="1"/>
    <n v="148"/>
    <n v="0.02"/>
    <n v="0"/>
    <n v="5"/>
    <b v="0"/>
    <n v="0"/>
  </r>
  <r>
    <d v="2025-12-19T00:00:00"/>
    <x v="2"/>
    <n v="281"/>
    <n v="0.04"/>
    <n v="0"/>
    <n v="2"/>
    <b v="0"/>
    <n v="0"/>
  </r>
  <r>
    <d v="2025-12-19T00:00:00"/>
    <x v="3"/>
    <n v="0"/>
    <n v="0.15"/>
    <n v="0"/>
    <n v="2"/>
    <b v="0"/>
    <n v="1"/>
  </r>
  <r>
    <d v="2025-12-19T00:00:00"/>
    <x v="4"/>
    <n v="576"/>
    <n v="0.03"/>
    <n v="0"/>
    <n v="5"/>
    <b v="0"/>
    <n v="0"/>
  </r>
  <r>
    <d v="2025-12-20T00:00:00"/>
    <x v="0"/>
    <n v="234"/>
    <n v="0.05"/>
    <n v="0"/>
    <n v="2"/>
    <b v="0"/>
    <n v="0"/>
  </r>
  <r>
    <d v="2025-12-20T00:00:00"/>
    <x v="1"/>
    <n v="376"/>
    <n v="0.02"/>
    <n v="0"/>
    <n v="15"/>
    <b v="0"/>
    <n v="0"/>
  </r>
  <r>
    <d v="2025-12-20T00:00:00"/>
    <x v="2"/>
    <n v="686"/>
    <n v="0.04"/>
    <n v="0"/>
    <n v="2"/>
    <b v="0"/>
    <n v="0"/>
  </r>
  <r>
    <d v="2025-12-20T00:00:00"/>
    <x v="3"/>
    <n v="574"/>
    <n v="0.15"/>
    <n v="0"/>
    <n v="2"/>
    <b v="0"/>
    <n v="0"/>
  </r>
  <r>
    <d v="2025-12-20T00:00:00"/>
    <x v="4"/>
    <n v="142"/>
    <n v="0.03"/>
    <n v="0"/>
    <n v="2"/>
    <b v="0"/>
    <n v="0"/>
  </r>
  <r>
    <d v="2025-12-21T00:00:00"/>
    <x v="0"/>
    <n v="151"/>
    <n v="0.05"/>
    <n v="0"/>
    <n v="5"/>
    <b v="0"/>
    <n v="0"/>
  </r>
  <r>
    <d v="2025-12-21T00:00:00"/>
    <x v="1"/>
    <n v="297"/>
    <n v="0.02"/>
    <n v="0"/>
    <n v="2"/>
    <b v="0"/>
    <n v="0"/>
  </r>
  <r>
    <d v="2025-12-21T00:00:00"/>
    <x v="2"/>
    <n v="295"/>
    <n v="0.04"/>
    <n v="0"/>
    <n v="2"/>
    <b v="0"/>
    <n v="0"/>
  </r>
  <r>
    <d v="2025-12-21T00:00:00"/>
    <x v="3"/>
    <n v="231"/>
    <n v="0.15"/>
    <n v="0"/>
    <n v="2"/>
    <b v="0"/>
    <n v="0"/>
  </r>
  <r>
    <d v="2025-12-21T00:00:00"/>
    <x v="4"/>
    <n v="268"/>
    <n v="0.03"/>
    <n v="0"/>
    <n v="2"/>
    <b v="0"/>
    <n v="0"/>
  </r>
  <r>
    <d v="2025-12-22T00:00:00"/>
    <x v="0"/>
    <n v="324"/>
    <n v="0.05"/>
    <n v="0"/>
    <n v="5"/>
    <b v="0"/>
    <n v="0"/>
  </r>
  <r>
    <d v="2025-12-22T00:00:00"/>
    <x v="1"/>
    <n v="466"/>
    <n v="0.02"/>
    <n v="0"/>
    <n v="15"/>
    <b v="0"/>
    <n v="0"/>
  </r>
  <r>
    <d v="2025-12-22T00:00:00"/>
    <x v="2"/>
    <n v="730"/>
    <n v="0.04"/>
    <n v="0"/>
    <n v="2"/>
    <b v="0"/>
    <n v="0"/>
  </r>
  <r>
    <d v="2025-12-22T00:00:00"/>
    <x v="3"/>
    <n v="257"/>
    <n v="0.15"/>
    <n v="0"/>
    <n v="5"/>
    <b v="0"/>
    <n v="0"/>
  </r>
  <r>
    <d v="2025-12-22T00:00:00"/>
    <x v="4"/>
    <n v="789"/>
    <n v="0.03"/>
    <n v="0"/>
    <n v="2"/>
    <b v="0"/>
    <n v="0"/>
  </r>
  <r>
    <d v="2025-12-23T00:00:00"/>
    <x v="0"/>
    <n v="282"/>
    <n v="0.05"/>
    <n v="0"/>
    <n v="2"/>
    <b v="0"/>
    <n v="0"/>
  </r>
  <r>
    <d v="2025-12-23T00:00:00"/>
    <x v="1"/>
    <n v="887"/>
    <n v="0.02"/>
    <n v="0"/>
    <n v="5"/>
    <b v="0"/>
    <n v="0"/>
  </r>
  <r>
    <d v="2025-12-23T00:00:00"/>
    <x v="2"/>
    <n v="485"/>
    <n v="0.04"/>
    <n v="0"/>
    <n v="2"/>
    <b v="0"/>
    <n v="0"/>
  </r>
  <r>
    <d v="2025-12-23T00:00:00"/>
    <x v="3"/>
    <n v="526"/>
    <n v="0.15"/>
    <n v="0"/>
    <n v="2"/>
    <b v="0"/>
    <n v="0"/>
  </r>
  <r>
    <d v="2025-12-23T00:00:00"/>
    <x v="4"/>
    <n v="648"/>
    <n v="0.03"/>
    <n v="0"/>
    <n v="5"/>
    <b v="0"/>
    <n v="0"/>
  </r>
  <r>
    <d v="2025-12-24T00:00:00"/>
    <x v="0"/>
    <n v="803"/>
    <n v="0.05"/>
    <n v="0"/>
    <n v="5"/>
    <b v="0"/>
    <n v="0"/>
  </r>
  <r>
    <d v="2025-12-24T00:00:00"/>
    <x v="1"/>
    <n v="578"/>
    <n v="0.02"/>
    <n v="0"/>
    <n v="5"/>
    <b v="0"/>
    <n v="0"/>
  </r>
  <r>
    <d v="2025-12-24T00:00:00"/>
    <x v="2"/>
    <n v="717"/>
    <n v="0.04"/>
    <n v="0"/>
    <n v="5"/>
    <b v="0"/>
    <n v="0"/>
  </r>
  <r>
    <d v="2025-12-24T00:00:00"/>
    <x v="3"/>
    <n v="395"/>
    <n v="0.15"/>
    <n v="0"/>
    <n v="2"/>
    <b v="0"/>
    <n v="0"/>
  </r>
  <r>
    <d v="2025-12-24T00:00:00"/>
    <x v="4"/>
    <n v="479"/>
    <n v="0.03"/>
    <n v="0"/>
    <n v="2"/>
    <b v="0"/>
    <n v="0"/>
  </r>
  <r>
    <d v="2025-12-25T00:00:00"/>
    <x v="0"/>
    <n v="640"/>
    <n v="0.05"/>
    <n v="0"/>
    <n v="5"/>
    <b v="0"/>
    <n v="0"/>
  </r>
  <r>
    <d v="2025-12-25T00:00:00"/>
    <x v="1"/>
    <n v="876"/>
    <n v="0.02"/>
    <n v="0"/>
    <n v="2"/>
    <b v="0"/>
    <n v="0"/>
  </r>
  <r>
    <d v="2025-12-25T00:00:00"/>
    <x v="2"/>
    <n v="530"/>
    <n v="0.04"/>
    <n v="0"/>
    <n v="5"/>
    <b v="0"/>
    <n v="0"/>
  </r>
  <r>
    <d v="2025-12-25T00:00:00"/>
    <x v="3"/>
    <n v="224"/>
    <n v="0.15"/>
    <n v="0"/>
    <n v="2"/>
    <b v="0"/>
    <n v="0"/>
  </r>
  <r>
    <d v="2025-12-25T00:00:00"/>
    <x v="4"/>
    <n v="450"/>
    <n v="0.03"/>
    <n v="0"/>
    <n v="2"/>
    <b v="0"/>
    <n v="0"/>
  </r>
  <r>
    <d v="2025-12-26T00:00:00"/>
    <x v="0"/>
    <n v="762"/>
    <n v="0.05"/>
    <n v="0"/>
    <n v="2"/>
    <b v="0"/>
    <n v="0"/>
  </r>
  <r>
    <d v="2025-12-26T00:00:00"/>
    <x v="1"/>
    <n v="322"/>
    <n v="0.02"/>
    <n v="0"/>
    <n v="10"/>
    <b v="0"/>
    <n v="0"/>
  </r>
  <r>
    <d v="2025-12-26T00:00:00"/>
    <x v="2"/>
    <n v="384"/>
    <n v="0.04"/>
    <n v="0"/>
    <n v="15"/>
    <b v="0"/>
    <n v="0"/>
  </r>
  <r>
    <d v="2025-12-26T00:00:00"/>
    <x v="3"/>
    <n v="433"/>
    <n v="0.15"/>
    <n v="0"/>
    <n v="2"/>
    <b v="0"/>
    <n v="0"/>
  </r>
  <r>
    <d v="2025-12-26T00:00:00"/>
    <x v="4"/>
    <n v="644"/>
    <n v="0.03"/>
    <n v="0"/>
    <n v="2"/>
    <b v="0"/>
    <n v="0"/>
  </r>
  <r>
    <d v="2025-12-27T00:00:00"/>
    <x v="0"/>
    <n v="884"/>
    <n v="0.05"/>
    <n v="0"/>
    <n v="2"/>
    <b v="0"/>
    <n v="0"/>
  </r>
  <r>
    <d v="2025-12-27T00:00:00"/>
    <x v="1"/>
    <n v="512"/>
    <n v="0.02"/>
    <n v="0"/>
    <n v="5"/>
    <b v="0"/>
    <n v="0"/>
  </r>
  <r>
    <d v="2025-12-27T00:00:00"/>
    <x v="2"/>
    <n v="50"/>
    <n v="0.04"/>
    <n v="0"/>
    <n v="2"/>
    <b v="0"/>
    <n v="0"/>
  </r>
  <r>
    <d v="2025-12-27T00:00:00"/>
    <x v="3"/>
    <n v="130"/>
    <n v="0.15"/>
    <n v="0"/>
    <n v="2"/>
    <b v="0"/>
    <n v="0"/>
  </r>
  <r>
    <d v="2025-12-27T00:00:00"/>
    <x v="4"/>
    <n v="16"/>
    <n v="0.03"/>
    <n v="0"/>
    <n v="5"/>
    <b v="0"/>
    <n v="0"/>
  </r>
  <r>
    <d v="2025-12-28T00:00:00"/>
    <x v="0"/>
    <n v="434"/>
    <n v="0.05"/>
    <n v="0"/>
    <n v="5"/>
    <b v="0"/>
    <n v="0"/>
  </r>
  <r>
    <d v="2025-12-28T00:00:00"/>
    <x v="1"/>
    <n v="842"/>
    <n v="0.02"/>
    <n v="0"/>
    <n v="5"/>
    <b v="0"/>
    <n v="0"/>
  </r>
  <r>
    <d v="2025-12-28T00:00:00"/>
    <x v="2"/>
    <n v="887"/>
    <n v="0.04"/>
    <n v="0"/>
    <n v="5"/>
    <b v="0"/>
    <n v="0"/>
  </r>
  <r>
    <d v="2025-12-28T00:00:00"/>
    <x v="3"/>
    <n v="618"/>
    <n v="0.15"/>
    <n v="0"/>
    <n v="2"/>
    <b v="0"/>
    <n v="0"/>
  </r>
  <r>
    <d v="2025-12-28T00:00:00"/>
    <x v="4"/>
    <n v="755"/>
    <n v="0.03"/>
    <n v="0"/>
    <n v="2"/>
    <b v="0"/>
    <n v="0"/>
  </r>
  <r>
    <d v="2025-12-29T00:00:00"/>
    <x v="0"/>
    <n v="274"/>
    <n v="0.05"/>
    <n v="0"/>
    <n v="5"/>
    <b v="0"/>
    <n v="0"/>
  </r>
  <r>
    <d v="2025-12-29T00:00:00"/>
    <x v="1"/>
    <n v="57"/>
    <n v="0.02"/>
    <n v="0"/>
    <n v="2"/>
    <b v="0"/>
    <n v="0"/>
  </r>
  <r>
    <d v="2025-12-29T00:00:00"/>
    <x v="2"/>
    <n v="734"/>
    <n v="0.04"/>
    <n v="0"/>
    <n v="2"/>
    <b v="0"/>
    <n v="0"/>
  </r>
  <r>
    <d v="2025-12-29T00:00:00"/>
    <x v="3"/>
    <n v="247"/>
    <n v="0.15"/>
    <n v="0"/>
    <n v="2"/>
    <b v="0"/>
    <n v="0"/>
  </r>
  <r>
    <d v="2025-12-29T00:00:00"/>
    <x v="4"/>
    <n v="363"/>
    <n v="0.03"/>
    <n v="0"/>
    <n v="5"/>
    <b v="0"/>
    <n v="0"/>
  </r>
  <r>
    <d v="2025-12-30T00:00:00"/>
    <x v="0"/>
    <n v="309"/>
    <n v="0.05"/>
    <n v="0"/>
    <n v="5"/>
    <b v="0"/>
    <n v="0"/>
  </r>
  <r>
    <d v="2025-12-30T00:00:00"/>
    <x v="1"/>
    <n v="219"/>
    <n v="0.02"/>
    <n v="0"/>
    <n v="2"/>
    <b v="0"/>
    <n v="0"/>
  </r>
  <r>
    <d v="2025-12-30T00:00:00"/>
    <x v="2"/>
    <n v="371"/>
    <n v="0.04"/>
    <n v="0"/>
    <n v="5"/>
    <b v="0"/>
    <n v="0"/>
  </r>
  <r>
    <d v="2025-12-30T00:00:00"/>
    <x v="3"/>
    <n v="120"/>
    <n v="0.15"/>
    <n v="0"/>
    <n v="2"/>
    <b v="0"/>
    <n v="0"/>
  </r>
  <r>
    <d v="2025-12-30T00:00:00"/>
    <x v="4"/>
    <n v="599"/>
    <n v="0.03"/>
    <n v="0"/>
    <n v="2"/>
    <b v="0"/>
    <n v="0"/>
  </r>
  <r>
    <d v="2025-12-31T00:00:00"/>
    <x v="0"/>
    <n v="84"/>
    <n v="0.05"/>
    <n v="0"/>
    <n v="5"/>
    <b v="0"/>
    <n v="0"/>
  </r>
  <r>
    <d v="2025-12-31T00:00:00"/>
    <x v="1"/>
    <n v="270"/>
    <n v="0.02"/>
    <n v="0"/>
    <n v="5"/>
    <b v="0"/>
    <n v="0"/>
  </r>
  <r>
    <d v="2025-12-31T00:00:00"/>
    <x v="2"/>
    <n v="622"/>
    <n v="0.04"/>
    <n v="0"/>
    <n v="5"/>
    <b v="0"/>
    <n v="0"/>
  </r>
  <r>
    <d v="2025-12-31T00:00:00"/>
    <x v="3"/>
    <n v="204"/>
    <n v="0.15"/>
    <n v="0"/>
    <n v="2"/>
    <b v="0"/>
    <n v="0"/>
  </r>
  <r>
    <d v="2025-12-31T00:00:00"/>
    <x v="4"/>
    <n v="302"/>
    <n v="0.03"/>
    <n v="0"/>
    <n v="2"/>
    <b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5">
  <r>
    <s v="ORD-1000"/>
    <d v="2025-01-01T00:00:00"/>
    <x v="0"/>
    <x v="0"/>
    <n v="45"/>
    <n v="20"/>
    <n v="0"/>
    <n v="900"/>
    <n v="31.479452054794521"/>
    <n v="45"/>
  </r>
  <r>
    <s v="ORD-1001"/>
    <d v="2025-01-01T00:00:00"/>
    <x v="1"/>
    <x v="1"/>
    <n v="12.5"/>
    <n v="40"/>
    <n v="0"/>
    <n v="500"/>
    <n v="31.794520547945204"/>
    <n v="12.5"/>
  </r>
  <r>
    <s v="ORD-1002"/>
    <d v="2025-01-01T00:00:00"/>
    <x v="2"/>
    <x v="2"/>
    <n v="35"/>
    <n v="5"/>
    <n v="0"/>
    <n v="175"/>
    <n v="30.438356164383563"/>
    <n v="35"/>
  </r>
  <r>
    <s v="ORD-1003"/>
    <d v="2025-01-01T00:00:00"/>
    <x v="3"/>
    <x v="3"/>
    <n v="120"/>
    <n v="42"/>
    <n v="0"/>
    <n v="5040"/>
    <n v="30.473972602739725"/>
    <n v="120"/>
  </r>
  <r>
    <s v="ORD-1004"/>
    <d v="2025-01-01T00:00:00"/>
    <x v="4"/>
    <x v="4"/>
    <n v="25"/>
    <n v="37"/>
    <n v="0"/>
    <n v="925"/>
    <n v="29.463013698630139"/>
    <n v="25"/>
  </r>
  <r>
    <s v="ORD-1005"/>
    <d v="2025-01-02T00:00:00"/>
    <x v="0"/>
    <x v="0"/>
    <n v="45"/>
    <n v="13"/>
    <n v="0"/>
    <n v="585"/>
    <n v="31.479452054794521"/>
    <n v="45"/>
  </r>
  <r>
    <s v="ORD-1006"/>
    <d v="2025-01-02T00:00:00"/>
    <x v="1"/>
    <x v="1"/>
    <n v="12.5"/>
    <n v="41"/>
    <n v="0"/>
    <n v="512.5"/>
    <n v="31.794520547945204"/>
    <n v="12.5"/>
  </r>
  <r>
    <s v="ORD-1007"/>
    <d v="2025-01-02T00:00:00"/>
    <x v="2"/>
    <x v="2"/>
    <n v="35"/>
    <n v="28"/>
    <n v="0"/>
    <n v="980"/>
    <n v="30.438356164383563"/>
    <n v="35"/>
  </r>
  <r>
    <s v="ORD-1008"/>
    <d v="2025-01-02T00:00:00"/>
    <x v="3"/>
    <x v="3"/>
    <n v="120"/>
    <n v="21"/>
    <n v="0.2"/>
    <n v="2016"/>
    <n v="30.473972602739725"/>
    <n v="120"/>
  </r>
  <r>
    <s v="ORD-1009"/>
    <d v="2025-01-02T00:00:00"/>
    <x v="4"/>
    <x v="4"/>
    <n v="25"/>
    <n v="40"/>
    <n v="0.1"/>
    <n v="900"/>
    <n v="29.463013698630139"/>
    <n v="25"/>
  </r>
  <r>
    <s v="ORD-1010"/>
    <d v="2025-01-03T00:00:00"/>
    <x v="0"/>
    <x v="0"/>
    <n v="45"/>
    <n v="23"/>
    <n v="0.1"/>
    <n v="931.5"/>
    <n v="31.479452054794521"/>
    <n v="45"/>
  </r>
  <r>
    <s v="ORD-1011"/>
    <d v="2025-01-03T00:00:00"/>
    <x v="1"/>
    <x v="1"/>
    <n v="12.5"/>
    <n v="23"/>
    <n v="0.1"/>
    <n v="258.75"/>
    <n v="31.794520547945204"/>
    <n v="12.5"/>
  </r>
  <r>
    <s v="ORD-1012"/>
    <d v="2025-01-03T00:00:00"/>
    <x v="2"/>
    <x v="2"/>
    <n v="35"/>
    <n v="22"/>
    <n v="0.2"/>
    <n v="616"/>
    <n v="30.438356164383563"/>
    <n v="35"/>
  </r>
  <r>
    <s v="ORD-1013"/>
    <d v="2025-01-03T00:00:00"/>
    <x v="3"/>
    <x v="3"/>
    <n v="120"/>
    <n v="27"/>
    <n v="0"/>
    <n v="3240"/>
    <n v="30.473972602739725"/>
    <n v="120"/>
  </r>
  <r>
    <s v="ORD-1014"/>
    <d v="2025-01-03T00:00:00"/>
    <x v="4"/>
    <x v="4"/>
    <n v="25"/>
    <n v="13"/>
    <n v="0"/>
    <n v="325"/>
    <n v="29.463013698630139"/>
    <n v="25"/>
  </r>
  <r>
    <s v="ORD-1015"/>
    <d v="2025-01-04T00:00:00"/>
    <x v="0"/>
    <x v="0"/>
    <n v="45"/>
    <n v="63"/>
    <n v="0"/>
    <n v="2835"/>
    <n v="31.479452054794521"/>
    <n v="45"/>
  </r>
  <r>
    <s v="ORD-1016"/>
    <d v="2025-01-04T00:00:00"/>
    <x v="1"/>
    <x v="1"/>
    <n v="12.5"/>
    <n v="63"/>
    <n v="0.1"/>
    <n v="708.75"/>
    <n v="31.794520547945204"/>
    <n v="12.5"/>
  </r>
  <r>
    <s v="ORD-1017"/>
    <d v="2025-01-04T00:00:00"/>
    <x v="2"/>
    <x v="2"/>
    <n v="35"/>
    <n v="66"/>
    <n v="0"/>
    <n v="2310"/>
    <n v="30.438356164383563"/>
    <n v="35"/>
  </r>
  <r>
    <s v="ORD-1018"/>
    <d v="2025-01-04T00:00:00"/>
    <x v="3"/>
    <x v="3"/>
    <n v="120"/>
    <n v="31"/>
    <n v="0"/>
    <n v="3720"/>
    <n v="30.473972602739725"/>
    <n v="120"/>
  </r>
  <r>
    <s v="ORD-1019"/>
    <d v="2025-01-04T00:00:00"/>
    <x v="4"/>
    <x v="4"/>
    <n v="25"/>
    <n v="42"/>
    <n v="0.1"/>
    <n v="945"/>
    <n v="29.463013698630139"/>
    <n v="25"/>
  </r>
  <r>
    <s v="ORD-1020"/>
    <d v="2025-01-05T00:00:00"/>
    <x v="0"/>
    <x v="0"/>
    <n v="45"/>
    <n v="7"/>
    <n v="0"/>
    <n v="315"/>
    <n v="31.479452054794521"/>
    <n v="45"/>
  </r>
  <r>
    <s v="ORD-1021"/>
    <d v="2025-01-05T00:00:00"/>
    <x v="1"/>
    <x v="1"/>
    <n v="12.5"/>
    <n v="42"/>
    <n v="0"/>
    <n v="525"/>
    <n v="31.794520547945204"/>
    <n v="12.5"/>
  </r>
  <r>
    <s v="ORD-1022"/>
    <d v="2025-01-05T00:00:00"/>
    <x v="2"/>
    <x v="2"/>
    <n v="35"/>
    <n v="30"/>
    <n v="0"/>
    <n v="1050"/>
    <n v="30.438356164383563"/>
    <n v="35"/>
  </r>
  <r>
    <s v="ORD-1023"/>
    <d v="2025-01-05T00:00:00"/>
    <x v="3"/>
    <x v="3"/>
    <n v="120"/>
    <n v="34"/>
    <n v="0.1"/>
    <n v="3672"/>
    <n v="30.473972602739725"/>
    <n v="120"/>
  </r>
  <r>
    <s v="ORD-1024"/>
    <d v="2025-01-05T00:00:00"/>
    <x v="4"/>
    <x v="4"/>
    <n v="25"/>
    <n v="63"/>
    <n v="0"/>
    <n v="1575"/>
    <n v="29.463013698630139"/>
    <n v="25"/>
  </r>
  <r>
    <s v="ORD-1025"/>
    <d v="2025-01-06T00:00:00"/>
    <x v="0"/>
    <x v="0"/>
    <n v="45"/>
    <n v="26"/>
    <n v="0"/>
    <n v="1170"/>
    <n v="31.479452054794521"/>
    <n v="45"/>
  </r>
  <r>
    <s v="ORD-1026"/>
    <d v="2025-01-06T00:00:00"/>
    <x v="1"/>
    <x v="1"/>
    <n v="12.5"/>
    <n v="31"/>
    <n v="0.1"/>
    <n v="348.75"/>
    <n v="31.794520547945204"/>
    <n v="12.5"/>
  </r>
  <r>
    <s v="ORD-1027"/>
    <d v="2025-01-06T00:00:00"/>
    <x v="2"/>
    <x v="2"/>
    <n v="35"/>
    <n v="17"/>
    <n v="0"/>
    <n v="595"/>
    <n v="30.438356164383563"/>
    <n v="35"/>
  </r>
  <r>
    <s v="ORD-1028"/>
    <d v="2025-01-06T00:00:00"/>
    <x v="3"/>
    <x v="3"/>
    <n v="120"/>
    <n v="23"/>
    <n v="0"/>
    <n v="2760"/>
    <n v="30.473972602739725"/>
    <n v="120"/>
  </r>
  <r>
    <s v="ORD-1029"/>
    <d v="2025-01-06T00:00:00"/>
    <x v="4"/>
    <x v="4"/>
    <n v="25"/>
    <n v="16"/>
    <n v="0"/>
    <n v="400"/>
    <n v="29.463013698630139"/>
    <n v="25"/>
  </r>
  <r>
    <s v="ORD-1030"/>
    <d v="2025-01-07T00:00:00"/>
    <x v="0"/>
    <x v="0"/>
    <n v="45"/>
    <n v="48"/>
    <n v="0"/>
    <n v="2160"/>
    <n v="31.479452054794521"/>
    <n v="45"/>
  </r>
  <r>
    <s v="ORD-1031"/>
    <d v="2025-01-07T00:00:00"/>
    <x v="1"/>
    <x v="1"/>
    <n v="12.5"/>
    <n v="29"/>
    <n v="0"/>
    <n v="362.5"/>
    <n v="31.794520547945204"/>
    <n v="12.5"/>
  </r>
  <r>
    <s v="ORD-1032"/>
    <d v="2025-01-07T00:00:00"/>
    <x v="2"/>
    <x v="2"/>
    <n v="35"/>
    <n v="48"/>
    <n v="0.1"/>
    <n v="1512"/>
    <n v="30.438356164383563"/>
    <n v="35"/>
  </r>
  <r>
    <s v="ORD-1033"/>
    <d v="2025-01-07T00:00:00"/>
    <x v="3"/>
    <x v="3"/>
    <n v="120"/>
    <n v="42"/>
    <n v="0"/>
    <n v="5040"/>
    <n v="30.473972602739725"/>
    <n v="120"/>
  </r>
  <r>
    <s v="ORD-1034"/>
    <d v="2025-01-07T00:00:00"/>
    <x v="4"/>
    <x v="4"/>
    <n v="25"/>
    <n v="40"/>
    <n v="0"/>
    <n v="1000"/>
    <n v="29.463013698630139"/>
    <n v="25"/>
  </r>
  <r>
    <s v="ORD-1035"/>
    <d v="2025-01-08T00:00:00"/>
    <x v="0"/>
    <x v="0"/>
    <n v="45"/>
    <n v="40"/>
    <n v="0"/>
    <n v="1800"/>
    <n v="31.479452054794521"/>
    <n v="45"/>
  </r>
  <r>
    <s v="ORD-1036"/>
    <d v="2025-01-08T00:00:00"/>
    <x v="1"/>
    <x v="1"/>
    <n v="12.5"/>
    <n v="18"/>
    <n v="0.1"/>
    <n v="202.5"/>
    <n v="31.794520547945204"/>
    <n v="12.5"/>
  </r>
  <r>
    <s v="ORD-1037"/>
    <d v="2025-01-08T00:00:00"/>
    <x v="2"/>
    <x v="2"/>
    <n v="35"/>
    <n v="10"/>
    <n v="0.1"/>
    <n v="315"/>
    <n v="30.438356164383563"/>
    <n v="35"/>
  </r>
  <r>
    <s v="ORD-1038"/>
    <d v="2025-01-08T00:00:00"/>
    <x v="3"/>
    <x v="3"/>
    <n v="120"/>
    <n v="25"/>
    <n v="0"/>
    <n v="3000"/>
    <n v="30.473972602739725"/>
    <n v="120"/>
  </r>
  <r>
    <s v="ORD-1039"/>
    <d v="2025-01-08T00:00:00"/>
    <x v="4"/>
    <x v="4"/>
    <n v="25"/>
    <n v="5"/>
    <n v="0"/>
    <n v="125"/>
    <n v="29.463013698630139"/>
    <n v="25"/>
  </r>
  <r>
    <s v="ORD-1040"/>
    <d v="2025-01-09T00:00:00"/>
    <x v="0"/>
    <x v="0"/>
    <n v="45"/>
    <n v="31"/>
    <n v="0"/>
    <n v="1395"/>
    <n v="31.479452054794521"/>
    <n v="45"/>
  </r>
  <r>
    <s v="ORD-1041"/>
    <d v="2025-01-09T00:00:00"/>
    <x v="1"/>
    <x v="1"/>
    <n v="12.5"/>
    <n v="14"/>
    <n v="0"/>
    <n v="175"/>
    <n v="31.794520547945204"/>
    <n v="12.5"/>
  </r>
  <r>
    <s v="ORD-1042"/>
    <d v="2025-01-09T00:00:00"/>
    <x v="2"/>
    <x v="2"/>
    <n v="35"/>
    <n v="26"/>
    <n v="0"/>
    <n v="910"/>
    <n v="30.438356164383563"/>
    <n v="35"/>
  </r>
  <r>
    <s v="ORD-1043"/>
    <d v="2025-01-09T00:00:00"/>
    <x v="3"/>
    <x v="3"/>
    <n v="120"/>
    <n v="45"/>
    <n v="0"/>
    <n v="5400"/>
    <n v="30.473972602739725"/>
    <n v="120"/>
  </r>
  <r>
    <s v="ORD-1044"/>
    <d v="2025-01-09T00:00:00"/>
    <x v="4"/>
    <x v="4"/>
    <n v="25"/>
    <n v="27"/>
    <n v="0"/>
    <n v="675"/>
    <n v="29.463013698630139"/>
    <n v="25"/>
  </r>
  <r>
    <s v="ORD-1045"/>
    <d v="2025-01-10T00:00:00"/>
    <x v="0"/>
    <x v="0"/>
    <n v="45"/>
    <n v="33"/>
    <n v="0"/>
    <n v="1485"/>
    <n v="31.479452054794521"/>
    <n v="45"/>
  </r>
  <r>
    <s v="ORD-1046"/>
    <d v="2025-01-10T00:00:00"/>
    <x v="1"/>
    <x v="1"/>
    <n v="12.5"/>
    <n v="28"/>
    <n v="0.2"/>
    <n v="280"/>
    <n v="31.794520547945204"/>
    <n v="12.5"/>
  </r>
  <r>
    <s v="ORD-1047"/>
    <d v="2025-01-10T00:00:00"/>
    <x v="2"/>
    <x v="2"/>
    <n v="35"/>
    <n v="20"/>
    <n v="0"/>
    <n v="700"/>
    <n v="30.438356164383563"/>
    <n v="35"/>
  </r>
  <r>
    <s v="ORD-1048"/>
    <d v="2025-01-10T00:00:00"/>
    <x v="3"/>
    <x v="3"/>
    <n v="120"/>
    <n v="40"/>
    <n v="0"/>
    <n v="4800"/>
    <n v="30.473972602739725"/>
    <n v="120"/>
  </r>
  <r>
    <s v="ORD-1049"/>
    <d v="2025-01-10T00:00:00"/>
    <x v="4"/>
    <x v="4"/>
    <n v="25"/>
    <n v="12"/>
    <n v="0.1"/>
    <n v="270"/>
    <n v="29.463013698630139"/>
    <n v="25"/>
  </r>
  <r>
    <s v="ORD-1050"/>
    <d v="2025-01-11T00:00:00"/>
    <x v="0"/>
    <x v="0"/>
    <n v="45"/>
    <n v="69"/>
    <n v="0.2"/>
    <n v="2484"/>
    <n v="31.479452054794521"/>
    <n v="45"/>
  </r>
  <r>
    <s v="ORD-1051"/>
    <d v="2025-01-11T00:00:00"/>
    <x v="1"/>
    <x v="1"/>
    <n v="12.5"/>
    <n v="61"/>
    <n v="0.2"/>
    <n v="610"/>
    <n v="31.794520547945204"/>
    <n v="12.5"/>
  </r>
  <r>
    <s v="ORD-1052"/>
    <d v="2025-01-11T00:00:00"/>
    <x v="2"/>
    <x v="2"/>
    <n v="35"/>
    <n v="25"/>
    <n v="0"/>
    <n v="875"/>
    <n v="30.438356164383563"/>
    <n v="35"/>
  </r>
  <r>
    <s v="ORD-1053"/>
    <d v="2025-01-11T00:00:00"/>
    <x v="3"/>
    <x v="3"/>
    <n v="120"/>
    <n v="13"/>
    <n v="0.1"/>
    <n v="1404"/>
    <n v="30.473972602739725"/>
    <n v="120"/>
  </r>
  <r>
    <s v="ORD-1054"/>
    <d v="2025-01-11T00:00:00"/>
    <x v="4"/>
    <x v="4"/>
    <n v="25"/>
    <n v="42"/>
    <n v="0"/>
    <n v="1050"/>
    <n v="29.463013698630139"/>
    <n v="25"/>
  </r>
  <r>
    <s v="ORD-1055"/>
    <d v="2025-01-12T00:00:00"/>
    <x v="0"/>
    <x v="0"/>
    <n v="45"/>
    <n v="61"/>
    <n v="0"/>
    <n v="2745"/>
    <n v="31.479452054794521"/>
    <n v="45"/>
  </r>
  <r>
    <s v="ORD-1056"/>
    <d v="2025-01-12T00:00:00"/>
    <x v="1"/>
    <x v="1"/>
    <n v="12.5"/>
    <n v="39"/>
    <n v="0"/>
    <n v="487.5"/>
    <n v="31.794520547945204"/>
    <n v="12.5"/>
  </r>
  <r>
    <s v="ORD-1057"/>
    <d v="2025-01-12T00:00:00"/>
    <x v="2"/>
    <x v="2"/>
    <n v="35"/>
    <n v="73"/>
    <n v="0"/>
    <n v="2555"/>
    <n v="30.438356164383563"/>
    <n v="35"/>
  </r>
  <r>
    <s v="ORD-1058"/>
    <d v="2025-01-12T00:00:00"/>
    <x v="3"/>
    <x v="3"/>
    <n v="120"/>
    <n v="51"/>
    <n v="0.1"/>
    <n v="5508"/>
    <n v="30.473972602739725"/>
    <n v="120"/>
  </r>
  <r>
    <s v="ORD-1059"/>
    <d v="2025-01-12T00:00:00"/>
    <x v="4"/>
    <x v="4"/>
    <n v="25"/>
    <n v="15"/>
    <n v="0"/>
    <n v="375"/>
    <n v="29.463013698630139"/>
    <n v="25"/>
  </r>
  <r>
    <s v="ORD-1060"/>
    <d v="2025-01-13T00:00:00"/>
    <x v="0"/>
    <x v="0"/>
    <n v="45"/>
    <n v="30"/>
    <n v="0"/>
    <n v="1350"/>
    <n v="31.479452054794521"/>
    <n v="45"/>
  </r>
  <r>
    <s v="ORD-1061"/>
    <d v="2025-01-13T00:00:00"/>
    <x v="1"/>
    <x v="1"/>
    <n v="12.5"/>
    <n v="10"/>
    <n v="0"/>
    <n v="125"/>
    <n v="31.794520547945204"/>
    <n v="12.5"/>
  </r>
  <r>
    <s v="ORD-1062"/>
    <d v="2025-01-13T00:00:00"/>
    <x v="2"/>
    <x v="2"/>
    <n v="35"/>
    <n v="5"/>
    <n v="0.1"/>
    <n v="157.5"/>
    <n v="30.438356164383563"/>
    <n v="35"/>
  </r>
  <r>
    <s v="ORD-1063"/>
    <d v="2025-01-13T00:00:00"/>
    <x v="3"/>
    <x v="3"/>
    <n v="120"/>
    <n v="17"/>
    <n v="0.1"/>
    <n v="1836"/>
    <n v="30.473972602739725"/>
    <n v="120"/>
  </r>
  <r>
    <s v="ORD-1064"/>
    <d v="2025-01-13T00:00:00"/>
    <x v="4"/>
    <x v="4"/>
    <n v="25"/>
    <n v="6"/>
    <n v="0"/>
    <n v="150"/>
    <n v="29.463013698630139"/>
    <n v="25"/>
  </r>
  <r>
    <s v="ORD-1065"/>
    <d v="2025-01-14T00:00:00"/>
    <x v="0"/>
    <x v="0"/>
    <n v="45"/>
    <n v="5"/>
    <n v="0"/>
    <n v="225"/>
    <n v="31.479452054794521"/>
    <n v="45"/>
  </r>
  <r>
    <s v="ORD-1066"/>
    <d v="2025-01-14T00:00:00"/>
    <x v="1"/>
    <x v="1"/>
    <n v="12.5"/>
    <n v="25"/>
    <n v="0"/>
    <n v="312.5"/>
    <n v="31.794520547945204"/>
    <n v="12.5"/>
  </r>
  <r>
    <s v="ORD-1067"/>
    <d v="2025-01-14T00:00:00"/>
    <x v="2"/>
    <x v="2"/>
    <n v="35"/>
    <n v="44"/>
    <n v="0"/>
    <n v="1540"/>
    <n v="30.438356164383563"/>
    <n v="35"/>
  </r>
  <r>
    <s v="ORD-1068"/>
    <d v="2025-01-14T00:00:00"/>
    <x v="3"/>
    <x v="3"/>
    <n v="120"/>
    <n v="36"/>
    <n v="0"/>
    <n v="4320"/>
    <n v="30.473972602739725"/>
    <n v="120"/>
  </r>
  <r>
    <s v="ORD-1069"/>
    <d v="2025-01-14T00:00:00"/>
    <x v="4"/>
    <x v="4"/>
    <n v="25"/>
    <n v="14"/>
    <n v="0"/>
    <n v="350"/>
    <n v="29.463013698630139"/>
    <n v="25"/>
  </r>
  <r>
    <s v="ORD-1070"/>
    <d v="2025-01-15T00:00:00"/>
    <x v="0"/>
    <x v="0"/>
    <n v="45"/>
    <n v="48"/>
    <n v="0.1"/>
    <n v="1944"/>
    <n v="31.479452054794521"/>
    <n v="45"/>
  </r>
  <r>
    <s v="ORD-1071"/>
    <d v="2025-01-15T00:00:00"/>
    <x v="1"/>
    <x v="1"/>
    <n v="12.5"/>
    <n v="12"/>
    <n v="0"/>
    <n v="150"/>
    <n v="31.794520547945204"/>
    <n v="12.5"/>
  </r>
  <r>
    <s v="ORD-1072"/>
    <d v="2025-01-15T00:00:00"/>
    <x v="2"/>
    <x v="2"/>
    <n v="35"/>
    <n v="23"/>
    <n v="0"/>
    <n v="805"/>
    <n v="30.438356164383563"/>
    <n v="35"/>
  </r>
  <r>
    <s v="ORD-1073"/>
    <d v="2025-01-15T00:00:00"/>
    <x v="3"/>
    <x v="3"/>
    <n v="120"/>
    <n v="47"/>
    <n v="0.1"/>
    <n v="5076"/>
    <n v="30.473972602739725"/>
    <n v="120"/>
  </r>
  <r>
    <s v="ORD-1074"/>
    <d v="2025-01-15T00:00:00"/>
    <x v="4"/>
    <x v="4"/>
    <n v="25"/>
    <n v="10"/>
    <n v="0"/>
    <n v="250"/>
    <n v="29.463013698630139"/>
    <n v="25"/>
  </r>
  <r>
    <s v="ORD-1075"/>
    <d v="2025-01-16T00:00:00"/>
    <x v="0"/>
    <x v="0"/>
    <n v="45"/>
    <n v="24"/>
    <n v="0"/>
    <n v="1080"/>
    <n v="31.479452054794521"/>
    <n v="45"/>
  </r>
  <r>
    <s v="ORD-1076"/>
    <d v="2025-01-16T00:00:00"/>
    <x v="1"/>
    <x v="1"/>
    <n v="12.5"/>
    <n v="28"/>
    <n v="0.2"/>
    <n v="280"/>
    <n v="31.794520547945204"/>
    <n v="12.5"/>
  </r>
  <r>
    <s v="ORD-1077"/>
    <d v="2025-01-16T00:00:00"/>
    <x v="2"/>
    <x v="2"/>
    <n v="35"/>
    <n v="37"/>
    <n v="0"/>
    <n v="1295"/>
    <n v="30.438356164383563"/>
    <n v="35"/>
  </r>
  <r>
    <s v="ORD-1078"/>
    <d v="2025-01-16T00:00:00"/>
    <x v="3"/>
    <x v="3"/>
    <n v="120"/>
    <n v="36"/>
    <n v="0"/>
    <n v="4320"/>
    <n v="30.473972602739725"/>
    <n v="120"/>
  </r>
  <r>
    <s v="ORD-1079"/>
    <d v="2025-01-16T00:00:00"/>
    <x v="4"/>
    <x v="4"/>
    <n v="25"/>
    <n v="42"/>
    <n v="0"/>
    <n v="1050"/>
    <n v="29.463013698630139"/>
    <n v="25"/>
  </r>
  <r>
    <s v="ORD-1080"/>
    <d v="2025-01-17T00:00:00"/>
    <x v="0"/>
    <x v="0"/>
    <n v="45"/>
    <n v="17"/>
    <n v="0"/>
    <n v="765"/>
    <n v="31.479452054794521"/>
    <n v="45"/>
  </r>
  <r>
    <s v="ORD-1081"/>
    <d v="2025-01-17T00:00:00"/>
    <x v="1"/>
    <x v="1"/>
    <n v="12.5"/>
    <n v="21"/>
    <n v="0"/>
    <n v="262.5"/>
    <n v="31.794520547945204"/>
    <n v="12.5"/>
  </r>
  <r>
    <s v="ORD-1082"/>
    <d v="2025-01-17T00:00:00"/>
    <x v="2"/>
    <x v="2"/>
    <n v="35"/>
    <n v="22"/>
    <n v="0.2"/>
    <n v="616"/>
    <n v="30.438356164383563"/>
    <n v="35"/>
  </r>
  <r>
    <s v="ORD-1083"/>
    <d v="2025-01-17T00:00:00"/>
    <x v="3"/>
    <x v="3"/>
    <n v="120"/>
    <n v="18"/>
    <n v="0"/>
    <n v="2160"/>
    <n v="30.473972602739725"/>
    <n v="120"/>
  </r>
  <r>
    <s v="ORD-1084"/>
    <d v="2025-01-17T00:00:00"/>
    <x v="4"/>
    <x v="4"/>
    <n v="25"/>
    <n v="25"/>
    <n v="0.2"/>
    <n v="500"/>
    <n v="29.463013698630139"/>
    <n v="25"/>
  </r>
  <r>
    <s v="ORD-1085"/>
    <d v="2025-01-18T00:00:00"/>
    <x v="0"/>
    <x v="0"/>
    <n v="45"/>
    <n v="9"/>
    <n v="0"/>
    <n v="405"/>
    <n v="31.479452054794521"/>
    <n v="45"/>
  </r>
  <r>
    <s v="ORD-1086"/>
    <d v="2025-01-18T00:00:00"/>
    <x v="1"/>
    <x v="1"/>
    <n v="12.5"/>
    <n v="48"/>
    <n v="0"/>
    <n v="600"/>
    <n v="31.794520547945204"/>
    <n v="12.5"/>
  </r>
  <r>
    <s v="ORD-1087"/>
    <d v="2025-01-18T00:00:00"/>
    <x v="2"/>
    <x v="2"/>
    <n v="35"/>
    <n v="9"/>
    <n v="0"/>
    <n v="315"/>
    <n v="30.438356164383563"/>
    <n v="35"/>
  </r>
  <r>
    <s v="ORD-1088"/>
    <d v="2025-01-18T00:00:00"/>
    <x v="3"/>
    <x v="3"/>
    <n v="120"/>
    <n v="70"/>
    <n v="0.2"/>
    <n v="6720"/>
    <n v="30.473972602739725"/>
    <n v="120"/>
  </r>
  <r>
    <s v="ORD-1089"/>
    <d v="2025-01-18T00:00:00"/>
    <x v="4"/>
    <x v="4"/>
    <n v="25"/>
    <n v="55"/>
    <n v="0"/>
    <n v="1375"/>
    <n v="29.463013698630139"/>
    <n v="25"/>
  </r>
  <r>
    <s v="ORD-1090"/>
    <d v="2025-01-19T00:00:00"/>
    <x v="0"/>
    <x v="0"/>
    <n v="45"/>
    <n v="60"/>
    <n v="0"/>
    <n v="2700"/>
    <n v="31.479452054794521"/>
    <n v="45"/>
  </r>
  <r>
    <s v="ORD-1091"/>
    <d v="2025-01-19T00:00:00"/>
    <x v="1"/>
    <x v="1"/>
    <n v="12.5"/>
    <n v="63"/>
    <n v="0.2"/>
    <n v="630"/>
    <n v="31.794520547945204"/>
    <n v="12.5"/>
  </r>
  <r>
    <s v="ORD-1092"/>
    <d v="2025-01-19T00:00:00"/>
    <x v="2"/>
    <x v="2"/>
    <n v="35"/>
    <n v="27"/>
    <n v="0"/>
    <n v="945"/>
    <n v="30.438356164383563"/>
    <n v="35"/>
  </r>
  <r>
    <s v="ORD-1093"/>
    <d v="2025-01-19T00:00:00"/>
    <x v="3"/>
    <x v="3"/>
    <n v="120"/>
    <n v="10"/>
    <n v="0"/>
    <n v="1200"/>
    <n v="30.473972602739725"/>
    <n v="120"/>
  </r>
  <r>
    <s v="ORD-1094"/>
    <d v="2025-01-19T00:00:00"/>
    <x v="4"/>
    <x v="4"/>
    <n v="25"/>
    <n v="7"/>
    <n v="0"/>
    <n v="175"/>
    <n v="29.463013698630139"/>
    <n v="25"/>
  </r>
  <r>
    <s v="ORD-1095"/>
    <d v="2025-01-20T00:00:00"/>
    <x v="0"/>
    <x v="0"/>
    <n v="45"/>
    <n v="47"/>
    <n v="0"/>
    <n v="2115"/>
    <n v="31.479452054794521"/>
    <n v="45"/>
  </r>
  <r>
    <s v="ORD-1096"/>
    <d v="2025-01-20T00:00:00"/>
    <x v="1"/>
    <x v="1"/>
    <n v="12.5"/>
    <n v="12"/>
    <n v="0"/>
    <n v="150"/>
    <n v="31.794520547945204"/>
    <n v="12.5"/>
  </r>
  <r>
    <s v="ORD-1097"/>
    <d v="2025-01-20T00:00:00"/>
    <x v="2"/>
    <x v="2"/>
    <n v="35"/>
    <n v="11"/>
    <n v="0"/>
    <n v="385"/>
    <n v="30.438356164383563"/>
    <n v="35"/>
  </r>
  <r>
    <s v="ORD-1098"/>
    <d v="2025-01-20T00:00:00"/>
    <x v="3"/>
    <x v="3"/>
    <n v="120"/>
    <n v="11"/>
    <n v="0"/>
    <n v="1320"/>
    <n v="30.473972602739725"/>
    <n v="120"/>
  </r>
  <r>
    <s v="ORD-1099"/>
    <d v="2025-01-20T00:00:00"/>
    <x v="4"/>
    <x v="4"/>
    <n v="25"/>
    <n v="22"/>
    <n v="0"/>
    <n v="550"/>
    <n v="29.463013698630139"/>
    <n v="25"/>
  </r>
  <r>
    <s v="ORD-1100"/>
    <d v="2025-01-21T00:00:00"/>
    <x v="0"/>
    <x v="0"/>
    <n v="45"/>
    <n v="17"/>
    <n v="0"/>
    <n v="765"/>
    <n v="31.479452054794521"/>
    <n v="45"/>
  </r>
  <r>
    <s v="ORD-1101"/>
    <d v="2025-01-21T00:00:00"/>
    <x v="1"/>
    <x v="1"/>
    <n v="12.5"/>
    <n v="46"/>
    <n v="0"/>
    <n v="575"/>
    <n v="31.794520547945204"/>
    <n v="12.5"/>
  </r>
  <r>
    <s v="ORD-1102"/>
    <d v="2025-01-21T00:00:00"/>
    <x v="2"/>
    <x v="2"/>
    <n v="35"/>
    <n v="20"/>
    <n v="0"/>
    <n v="700"/>
    <n v="30.438356164383563"/>
    <n v="35"/>
  </r>
  <r>
    <s v="ORD-1103"/>
    <d v="2025-01-21T00:00:00"/>
    <x v="3"/>
    <x v="3"/>
    <n v="120"/>
    <n v="28"/>
    <n v="0"/>
    <n v="3360"/>
    <n v="30.473972602739725"/>
    <n v="120"/>
  </r>
  <r>
    <s v="ORD-1104"/>
    <d v="2025-01-21T00:00:00"/>
    <x v="4"/>
    <x v="4"/>
    <n v="25"/>
    <n v="10"/>
    <n v="0"/>
    <n v="250"/>
    <n v="29.463013698630139"/>
    <n v="25"/>
  </r>
  <r>
    <s v="ORD-1105"/>
    <d v="2025-01-22T00:00:00"/>
    <x v="0"/>
    <x v="0"/>
    <n v="45"/>
    <n v="35"/>
    <n v="0"/>
    <n v="1575"/>
    <n v="31.479452054794521"/>
    <n v="45"/>
  </r>
  <r>
    <s v="ORD-1106"/>
    <d v="2025-01-22T00:00:00"/>
    <x v="1"/>
    <x v="1"/>
    <n v="12.5"/>
    <n v="12"/>
    <n v="0"/>
    <n v="150"/>
    <n v="31.794520547945204"/>
    <n v="12.5"/>
  </r>
  <r>
    <s v="ORD-1107"/>
    <d v="2025-01-22T00:00:00"/>
    <x v="2"/>
    <x v="2"/>
    <n v="35"/>
    <n v="38"/>
    <n v="0"/>
    <n v="1330"/>
    <n v="30.438356164383563"/>
    <n v="35"/>
  </r>
  <r>
    <s v="ORD-1108"/>
    <d v="2025-01-22T00:00:00"/>
    <x v="3"/>
    <x v="3"/>
    <n v="120"/>
    <n v="43"/>
    <n v="0"/>
    <n v="5160"/>
    <n v="30.473972602739725"/>
    <n v="120"/>
  </r>
  <r>
    <s v="ORD-1109"/>
    <d v="2025-01-22T00:00:00"/>
    <x v="4"/>
    <x v="4"/>
    <n v="25"/>
    <n v="29"/>
    <n v="0.1"/>
    <n v="652.5"/>
    <n v="29.463013698630139"/>
    <n v="25"/>
  </r>
  <r>
    <s v="ORD-1110"/>
    <d v="2025-01-23T00:00:00"/>
    <x v="0"/>
    <x v="0"/>
    <n v="45"/>
    <n v="17"/>
    <n v="0"/>
    <n v="765"/>
    <n v="31.479452054794521"/>
    <n v="45"/>
  </r>
  <r>
    <s v="ORD-1111"/>
    <d v="2025-01-23T00:00:00"/>
    <x v="1"/>
    <x v="1"/>
    <n v="12.5"/>
    <n v="30"/>
    <n v="0.1"/>
    <n v="337.5"/>
    <n v="31.794520547945204"/>
    <n v="12.5"/>
  </r>
  <r>
    <s v="ORD-1112"/>
    <d v="2025-01-23T00:00:00"/>
    <x v="2"/>
    <x v="2"/>
    <n v="35"/>
    <n v="25"/>
    <n v="0"/>
    <n v="875"/>
    <n v="30.438356164383563"/>
    <n v="35"/>
  </r>
  <r>
    <s v="ORD-1113"/>
    <d v="2025-01-23T00:00:00"/>
    <x v="3"/>
    <x v="3"/>
    <n v="120"/>
    <n v="41"/>
    <n v="0"/>
    <n v="4920"/>
    <n v="30.473972602739725"/>
    <n v="120"/>
  </r>
  <r>
    <s v="ORD-1114"/>
    <d v="2025-01-23T00:00:00"/>
    <x v="4"/>
    <x v="4"/>
    <n v="25"/>
    <n v="23"/>
    <n v="0"/>
    <n v="575"/>
    <n v="29.463013698630139"/>
    <n v="25"/>
  </r>
  <r>
    <s v="ORD-1115"/>
    <d v="2025-01-24T00:00:00"/>
    <x v="0"/>
    <x v="0"/>
    <n v="45"/>
    <n v="9"/>
    <n v="0"/>
    <n v="405"/>
    <n v="31.479452054794521"/>
    <n v="45"/>
  </r>
  <r>
    <s v="ORD-1116"/>
    <d v="2025-01-24T00:00:00"/>
    <x v="1"/>
    <x v="1"/>
    <n v="12.5"/>
    <n v="44"/>
    <n v="0"/>
    <n v="550"/>
    <n v="31.794520547945204"/>
    <n v="12.5"/>
  </r>
  <r>
    <s v="ORD-1117"/>
    <d v="2025-01-24T00:00:00"/>
    <x v="2"/>
    <x v="2"/>
    <n v="35"/>
    <n v="49"/>
    <n v="0"/>
    <n v="1715"/>
    <n v="30.438356164383563"/>
    <n v="35"/>
  </r>
  <r>
    <s v="ORD-1118"/>
    <d v="2025-01-24T00:00:00"/>
    <x v="3"/>
    <x v="3"/>
    <n v="120"/>
    <n v="42"/>
    <n v="0"/>
    <n v="5040"/>
    <n v="30.473972602739725"/>
    <n v="120"/>
  </r>
  <r>
    <s v="ORD-1119"/>
    <d v="2025-01-24T00:00:00"/>
    <x v="4"/>
    <x v="4"/>
    <n v="25"/>
    <n v="44"/>
    <n v="0.2"/>
    <n v="880"/>
    <n v="29.463013698630139"/>
    <n v="25"/>
  </r>
  <r>
    <s v="ORD-1120"/>
    <d v="2025-01-25T00:00:00"/>
    <x v="0"/>
    <x v="0"/>
    <n v="45"/>
    <n v="60"/>
    <n v="0"/>
    <n v="2700"/>
    <n v="31.479452054794521"/>
    <n v="45"/>
  </r>
  <r>
    <s v="ORD-1121"/>
    <d v="2025-01-25T00:00:00"/>
    <x v="1"/>
    <x v="1"/>
    <n v="12.5"/>
    <n v="36"/>
    <n v="0"/>
    <n v="450"/>
    <n v="31.794520547945204"/>
    <n v="12.5"/>
  </r>
  <r>
    <s v="ORD-1122"/>
    <d v="2025-01-25T00:00:00"/>
    <x v="2"/>
    <x v="2"/>
    <n v="35"/>
    <n v="72"/>
    <n v="0"/>
    <n v="2520"/>
    <n v="30.438356164383563"/>
    <n v="35"/>
  </r>
  <r>
    <s v="ORD-1123"/>
    <d v="2025-01-25T00:00:00"/>
    <x v="3"/>
    <x v="3"/>
    <n v="120"/>
    <n v="37"/>
    <n v="0.2"/>
    <n v="3552"/>
    <n v="30.473972602739725"/>
    <n v="120"/>
  </r>
  <r>
    <s v="ORD-1124"/>
    <d v="2025-01-25T00:00:00"/>
    <x v="4"/>
    <x v="4"/>
    <n v="25"/>
    <n v="64"/>
    <n v="0"/>
    <n v="1600"/>
    <n v="29.463013698630139"/>
    <n v="25"/>
  </r>
  <r>
    <s v="ORD-1125"/>
    <d v="2025-01-26T00:00:00"/>
    <x v="0"/>
    <x v="0"/>
    <n v="45"/>
    <n v="57"/>
    <n v="0"/>
    <n v="2565"/>
    <n v="31.479452054794521"/>
    <n v="45"/>
  </r>
  <r>
    <s v="ORD-1126"/>
    <d v="2025-01-26T00:00:00"/>
    <x v="1"/>
    <x v="1"/>
    <n v="12.5"/>
    <n v="57"/>
    <n v="0"/>
    <n v="712.5"/>
    <n v="31.794520547945204"/>
    <n v="12.5"/>
  </r>
  <r>
    <s v="ORD-1127"/>
    <d v="2025-01-26T00:00:00"/>
    <x v="2"/>
    <x v="2"/>
    <n v="35"/>
    <n v="46"/>
    <n v="0"/>
    <n v="1610"/>
    <n v="30.438356164383563"/>
    <n v="35"/>
  </r>
  <r>
    <s v="ORD-1128"/>
    <d v="2025-01-26T00:00:00"/>
    <x v="3"/>
    <x v="3"/>
    <n v="120"/>
    <n v="24"/>
    <n v="0.1"/>
    <n v="2592"/>
    <n v="30.473972602739725"/>
    <n v="120"/>
  </r>
  <r>
    <s v="ORD-1129"/>
    <d v="2025-01-26T00:00:00"/>
    <x v="4"/>
    <x v="4"/>
    <n v="25"/>
    <n v="13"/>
    <n v="0"/>
    <n v="325"/>
    <n v="29.463013698630139"/>
    <n v="25"/>
  </r>
  <r>
    <s v="ORD-1130"/>
    <d v="2025-01-27T00:00:00"/>
    <x v="0"/>
    <x v="0"/>
    <n v="45"/>
    <n v="12"/>
    <n v="0.1"/>
    <n v="486"/>
    <n v="31.479452054794521"/>
    <n v="45"/>
  </r>
  <r>
    <s v="ORD-1131"/>
    <d v="2025-01-27T00:00:00"/>
    <x v="1"/>
    <x v="1"/>
    <n v="12.5"/>
    <n v="28"/>
    <n v="0.1"/>
    <n v="315"/>
    <n v="31.794520547945204"/>
    <n v="12.5"/>
  </r>
  <r>
    <s v="ORD-1132"/>
    <d v="2025-01-27T00:00:00"/>
    <x v="2"/>
    <x v="2"/>
    <n v="35"/>
    <n v="14"/>
    <n v="0"/>
    <n v="490"/>
    <n v="30.438356164383563"/>
    <n v="35"/>
  </r>
  <r>
    <s v="ORD-1133"/>
    <d v="2025-01-27T00:00:00"/>
    <x v="3"/>
    <x v="3"/>
    <n v="120"/>
    <n v="46"/>
    <n v="0"/>
    <n v="5520"/>
    <n v="30.473972602739725"/>
    <n v="120"/>
  </r>
  <r>
    <s v="ORD-1134"/>
    <d v="2025-01-27T00:00:00"/>
    <x v="4"/>
    <x v="4"/>
    <n v="25"/>
    <n v="27"/>
    <n v="0.1"/>
    <n v="607.5"/>
    <n v="29.463013698630139"/>
    <n v="25"/>
  </r>
  <r>
    <s v="ORD-1135"/>
    <d v="2025-01-28T00:00:00"/>
    <x v="0"/>
    <x v="0"/>
    <n v="45"/>
    <n v="5"/>
    <n v="0"/>
    <n v="225"/>
    <n v="31.479452054794521"/>
    <n v="45"/>
  </r>
  <r>
    <s v="ORD-1136"/>
    <d v="2025-01-28T00:00:00"/>
    <x v="1"/>
    <x v="1"/>
    <n v="12.5"/>
    <n v="31"/>
    <n v="0"/>
    <n v="387.5"/>
    <n v="31.794520547945204"/>
    <n v="12.5"/>
  </r>
  <r>
    <s v="ORD-1137"/>
    <d v="2025-01-28T00:00:00"/>
    <x v="2"/>
    <x v="2"/>
    <n v="35"/>
    <n v="28"/>
    <n v="0"/>
    <n v="980"/>
    <n v="30.438356164383563"/>
    <n v="35"/>
  </r>
  <r>
    <s v="ORD-1138"/>
    <d v="2025-01-28T00:00:00"/>
    <x v="3"/>
    <x v="3"/>
    <n v="120"/>
    <n v="11"/>
    <n v="0.1"/>
    <n v="1188"/>
    <n v="30.473972602739725"/>
    <n v="120"/>
  </r>
  <r>
    <s v="ORD-1139"/>
    <d v="2025-01-28T00:00:00"/>
    <x v="4"/>
    <x v="4"/>
    <n v="25"/>
    <n v="46"/>
    <n v="0.2"/>
    <n v="920"/>
    <n v="29.463013698630139"/>
    <n v="25"/>
  </r>
  <r>
    <s v="ORD-1140"/>
    <d v="2025-01-29T00:00:00"/>
    <x v="0"/>
    <x v="0"/>
    <n v="45"/>
    <n v="6"/>
    <n v="0.2"/>
    <n v="216"/>
    <n v="31.479452054794521"/>
    <n v="45"/>
  </r>
  <r>
    <s v="ORD-1141"/>
    <d v="2025-01-29T00:00:00"/>
    <x v="1"/>
    <x v="1"/>
    <n v="12.5"/>
    <n v="46"/>
    <n v="0"/>
    <n v="575"/>
    <n v="31.794520547945204"/>
    <n v="12.5"/>
  </r>
  <r>
    <s v="ORD-1142"/>
    <d v="2025-01-29T00:00:00"/>
    <x v="2"/>
    <x v="2"/>
    <n v="35"/>
    <n v="6"/>
    <n v="0"/>
    <n v="210"/>
    <n v="30.438356164383563"/>
    <n v="35"/>
  </r>
  <r>
    <s v="ORD-1143"/>
    <d v="2025-01-29T00:00:00"/>
    <x v="3"/>
    <x v="3"/>
    <n v="120"/>
    <n v="47"/>
    <n v="0.2"/>
    <n v="4512"/>
    <n v="30.473972602739725"/>
    <n v="120"/>
  </r>
  <r>
    <s v="ORD-1144"/>
    <d v="2025-01-29T00:00:00"/>
    <x v="4"/>
    <x v="4"/>
    <n v="25"/>
    <n v="44"/>
    <n v="0"/>
    <n v="1100"/>
    <n v="29.463013698630139"/>
    <n v="25"/>
  </r>
  <r>
    <s v="ORD-1145"/>
    <d v="2025-01-30T00:00:00"/>
    <x v="0"/>
    <x v="0"/>
    <n v="45"/>
    <n v="42"/>
    <n v="0"/>
    <n v="1890"/>
    <n v="31.479452054794521"/>
    <n v="45"/>
  </r>
  <r>
    <s v="ORD-1146"/>
    <d v="2025-01-30T00:00:00"/>
    <x v="1"/>
    <x v="1"/>
    <n v="12.5"/>
    <n v="23"/>
    <n v="0.2"/>
    <n v="230"/>
    <n v="31.794520547945204"/>
    <n v="12.5"/>
  </r>
  <r>
    <s v="ORD-1147"/>
    <d v="2025-01-30T00:00:00"/>
    <x v="2"/>
    <x v="2"/>
    <n v="35"/>
    <n v="29"/>
    <n v="0"/>
    <n v="1015"/>
    <n v="30.438356164383563"/>
    <n v="35"/>
  </r>
  <r>
    <s v="ORD-1148"/>
    <d v="2025-01-30T00:00:00"/>
    <x v="3"/>
    <x v="3"/>
    <n v="120"/>
    <n v="42"/>
    <n v="0"/>
    <n v="5040"/>
    <n v="30.473972602739725"/>
    <n v="120"/>
  </r>
  <r>
    <s v="ORD-1149"/>
    <d v="2025-01-30T00:00:00"/>
    <x v="4"/>
    <x v="4"/>
    <n v="25"/>
    <n v="27"/>
    <n v="0"/>
    <n v="675"/>
    <n v="29.463013698630139"/>
    <n v="25"/>
  </r>
  <r>
    <s v="ORD-1150"/>
    <d v="2025-01-31T00:00:00"/>
    <x v="0"/>
    <x v="0"/>
    <n v="45"/>
    <n v="24"/>
    <n v="0"/>
    <n v="1080"/>
    <n v="31.479452054794521"/>
    <n v="45"/>
  </r>
  <r>
    <s v="ORD-1151"/>
    <d v="2025-01-31T00:00:00"/>
    <x v="1"/>
    <x v="1"/>
    <n v="12.5"/>
    <n v="25"/>
    <n v="0.2"/>
    <n v="250"/>
    <n v="31.794520547945204"/>
    <n v="12.5"/>
  </r>
  <r>
    <s v="ORD-1152"/>
    <d v="2025-01-31T00:00:00"/>
    <x v="2"/>
    <x v="2"/>
    <n v="35"/>
    <n v="13"/>
    <n v="0"/>
    <n v="455"/>
    <n v="30.438356164383563"/>
    <n v="35"/>
  </r>
  <r>
    <s v="ORD-1153"/>
    <d v="2025-01-31T00:00:00"/>
    <x v="3"/>
    <x v="3"/>
    <n v="120"/>
    <n v="21"/>
    <n v="0"/>
    <n v="2520"/>
    <n v="30.473972602739725"/>
    <n v="120"/>
  </r>
  <r>
    <s v="ORD-1154"/>
    <d v="2025-01-31T00:00:00"/>
    <x v="4"/>
    <x v="4"/>
    <n v="25"/>
    <n v="26"/>
    <n v="0.2"/>
    <n v="520"/>
    <n v="29.463013698630139"/>
    <n v="25"/>
  </r>
  <r>
    <s v="ORD-1155"/>
    <d v="2025-02-01T00:00:00"/>
    <x v="0"/>
    <x v="0"/>
    <n v="45"/>
    <n v="30"/>
    <n v="0"/>
    <n v="1350"/>
    <n v="31.479452054794521"/>
    <n v="45"/>
  </r>
  <r>
    <s v="ORD-1156"/>
    <d v="2025-02-01T00:00:00"/>
    <x v="1"/>
    <x v="1"/>
    <n v="12.5"/>
    <n v="58"/>
    <n v="0"/>
    <n v="725"/>
    <n v="31.794520547945204"/>
    <n v="12.5"/>
  </r>
  <r>
    <s v="ORD-1157"/>
    <d v="2025-02-01T00:00:00"/>
    <x v="2"/>
    <x v="2"/>
    <n v="35"/>
    <n v="7"/>
    <n v="0"/>
    <n v="245"/>
    <n v="30.438356164383563"/>
    <n v="35"/>
  </r>
  <r>
    <s v="ORD-1158"/>
    <d v="2025-02-01T00:00:00"/>
    <x v="3"/>
    <x v="3"/>
    <n v="120"/>
    <n v="57"/>
    <n v="0"/>
    <n v="6840"/>
    <n v="30.473972602739725"/>
    <n v="120"/>
  </r>
  <r>
    <s v="ORD-1159"/>
    <d v="2025-02-01T00:00:00"/>
    <x v="4"/>
    <x v="4"/>
    <n v="25"/>
    <n v="33"/>
    <n v="0"/>
    <n v="825"/>
    <n v="29.463013698630139"/>
    <n v="25"/>
  </r>
  <r>
    <s v="ORD-1160"/>
    <d v="2025-02-02T00:00:00"/>
    <x v="0"/>
    <x v="0"/>
    <n v="45"/>
    <n v="54"/>
    <n v="0.1"/>
    <n v="2187"/>
    <n v="31.479452054794521"/>
    <n v="45"/>
  </r>
  <r>
    <s v="ORD-1161"/>
    <d v="2025-02-02T00:00:00"/>
    <x v="1"/>
    <x v="1"/>
    <n v="12.5"/>
    <n v="43"/>
    <n v="0"/>
    <n v="537.5"/>
    <n v="31.794520547945204"/>
    <n v="12.5"/>
  </r>
  <r>
    <s v="ORD-1162"/>
    <d v="2025-02-02T00:00:00"/>
    <x v="2"/>
    <x v="2"/>
    <n v="35"/>
    <n v="42"/>
    <n v="0.2"/>
    <n v="1176"/>
    <n v="30.438356164383563"/>
    <n v="35"/>
  </r>
  <r>
    <s v="ORD-1163"/>
    <d v="2025-02-02T00:00:00"/>
    <x v="3"/>
    <x v="3"/>
    <n v="120"/>
    <n v="24"/>
    <n v="0.1"/>
    <n v="2592"/>
    <n v="30.473972602739725"/>
    <n v="120"/>
  </r>
  <r>
    <s v="ORD-1164"/>
    <d v="2025-02-02T00:00:00"/>
    <x v="4"/>
    <x v="4"/>
    <n v="25"/>
    <n v="58"/>
    <n v="0"/>
    <n v="1450"/>
    <n v="29.463013698630139"/>
    <n v="25"/>
  </r>
  <r>
    <s v="ORD-1165"/>
    <d v="2025-02-03T00:00:00"/>
    <x v="0"/>
    <x v="0"/>
    <n v="45"/>
    <n v="44"/>
    <n v="0.2"/>
    <n v="1584"/>
    <n v="31.479452054794521"/>
    <n v="45"/>
  </r>
  <r>
    <s v="ORD-1166"/>
    <d v="2025-02-03T00:00:00"/>
    <x v="1"/>
    <x v="1"/>
    <n v="12.5"/>
    <n v="36"/>
    <n v="0"/>
    <n v="450"/>
    <n v="31.794520547945204"/>
    <n v="12.5"/>
  </r>
  <r>
    <s v="ORD-1167"/>
    <d v="2025-02-03T00:00:00"/>
    <x v="2"/>
    <x v="2"/>
    <n v="35"/>
    <n v="31"/>
    <n v="0"/>
    <n v="1085"/>
    <n v="30.438356164383563"/>
    <n v="35"/>
  </r>
  <r>
    <s v="ORD-1168"/>
    <d v="2025-02-03T00:00:00"/>
    <x v="3"/>
    <x v="3"/>
    <n v="120"/>
    <n v="20"/>
    <n v="0"/>
    <n v="2400"/>
    <n v="30.473972602739725"/>
    <n v="120"/>
  </r>
  <r>
    <s v="ORD-1169"/>
    <d v="2025-02-03T00:00:00"/>
    <x v="4"/>
    <x v="4"/>
    <n v="25"/>
    <n v="9"/>
    <n v="0.1"/>
    <n v="202.5"/>
    <n v="29.463013698630139"/>
    <n v="25"/>
  </r>
  <r>
    <s v="ORD-1170"/>
    <d v="2025-02-04T00:00:00"/>
    <x v="0"/>
    <x v="0"/>
    <n v="45"/>
    <n v="24"/>
    <n v="0"/>
    <n v="1080"/>
    <n v="31.479452054794521"/>
    <n v="45"/>
  </r>
  <r>
    <s v="ORD-1171"/>
    <d v="2025-02-04T00:00:00"/>
    <x v="1"/>
    <x v="1"/>
    <n v="12.5"/>
    <n v="14"/>
    <n v="0"/>
    <n v="175"/>
    <n v="31.794520547945204"/>
    <n v="12.5"/>
  </r>
  <r>
    <s v="ORD-1172"/>
    <d v="2025-02-04T00:00:00"/>
    <x v="2"/>
    <x v="2"/>
    <n v="35"/>
    <n v="5"/>
    <n v="0.1"/>
    <n v="157.5"/>
    <n v="30.438356164383563"/>
    <n v="35"/>
  </r>
  <r>
    <s v="ORD-1173"/>
    <d v="2025-02-04T00:00:00"/>
    <x v="3"/>
    <x v="3"/>
    <n v="120"/>
    <n v="15"/>
    <n v="0"/>
    <n v="1800"/>
    <n v="30.473972602739725"/>
    <n v="120"/>
  </r>
  <r>
    <s v="ORD-1174"/>
    <d v="2025-02-04T00:00:00"/>
    <x v="4"/>
    <x v="4"/>
    <n v="25"/>
    <n v="14"/>
    <n v="0"/>
    <n v="350"/>
    <n v="29.463013698630139"/>
    <n v="25"/>
  </r>
  <r>
    <s v="ORD-1175"/>
    <d v="2025-02-05T00:00:00"/>
    <x v="0"/>
    <x v="0"/>
    <n v="45"/>
    <n v="19"/>
    <n v="0"/>
    <n v="855"/>
    <n v="31.479452054794521"/>
    <n v="45"/>
  </r>
  <r>
    <s v="ORD-1176"/>
    <d v="2025-02-05T00:00:00"/>
    <x v="1"/>
    <x v="1"/>
    <n v="12.5"/>
    <n v="20"/>
    <n v="0"/>
    <n v="250"/>
    <n v="31.794520547945204"/>
    <n v="12.5"/>
  </r>
  <r>
    <s v="ORD-1177"/>
    <d v="2025-02-05T00:00:00"/>
    <x v="2"/>
    <x v="2"/>
    <n v="35"/>
    <n v="24"/>
    <n v="0.1"/>
    <n v="756"/>
    <n v="30.438356164383563"/>
    <n v="35"/>
  </r>
  <r>
    <s v="ORD-1178"/>
    <d v="2025-02-05T00:00:00"/>
    <x v="3"/>
    <x v="3"/>
    <n v="120"/>
    <n v="42"/>
    <n v="0"/>
    <n v="5040"/>
    <n v="30.473972602739725"/>
    <n v="120"/>
  </r>
  <r>
    <s v="ORD-1179"/>
    <d v="2025-02-05T00:00:00"/>
    <x v="4"/>
    <x v="4"/>
    <n v="25"/>
    <n v="12"/>
    <n v="0"/>
    <n v="300"/>
    <n v="29.463013698630139"/>
    <n v="25"/>
  </r>
  <r>
    <s v="ORD-1180"/>
    <d v="2025-02-06T00:00:00"/>
    <x v="0"/>
    <x v="0"/>
    <n v="45"/>
    <n v="29"/>
    <n v="0.1"/>
    <n v="1174.5"/>
    <n v="31.479452054794521"/>
    <n v="45"/>
  </r>
  <r>
    <s v="ORD-1181"/>
    <d v="2025-02-06T00:00:00"/>
    <x v="1"/>
    <x v="1"/>
    <n v="12.5"/>
    <n v="19"/>
    <n v="0.1"/>
    <n v="213.75"/>
    <n v="31.794520547945204"/>
    <n v="12.5"/>
  </r>
  <r>
    <s v="ORD-1182"/>
    <d v="2025-02-06T00:00:00"/>
    <x v="2"/>
    <x v="2"/>
    <n v="35"/>
    <n v="6"/>
    <n v="0.1"/>
    <n v="189"/>
    <n v="30.438356164383563"/>
    <n v="35"/>
  </r>
  <r>
    <s v="ORD-1183"/>
    <d v="2025-02-06T00:00:00"/>
    <x v="3"/>
    <x v="3"/>
    <n v="120"/>
    <n v="43"/>
    <n v="0"/>
    <n v="5160"/>
    <n v="30.473972602739725"/>
    <n v="120"/>
  </r>
  <r>
    <s v="ORD-1184"/>
    <d v="2025-02-06T00:00:00"/>
    <x v="4"/>
    <x v="4"/>
    <n v="25"/>
    <n v="11"/>
    <n v="0"/>
    <n v="275"/>
    <n v="29.463013698630139"/>
    <n v="25"/>
  </r>
  <r>
    <s v="ORD-1185"/>
    <d v="2025-02-07T00:00:00"/>
    <x v="0"/>
    <x v="0"/>
    <n v="45"/>
    <n v="46"/>
    <n v="0"/>
    <n v="2070"/>
    <n v="31.479452054794521"/>
    <n v="45"/>
  </r>
  <r>
    <s v="ORD-1186"/>
    <d v="2025-02-07T00:00:00"/>
    <x v="1"/>
    <x v="1"/>
    <n v="12.5"/>
    <n v="24"/>
    <n v="0"/>
    <n v="300"/>
    <n v="31.794520547945204"/>
    <n v="12.5"/>
  </r>
  <r>
    <s v="ORD-1187"/>
    <d v="2025-02-07T00:00:00"/>
    <x v="2"/>
    <x v="2"/>
    <n v="35"/>
    <n v="6"/>
    <n v="0.2"/>
    <n v="168"/>
    <n v="30.438356164383563"/>
    <n v="35"/>
  </r>
  <r>
    <s v="ORD-1188"/>
    <d v="2025-02-07T00:00:00"/>
    <x v="3"/>
    <x v="3"/>
    <n v="120"/>
    <n v="23"/>
    <n v="0"/>
    <n v="2760"/>
    <n v="30.473972602739725"/>
    <n v="120"/>
  </r>
  <r>
    <s v="ORD-1189"/>
    <d v="2025-02-07T00:00:00"/>
    <x v="4"/>
    <x v="4"/>
    <n v="25"/>
    <n v="26"/>
    <n v="0"/>
    <n v="650"/>
    <n v="29.463013698630139"/>
    <n v="25"/>
  </r>
  <r>
    <s v="ORD-1190"/>
    <d v="2025-02-08T00:00:00"/>
    <x v="0"/>
    <x v="0"/>
    <n v="45"/>
    <n v="43"/>
    <n v="0.1"/>
    <n v="1741.5"/>
    <n v="31.479452054794521"/>
    <n v="45"/>
  </r>
  <r>
    <s v="ORD-1191"/>
    <d v="2025-02-08T00:00:00"/>
    <x v="1"/>
    <x v="1"/>
    <n v="12.5"/>
    <n v="42"/>
    <n v="0.1"/>
    <n v="472.5"/>
    <n v="31.794520547945204"/>
    <n v="12.5"/>
  </r>
  <r>
    <s v="ORD-1192"/>
    <d v="2025-02-08T00:00:00"/>
    <x v="2"/>
    <x v="2"/>
    <n v="35"/>
    <n v="15"/>
    <n v="0"/>
    <n v="525"/>
    <n v="30.438356164383563"/>
    <n v="35"/>
  </r>
  <r>
    <s v="ORD-1193"/>
    <d v="2025-02-08T00:00:00"/>
    <x v="3"/>
    <x v="3"/>
    <n v="120"/>
    <n v="67"/>
    <n v="0"/>
    <n v="8040"/>
    <n v="30.473972602739725"/>
    <n v="120"/>
  </r>
  <r>
    <s v="ORD-1194"/>
    <d v="2025-02-08T00:00:00"/>
    <x v="4"/>
    <x v="4"/>
    <n v="25"/>
    <n v="49"/>
    <n v="0"/>
    <n v="1225"/>
    <n v="29.463013698630139"/>
    <n v="25"/>
  </r>
  <r>
    <s v="ORD-1195"/>
    <d v="2025-02-09T00:00:00"/>
    <x v="0"/>
    <x v="0"/>
    <n v="45"/>
    <n v="43"/>
    <n v="0.2"/>
    <n v="1548"/>
    <n v="31.479452054794521"/>
    <n v="45"/>
  </r>
  <r>
    <s v="ORD-1196"/>
    <d v="2025-02-09T00:00:00"/>
    <x v="1"/>
    <x v="1"/>
    <n v="12.5"/>
    <n v="60"/>
    <n v="0.1"/>
    <n v="675"/>
    <n v="31.794520547945204"/>
    <n v="12.5"/>
  </r>
  <r>
    <s v="ORD-1197"/>
    <d v="2025-02-09T00:00:00"/>
    <x v="2"/>
    <x v="2"/>
    <n v="35"/>
    <n v="67"/>
    <n v="0.1"/>
    <n v="2110.5"/>
    <n v="30.438356164383563"/>
    <n v="35"/>
  </r>
  <r>
    <s v="ORD-1198"/>
    <d v="2025-02-09T00:00:00"/>
    <x v="3"/>
    <x v="3"/>
    <n v="120"/>
    <n v="10"/>
    <n v="0"/>
    <n v="1200"/>
    <n v="30.473972602739725"/>
    <n v="120"/>
  </r>
  <r>
    <s v="ORD-1199"/>
    <d v="2025-02-09T00:00:00"/>
    <x v="4"/>
    <x v="4"/>
    <n v="25"/>
    <n v="73"/>
    <n v="0"/>
    <n v="1825"/>
    <n v="29.463013698630139"/>
    <n v="25"/>
  </r>
  <r>
    <s v="ORD-1200"/>
    <d v="2025-02-10T00:00:00"/>
    <x v="0"/>
    <x v="0"/>
    <n v="45"/>
    <n v="5"/>
    <n v="0.2"/>
    <n v="180"/>
    <n v="31.479452054794521"/>
    <n v="45"/>
  </r>
  <r>
    <s v="ORD-1201"/>
    <d v="2025-02-10T00:00:00"/>
    <x v="1"/>
    <x v="1"/>
    <n v="12.5"/>
    <n v="33"/>
    <n v="0"/>
    <n v="412.5"/>
    <n v="31.794520547945204"/>
    <n v="12.5"/>
  </r>
  <r>
    <s v="ORD-1202"/>
    <d v="2025-02-10T00:00:00"/>
    <x v="2"/>
    <x v="2"/>
    <n v="35"/>
    <n v="26"/>
    <n v="0"/>
    <n v="910"/>
    <n v="30.438356164383563"/>
    <n v="35"/>
  </r>
  <r>
    <s v="ORD-1203"/>
    <d v="2025-02-10T00:00:00"/>
    <x v="3"/>
    <x v="3"/>
    <n v="120"/>
    <n v="17"/>
    <n v="0.1"/>
    <n v="1836"/>
    <n v="30.473972602739725"/>
    <n v="120"/>
  </r>
  <r>
    <s v="ORD-1204"/>
    <d v="2025-02-10T00:00:00"/>
    <x v="4"/>
    <x v="4"/>
    <n v="25"/>
    <n v="9"/>
    <n v="0.1"/>
    <n v="202.5"/>
    <n v="29.463013698630139"/>
    <n v="25"/>
  </r>
  <r>
    <s v="ORD-1205"/>
    <d v="2025-02-11T00:00:00"/>
    <x v="0"/>
    <x v="0"/>
    <n v="45"/>
    <n v="45"/>
    <n v="0"/>
    <n v="2025"/>
    <n v="31.479452054794521"/>
    <n v="45"/>
  </r>
  <r>
    <s v="ORD-1206"/>
    <d v="2025-02-11T00:00:00"/>
    <x v="1"/>
    <x v="1"/>
    <n v="12.5"/>
    <n v="28"/>
    <n v="0.1"/>
    <n v="315"/>
    <n v="31.794520547945204"/>
    <n v="12.5"/>
  </r>
  <r>
    <s v="ORD-1207"/>
    <d v="2025-02-11T00:00:00"/>
    <x v="2"/>
    <x v="2"/>
    <n v="35"/>
    <n v="46"/>
    <n v="0"/>
    <n v="1610"/>
    <n v="30.438356164383563"/>
    <n v="35"/>
  </r>
  <r>
    <s v="ORD-1208"/>
    <d v="2025-02-11T00:00:00"/>
    <x v="3"/>
    <x v="3"/>
    <n v="120"/>
    <n v="26"/>
    <n v="0"/>
    <n v="3120"/>
    <n v="30.473972602739725"/>
    <n v="120"/>
  </r>
  <r>
    <s v="ORD-1209"/>
    <d v="2025-02-11T00:00:00"/>
    <x v="4"/>
    <x v="4"/>
    <n v="25"/>
    <n v="24"/>
    <n v="0.2"/>
    <n v="480"/>
    <n v="29.463013698630139"/>
    <n v="25"/>
  </r>
  <r>
    <s v="ORD-1210"/>
    <d v="2025-02-12T00:00:00"/>
    <x v="0"/>
    <x v="0"/>
    <n v="45"/>
    <n v="27"/>
    <n v="0"/>
    <n v="1215"/>
    <n v="31.479452054794521"/>
    <n v="45"/>
  </r>
  <r>
    <s v="ORD-1211"/>
    <d v="2025-02-12T00:00:00"/>
    <x v="1"/>
    <x v="1"/>
    <n v="12.5"/>
    <n v="43"/>
    <n v="0"/>
    <n v="537.5"/>
    <n v="31.794520547945204"/>
    <n v="12.5"/>
  </r>
  <r>
    <s v="ORD-1212"/>
    <d v="2025-02-12T00:00:00"/>
    <x v="2"/>
    <x v="2"/>
    <n v="35"/>
    <n v="8"/>
    <n v="0"/>
    <n v="280"/>
    <n v="30.438356164383563"/>
    <n v="35"/>
  </r>
  <r>
    <s v="ORD-1213"/>
    <d v="2025-02-12T00:00:00"/>
    <x v="3"/>
    <x v="3"/>
    <n v="120"/>
    <n v="38"/>
    <n v="0"/>
    <n v="4560"/>
    <n v="30.473972602739725"/>
    <n v="120"/>
  </r>
  <r>
    <s v="ORD-1214"/>
    <d v="2025-02-12T00:00:00"/>
    <x v="4"/>
    <x v="4"/>
    <n v="25"/>
    <n v="34"/>
    <n v="0"/>
    <n v="850"/>
    <n v="29.463013698630139"/>
    <n v="25"/>
  </r>
  <r>
    <s v="ORD-1215"/>
    <d v="2025-02-13T00:00:00"/>
    <x v="0"/>
    <x v="0"/>
    <n v="45"/>
    <n v="5"/>
    <n v="0"/>
    <n v="225"/>
    <n v="31.479452054794521"/>
    <n v="45"/>
  </r>
  <r>
    <s v="ORD-1216"/>
    <d v="2025-02-13T00:00:00"/>
    <x v="1"/>
    <x v="1"/>
    <n v="12.5"/>
    <n v="36"/>
    <n v="0"/>
    <n v="450"/>
    <n v="31.794520547945204"/>
    <n v="12.5"/>
  </r>
  <r>
    <s v="ORD-1217"/>
    <d v="2025-02-13T00:00:00"/>
    <x v="2"/>
    <x v="2"/>
    <n v="35"/>
    <n v="22"/>
    <n v="0.1"/>
    <n v="693"/>
    <n v="30.438356164383563"/>
    <n v="35"/>
  </r>
  <r>
    <s v="ORD-1218"/>
    <d v="2025-02-13T00:00:00"/>
    <x v="3"/>
    <x v="3"/>
    <n v="120"/>
    <n v="31"/>
    <n v="0"/>
    <n v="3720"/>
    <n v="30.473972602739725"/>
    <n v="120"/>
  </r>
  <r>
    <s v="ORD-1219"/>
    <d v="2025-02-13T00:00:00"/>
    <x v="4"/>
    <x v="4"/>
    <n v="25"/>
    <n v="30"/>
    <n v="0"/>
    <n v="750"/>
    <n v="29.463013698630139"/>
    <n v="25"/>
  </r>
  <r>
    <s v="ORD-1220"/>
    <d v="2025-02-14T00:00:00"/>
    <x v="0"/>
    <x v="0"/>
    <n v="45"/>
    <n v="39"/>
    <n v="0.1"/>
    <n v="1579.5"/>
    <n v="31.479452054794521"/>
    <n v="45"/>
  </r>
  <r>
    <s v="ORD-1221"/>
    <d v="2025-02-14T00:00:00"/>
    <x v="1"/>
    <x v="1"/>
    <n v="12.5"/>
    <n v="24"/>
    <n v="0.1"/>
    <n v="270"/>
    <n v="31.794520547945204"/>
    <n v="12.5"/>
  </r>
  <r>
    <s v="ORD-1222"/>
    <d v="2025-02-14T00:00:00"/>
    <x v="2"/>
    <x v="2"/>
    <n v="35"/>
    <n v="43"/>
    <n v="0"/>
    <n v="1505"/>
    <n v="30.438356164383563"/>
    <n v="35"/>
  </r>
  <r>
    <s v="ORD-1223"/>
    <d v="2025-02-14T00:00:00"/>
    <x v="3"/>
    <x v="3"/>
    <n v="120"/>
    <n v="8"/>
    <n v="0"/>
    <n v="960"/>
    <n v="30.473972602739725"/>
    <n v="120"/>
  </r>
  <r>
    <s v="ORD-1224"/>
    <d v="2025-02-14T00:00:00"/>
    <x v="4"/>
    <x v="4"/>
    <n v="25"/>
    <n v="6"/>
    <n v="0"/>
    <n v="150"/>
    <n v="29.463013698630139"/>
    <n v="25"/>
  </r>
  <r>
    <s v="ORD-1225"/>
    <d v="2025-02-15T00:00:00"/>
    <x v="0"/>
    <x v="0"/>
    <n v="45"/>
    <n v="40"/>
    <n v="0"/>
    <n v="1800"/>
    <n v="31.479452054794521"/>
    <n v="45"/>
  </r>
  <r>
    <s v="ORD-1226"/>
    <d v="2025-02-15T00:00:00"/>
    <x v="1"/>
    <x v="1"/>
    <n v="12.5"/>
    <n v="13"/>
    <n v="0.1"/>
    <n v="146.25"/>
    <n v="31.794520547945204"/>
    <n v="12.5"/>
  </r>
  <r>
    <s v="ORD-1227"/>
    <d v="2025-02-15T00:00:00"/>
    <x v="2"/>
    <x v="2"/>
    <n v="35"/>
    <n v="49"/>
    <n v="0"/>
    <n v="1715"/>
    <n v="30.438356164383563"/>
    <n v="35"/>
  </r>
  <r>
    <s v="ORD-1228"/>
    <d v="2025-02-15T00:00:00"/>
    <x v="3"/>
    <x v="3"/>
    <n v="120"/>
    <n v="39"/>
    <n v="0"/>
    <n v="4680"/>
    <n v="30.473972602739725"/>
    <n v="120"/>
  </r>
  <r>
    <s v="ORD-1229"/>
    <d v="2025-02-15T00:00:00"/>
    <x v="4"/>
    <x v="4"/>
    <n v="25"/>
    <n v="10"/>
    <n v="0"/>
    <n v="250"/>
    <n v="29.463013698630139"/>
    <n v="25"/>
  </r>
  <r>
    <s v="ORD-1230"/>
    <d v="2025-02-16T00:00:00"/>
    <x v="0"/>
    <x v="0"/>
    <n v="45"/>
    <n v="36"/>
    <n v="0"/>
    <n v="1620"/>
    <n v="31.479452054794521"/>
    <n v="45"/>
  </r>
  <r>
    <s v="ORD-1231"/>
    <d v="2025-02-16T00:00:00"/>
    <x v="1"/>
    <x v="1"/>
    <n v="12.5"/>
    <n v="25"/>
    <n v="0.1"/>
    <n v="281.25"/>
    <n v="31.794520547945204"/>
    <n v="12.5"/>
  </r>
  <r>
    <s v="ORD-1232"/>
    <d v="2025-02-16T00:00:00"/>
    <x v="2"/>
    <x v="2"/>
    <n v="35"/>
    <n v="54"/>
    <n v="0"/>
    <n v="1890"/>
    <n v="30.438356164383563"/>
    <n v="35"/>
  </r>
  <r>
    <s v="ORD-1233"/>
    <d v="2025-02-16T00:00:00"/>
    <x v="3"/>
    <x v="3"/>
    <n v="120"/>
    <n v="16"/>
    <n v="0.1"/>
    <n v="1728"/>
    <n v="30.473972602739725"/>
    <n v="120"/>
  </r>
  <r>
    <s v="ORD-1234"/>
    <d v="2025-02-16T00:00:00"/>
    <x v="4"/>
    <x v="4"/>
    <n v="25"/>
    <n v="31"/>
    <n v="0"/>
    <n v="775"/>
    <n v="29.463013698630139"/>
    <n v="25"/>
  </r>
  <r>
    <s v="ORD-1235"/>
    <d v="2025-02-17T00:00:00"/>
    <x v="0"/>
    <x v="0"/>
    <n v="45"/>
    <n v="42"/>
    <n v="0"/>
    <n v="1890"/>
    <n v="31.479452054794521"/>
    <n v="45"/>
  </r>
  <r>
    <s v="ORD-1236"/>
    <d v="2025-02-17T00:00:00"/>
    <x v="1"/>
    <x v="1"/>
    <n v="12.5"/>
    <n v="47"/>
    <n v="0"/>
    <n v="587.5"/>
    <n v="31.794520547945204"/>
    <n v="12.5"/>
  </r>
  <r>
    <s v="ORD-1237"/>
    <d v="2025-02-17T00:00:00"/>
    <x v="2"/>
    <x v="2"/>
    <n v="35"/>
    <n v="36"/>
    <n v="0"/>
    <n v="1260"/>
    <n v="30.438356164383563"/>
    <n v="35"/>
  </r>
  <r>
    <s v="ORD-1238"/>
    <d v="2025-02-17T00:00:00"/>
    <x v="3"/>
    <x v="3"/>
    <n v="120"/>
    <n v="45"/>
    <n v="0.1"/>
    <n v="4860"/>
    <n v="30.473972602739725"/>
    <n v="120"/>
  </r>
  <r>
    <s v="ORD-1239"/>
    <d v="2025-02-17T00:00:00"/>
    <x v="4"/>
    <x v="4"/>
    <n v="25"/>
    <n v="19"/>
    <n v="0"/>
    <n v="475"/>
    <n v="29.463013698630139"/>
    <n v="25"/>
  </r>
  <r>
    <s v="ORD-1240"/>
    <d v="2025-02-18T00:00:00"/>
    <x v="0"/>
    <x v="0"/>
    <n v="45"/>
    <n v="21"/>
    <n v="0.1"/>
    <n v="850.5"/>
    <n v="31.479452054794521"/>
    <n v="45"/>
  </r>
  <r>
    <s v="ORD-1241"/>
    <d v="2025-02-18T00:00:00"/>
    <x v="1"/>
    <x v="1"/>
    <n v="12.5"/>
    <n v="7"/>
    <n v="0"/>
    <n v="87.5"/>
    <n v="31.794520547945204"/>
    <n v="12.5"/>
  </r>
  <r>
    <s v="ORD-1242"/>
    <d v="2025-02-18T00:00:00"/>
    <x v="2"/>
    <x v="2"/>
    <n v="35"/>
    <n v="41"/>
    <n v="0"/>
    <n v="1435"/>
    <n v="30.438356164383563"/>
    <n v="35"/>
  </r>
  <r>
    <s v="ORD-1243"/>
    <d v="2025-02-18T00:00:00"/>
    <x v="3"/>
    <x v="3"/>
    <n v="120"/>
    <n v="22"/>
    <n v="0"/>
    <n v="2640"/>
    <n v="30.473972602739725"/>
    <n v="120"/>
  </r>
  <r>
    <s v="ORD-1244"/>
    <d v="2025-02-18T00:00:00"/>
    <x v="4"/>
    <x v="4"/>
    <n v="25"/>
    <n v="31"/>
    <n v="0"/>
    <n v="775"/>
    <n v="29.463013698630139"/>
    <n v="25"/>
  </r>
  <r>
    <s v="ORD-1245"/>
    <d v="2025-02-19T00:00:00"/>
    <x v="0"/>
    <x v="0"/>
    <n v="45"/>
    <n v="27"/>
    <n v="0.2"/>
    <n v="972"/>
    <n v="31.479452054794521"/>
    <n v="45"/>
  </r>
  <r>
    <s v="ORD-1246"/>
    <d v="2025-02-19T00:00:00"/>
    <x v="1"/>
    <x v="1"/>
    <n v="12.5"/>
    <n v="28"/>
    <n v="0.1"/>
    <n v="315"/>
    <n v="31.794520547945204"/>
    <n v="12.5"/>
  </r>
  <r>
    <s v="ORD-1247"/>
    <d v="2025-02-19T00:00:00"/>
    <x v="2"/>
    <x v="2"/>
    <n v="35"/>
    <n v="33"/>
    <n v="0"/>
    <n v="1155"/>
    <n v="30.438356164383563"/>
    <n v="35"/>
  </r>
  <r>
    <s v="ORD-1248"/>
    <d v="2025-02-19T00:00:00"/>
    <x v="3"/>
    <x v="3"/>
    <n v="120"/>
    <n v="26"/>
    <n v="0"/>
    <n v="3120"/>
    <n v="30.473972602739725"/>
    <n v="120"/>
  </r>
  <r>
    <s v="ORD-1249"/>
    <d v="2025-02-19T00:00:00"/>
    <x v="4"/>
    <x v="4"/>
    <n v="25"/>
    <n v="11"/>
    <n v="0"/>
    <n v="275"/>
    <n v="29.463013698630139"/>
    <n v="25"/>
  </r>
  <r>
    <s v="ORD-1250"/>
    <d v="2025-02-20T00:00:00"/>
    <x v="0"/>
    <x v="0"/>
    <n v="45"/>
    <n v="30"/>
    <n v="0"/>
    <n v="1350"/>
    <n v="31.479452054794521"/>
    <n v="45"/>
  </r>
  <r>
    <s v="ORD-1251"/>
    <d v="2025-02-20T00:00:00"/>
    <x v="1"/>
    <x v="1"/>
    <n v="12.5"/>
    <n v="17"/>
    <n v="0"/>
    <n v="212.5"/>
    <n v="31.794520547945204"/>
    <n v="12.5"/>
  </r>
  <r>
    <s v="ORD-1252"/>
    <d v="2025-02-20T00:00:00"/>
    <x v="2"/>
    <x v="2"/>
    <n v="35"/>
    <n v="30"/>
    <n v="0"/>
    <n v="1050"/>
    <n v="30.438356164383563"/>
    <n v="35"/>
  </r>
  <r>
    <s v="ORD-1253"/>
    <d v="2025-02-20T00:00:00"/>
    <x v="3"/>
    <x v="3"/>
    <n v="120"/>
    <n v="8"/>
    <n v="0.2"/>
    <n v="768"/>
    <n v="30.473972602739725"/>
    <n v="120"/>
  </r>
  <r>
    <s v="ORD-1254"/>
    <d v="2025-02-20T00:00:00"/>
    <x v="4"/>
    <x v="4"/>
    <n v="25"/>
    <n v="22"/>
    <n v="0"/>
    <n v="550"/>
    <n v="29.463013698630139"/>
    <n v="25"/>
  </r>
  <r>
    <s v="ORD-1255"/>
    <d v="2025-02-21T00:00:00"/>
    <x v="0"/>
    <x v="0"/>
    <n v="45"/>
    <n v="20"/>
    <n v="0.1"/>
    <n v="810"/>
    <n v="31.479452054794521"/>
    <n v="45"/>
  </r>
  <r>
    <s v="ORD-1256"/>
    <d v="2025-02-21T00:00:00"/>
    <x v="1"/>
    <x v="1"/>
    <n v="12.5"/>
    <n v="5"/>
    <n v="0.1"/>
    <n v="56.25"/>
    <n v="31.794520547945204"/>
    <n v="12.5"/>
  </r>
  <r>
    <s v="ORD-1257"/>
    <d v="2025-02-21T00:00:00"/>
    <x v="2"/>
    <x v="2"/>
    <n v="35"/>
    <n v="34"/>
    <n v="0"/>
    <n v="1190"/>
    <n v="30.438356164383563"/>
    <n v="35"/>
  </r>
  <r>
    <s v="ORD-1258"/>
    <d v="2025-02-21T00:00:00"/>
    <x v="3"/>
    <x v="3"/>
    <n v="120"/>
    <n v="12"/>
    <n v="0.2"/>
    <n v="1152"/>
    <n v="30.473972602739725"/>
    <n v="120"/>
  </r>
  <r>
    <s v="ORD-1259"/>
    <d v="2025-02-21T00:00:00"/>
    <x v="4"/>
    <x v="4"/>
    <n v="25"/>
    <n v="11"/>
    <n v="0.2"/>
    <n v="220"/>
    <n v="29.463013698630139"/>
    <n v="25"/>
  </r>
  <r>
    <s v="ORD-1260"/>
    <d v="2025-02-22T00:00:00"/>
    <x v="0"/>
    <x v="0"/>
    <n v="45"/>
    <n v="19"/>
    <n v="0"/>
    <n v="855"/>
    <n v="31.479452054794521"/>
    <n v="45"/>
  </r>
  <r>
    <s v="ORD-1261"/>
    <d v="2025-02-22T00:00:00"/>
    <x v="1"/>
    <x v="1"/>
    <n v="12.5"/>
    <n v="34"/>
    <n v="0"/>
    <n v="425"/>
    <n v="31.794520547945204"/>
    <n v="12.5"/>
  </r>
  <r>
    <s v="ORD-1262"/>
    <d v="2025-02-22T00:00:00"/>
    <x v="2"/>
    <x v="2"/>
    <n v="35"/>
    <n v="54"/>
    <n v="0"/>
    <n v="1890"/>
    <n v="30.438356164383563"/>
    <n v="35"/>
  </r>
  <r>
    <s v="ORD-1263"/>
    <d v="2025-02-22T00:00:00"/>
    <x v="3"/>
    <x v="3"/>
    <n v="120"/>
    <n v="42"/>
    <n v="0"/>
    <n v="5040"/>
    <n v="30.473972602739725"/>
    <n v="120"/>
  </r>
  <r>
    <s v="ORD-1264"/>
    <d v="2025-02-22T00:00:00"/>
    <x v="4"/>
    <x v="4"/>
    <n v="25"/>
    <n v="10"/>
    <n v="0.1"/>
    <n v="225"/>
    <n v="29.463013698630139"/>
    <n v="25"/>
  </r>
  <r>
    <s v="ORD-1265"/>
    <d v="2025-02-23T00:00:00"/>
    <x v="0"/>
    <x v="0"/>
    <n v="45"/>
    <n v="54"/>
    <n v="0"/>
    <n v="2430"/>
    <n v="31.479452054794521"/>
    <n v="45"/>
  </r>
  <r>
    <s v="ORD-1266"/>
    <d v="2025-02-23T00:00:00"/>
    <x v="1"/>
    <x v="1"/>
    <n v="12.5"/>
    <n v="64"/>
    <n v="0"/>
    <n v="800"/>
    <n v="31.794520547945204"/>
    <n v="12.5"/>
  </r>
  <r>
    <s v="ORD-1267"/>
    <d v="2025-02-23T00:00:00"/>
    <x v="2"/>
    <x v="2"/>
    <n v="35"/>
    <n v="7"/>
    <n v="0.1"/>
    <n v="220.5"/>
    <n v="30.438356164383563"/>
    <n v="35"/>
  </r>
  <r>
    <s v="ORD-1268"/>
    <d v="2025-02-23T00:00:00"/>
    <x v="3"/>
    <x v="3"/>
    <n v="120"/>
    <n v="48"/>
    <n v="0"/>
    <n v="5760"/>
    <n v="30.473972602739725"/>
    <n v="120"/>
  </r>
  <r>
    <s v="ORD-1269"/>
    <d v="2025-02-23T00:00:00"/>
    <x v="4"/>
    <x v="4"/>
    <n v="25"/>
    <n v="66"/>
    <n v="0.2"/>
    <n v="1320"/>
    <n v="29.463013698630139"/>
    <n v="25"/>
  </r>
  <r>
    <s v="ORD-1270"/>
    <d v="2025-02-24T00:00:00"/>
    <x v="0"/>
    <x v="0"/>
    <n v="45"/>
    <n v="29"/>
    <n v="0.1"/>
    <n v="1174.5"/>
    <n v="31.479452054794521"/>
    <n v="45"/>
  </r>
  <r>
    <s v="ORD-1271"/>
    <d v="2025-02-24T00:00:00"/>
    <x v="1"/>
    <x v="1"/>
    <n v="12.5"/>
    <n v="47"/>
    <n v="0.1"/>
    <n v="528.75"/>
    <n v="31.794520547945204"/>
    <n v="12.5"/>
  </r>
  <r>
    <s v="ORD-1272"/>
    <d v="2025-02-24T00:00:00"/>
    <x v="2"/>
    <x v="2"/>
    <n v="35"/>
    <n v="6"/>
    <n v="0"/>
    <n v="210"/>
    <n v="30.438356164383563"/>
    <n v="35"/>
  </r>
  <r>
    <s v="ORD-1273"/>
    <d v="2025-02-24T00:00:00"/>
    <x v="3"/>
    <x v="3"/>
    <n v="120"/>
    <n v="29"/>
    <n v="0"/>
    <n v="3480"/>
    <n v="30.473972602739725"/>
    <n v="120"/>
  </r>
  <r>
    <s v="ORD-1274"/>
    <d v="2025-02-24T00:00:00"/>
    <x v="4"/>
    <x v="4"/>
    <n v="25"/>
    <n v="15"/>
    <n v="0.1"/>
    <n v="337.5"/>
    <n v="29.463013698630139"/>
    <n v="25"/>
  </r>
  <r>
    <s v="ORD-1275"/>
    <d v="2025-02-25T00:00:00"/>
    <x v="0"/>
    <x v="0"/>
    <n v="45"/>
    <n v="33"/>
    <n v="0"/>
    <n v="1485"/>
    <n v="31.479452054794521"/>
    <n v="45"/>
  </r>
  <r>
    <s v="ORD-1276"/>
    <d v="2025-02-25T00:00:00"/>
    <x v="1"/>
    <x v="1"/>
    <n v="12.5"/>
    <n v="47"/>
    <n v="0"/>
    <n v="587.5"/>
    <n v="31.794520547945204"/>
    <n v="12.5"/>
  </r>
  <r>
    <s v="ORD-1277"/>
    <d v="2025-02-25T00:00:00"/>
    <x v="2"/>
    <x v="2"/>
    <n v="35"/>
    <n v="22"/>
    <n v="0"/>
    <n v="770"/>
    <n v="30.438356164383563"/>
    <n v="35"/>
  </r>
  <r>
    <s v="ORD-1278"/>
    <d v="2025-02-25T00:00:00"/>
    <x v="3"/>
    <x v="3"/>
    <n v="120"/>
    <n v="24"/>
    <n v="0"/>
    <n v="2880"/>
    <n v="30.473972602739725"/>
    <n v="120"/>
  </r>
  <r>
    <s v="ORD-1279"/>
    <d v="2025-02-25T00:00:00"/>
    <x v="4"/>
    <x v="4"/>
    <n v="25"/>
    <n v="30"/>
    <n v="0"/>
    <n v="750"/>
    <n v="29.463013698630139"/>
    <n v="25"/>
  </r>
  <r>
    <s v="ORD-1280"/>
    <d v="2025-02-26T00:00:00"/>
    <x v="0"/>
    <x v="0"/>
    <n v="45"/>
    <n v="20"/>
    <n v="0"/>
    <n v="900"/>
    <n v="31.479452054794521"/>
    <n v="45"/>
  </r>
  <r>
    <s v="ORD-1281"/>
    <d v="2025-02-26T00:00:00"/>
    <x v="1"/>
    <x v="1"/>
    <n v="12.5"/>
    <n v="29"/>
    <n v="0"/>
    <n v="362.5"/>
    <n v="31.794520547945204"/>
    <n v="12.5"/>
  </r>
  <r>
    <s v="ORD-1282"/>
    <d v="2025-02-26T00:00:00"/>
    <x v="2"/>
    <x v="2"/>
    <n v="35"/>
    <n v="49"/>
    <n v="0.2"/>
    <n v="1372"/>
    <n v="30.438356164383563"/>
    <n v="35"/>
  </r>
  <r>
    <s v="ORD-1283"/>
    <d v="2025-02-26T00:00:00"/>
    <x v="3"/>
    <x v="3"/>
    <n v="120"/>
    <n v="45"/>
    <n v="0"/>
    <n v="5400"/>
    <n v="30.473972602739725"/>
    <n v="120"/>
  </r>
  <r>
    <s v="ORD-1284"/>
    <d v="2025-02-26T00:00:00"/>
    <x v="4"/>
    <x v="4"/>
    <n v="25"/>
    <n v="33"/>
    <n v="0"/>
    <n v="825"/>
    <n v="29.463013698630139"/>
    <n v="25"/>
  </r>
  <r>
    <s v="ORD-1285"/>
    <d v="2025-02-27T00:00:00"/>
    <x v="0"/>
    <x v="0"/>
    <n v="45"/>
    <n v="24"/>
    <n v="0"/>
    <n v="1080"/>
    <n v="31.479452054794521"/>
    <n v="45"/>
  </r>
  <r>
    <s v="ORD-1286"/>
    <d v="2025-02-27T00:00:00"/>
    <x v="1"/>
    <x v="1"/>
    <n v="12.5"/>
    <n v="46"/>
    <n v="0"/>
    <n v="575"/>
    <n v="31.794520547945204"/>
    <n v="12.5"/>
  </r>
  <r>
    <s v="ORD-1287"/>
    <d v="2025-02-27T00:00:00"/>
    <x v="2"/>
    <x v="2"/>
    <n v="35"/>
    <n v="29"/>
    <n v="0"/>
    <n v="1015"/>
    <n v="30.438356164383563"/>
    <n v="35"/>
  </r>
  <r>
    <s v="ORD-1288"/>
    <d v="2025-02-27T00:00:00"/>
    <x v="3"/>
    <x v="3"/>
    <n v="120"/>
    <n v="37"/>
    <n v="0"/>
    <n v="4440"/>
    <n v="30.473972602739725"/>
    <n v="120"/>
  </r>
  <r>
    <s v="ORD-1289"/>
    <d v="2025-02-27T00:00:00"/>
    <x v="4"/>
    <x v="4"/>
    <n v="25"/>
    <n v="28"/>
    <n v="0"/>
    <n v="700"/>
    <n v="29.463013698630139"/>
    <n v="25"/>
  </r>
  <r>
    <s v="ORD-1290"/>
    <d v="2025-02-28T00:00:00"/>
    <x v="0"/>
    <x v="0"/>
    <n v="45"/>
    <n v="39"/>
    <n v="0.1"/>
    <n v="1579.5"/>
    <n v="31.479452054794521"/>
    <n v="45"/>
  </r>
  <r>
    <s v="ORD-1291"/>
    <d v="2025-02-28T00:00:00"/>
    <x v="1"/>
    <x v="1"/>
    <n v="12.5"/>
    <n v="49"/>
    <n v="0.1"/>
    <n v="551.25"/>
    <n v="31.794520547945204"/>
    <n v="12.5"/>
  </r>
  <r>
    <s v="ORD-1292"/>
    <d v="2025-02-28T00:00:00"/>
    <x v="2"/>
    <x v="2"/>
    <n v="35"/>
    <n v="19"/>
    <n v="0.1"/>
    <n v="598.5"/>
    <n v="30.438356164383563"/>
    <n v="35"/>
  </r>
  <r>
    <s v="ORD-1293"/>
    <d v="2025-02-28T00:00:00"/>
    <x v="3"/>
    <x v="3"/>
    <n v="120"/>
    <n v="25"/>
    <n v="0"/>
    <n v="3000"/>
    <n v="30.473972602739725"/>
    <n v="120"/>
  </r>
  <r>
    <s v="ORD-1294"/>
    <d v="2025-02-28T00:00:00"/>
    <x v="4"/>
    <x v="4"/>
    <n v="25"/>
    <n v="26"/>
    <n v="0"/>
    <n v="650"/>
    <n v="29.463013698630139"/>
    <n v="25"/>
  </r>
  <r>
    <s v="ORD-1295"/>
    <d v="2025-03-01T00:00:00"/>
    <x v="0"/>
    <x v="0"/>
    <n v="45"/>
    <n v="18"/>
    <n v="0"/>
    <n v="810"/>
    <n v="31.479452054794521"/>
    <n v="45"/>
  </r>
  <r>
    <s v="ORD-1296"/>
    <d v="2025-03-01T00:00:00"/>
    <x v="1"/>
    <x v="1"/>
    <n v="12.5"/>
    <n v="15"/>
    <n v="0"/>
    <n v="187.5"/>
    <n v="31.794520547945204"/>
    <n v="12.5"/>
  </r>
  <r>
    <s v="ORD-1297"/>
    <d v="2025-03-01T00:00:00"/>
    <x v="2"/>
    <x v="2"/>
    <n v="35"/>
    <n v="22"/>
    <n v="0.2"/>
    <n v="616"/>
    <n v="30.438356164383563"/>
    <n v="35"/>
  </r>
  <r>
    <s v="ORD-1298"/>
    <d v="2025-03-01T00:00:00"/>
    <x v="3"/>
    <x v="3"/>
    <n v="120"/>
    <n v="55"/>
    <n v="0.2"/>
    <n v="5280"/>
    <n v="30.473972602739725"/>
    <n v="120"/>
  </r>
  <r>
    <s v="ORD-1299"/>
    <d v="2025-03-01T00:00:00"/>
    <x v="4"/>
    <x v="4"/>
    <n v="25"/>
    <n v="19"/>
    <n v="0"/>
    <n v="475"/>
    <n v="29.463013698630139"/>
    <n v="25"/>
  </r>
  <r>
    <s v="ORD-1300"/>
    <d v="2025-03-02T00:00:00"/>
    <x v="0"/>
    <x v="0"/>
    <n v="45"/>
    <n v="73"/>
    <n v="0"/>
    <n v="3285"/>
    <n v="31.479452054794521"/>
    <n v="45"/>
  </r>
  <r>
    <s v="ORD-1301"/>
    <d v="2025-03-02T00:00:00"/>
    <x v="1"/>
    <x v="1"/>
    <n v="12.5"/>
    <n v="70"/>
    <n v="0"/>
    <n v="875"/>
    <n v="31.794520547945204"/>
    <n v="12.5"/>
  </r>
  <r>
    <s v="ORD-1302"/>
    <d v="2025-03-02T00:00:00"/>
    <x v="2"/>
    <x v="2"/>
    <n v="35"/>
    <n v="7"/>
    <n v="0.2"/>
    <n v="196"/>
    <n v="30.438356164383563"/>
    <n v="35"/>
  </r>
  <r>
    <s v="ORD-1303"/>
    <d v="2025-03-02T00:00:00"/>
    <x v="3"/>
    <x v="3"/>
    <n v="120"/>
    <n v="18"/>
    <n v="0.1"/>
    <n v="1944"/>
    <n v="30.473972602739725"/>
    <n v="120"/>
  </r>
  <r>
    <s v="ORD-1304"/>
    <d v="2025-03-02T00:00:00"/>
    <x v="4"/>
    <x v="4"/>
    <n v="25"/>
    <n v="61"/>
    <n v="0"/>
    <n v="1525"/>
    <n v="29.463013698630139"/>
    <n v="25"/>
  </r>
  <r>
    <s v="ORD-1305"/>
    <d v="2025-03-03T00:00:00"/>
    <x v="0"/>
    <x v="0"/>
    <n v="45"/>
    <n v="19"/>
    <n v="0"/>
    <n v="855"/>
    <n v="31.479452054794521"/>
    <n v="45"/>
  </r>
  <r>
    <s v="ORD-1306"/>
    <d v="2025-03-03T00:00:00"/>
    <x v="1"/>
    <x v="1"/>
    <n v="12.5"/>
    <n v="40"/>
    <n v="0"/>
    <n v="500"/>
    <n v="31.794520547945204"/>
    <n v="12.5"/>
  </r>
  <r>
    <s v="ORD-1307"/>
    <d v="2025-03-03T00:00:00"/>
    <x v="2"/>
    <x v="2"/>
    <n v="35"/>
    <n v="44"/>
    <n v="0"/>
    <n v="1540"/>
    <n v="30.438356164383563"/>
    <n v="35"/>
  </r>
  <r>
    <s v="ORD-1308"/>
    <d v="2025-03-03T00:00:00"/>
    <x v="3"/>
    <x v="3"/>
    <n v="120"/>
    <n v="19"/>
    <n v="0"/>
    <n v="2280"/>
    <n v="30.473972602739725"/>
    <n v="120"/>
  </r>
  <r>
    <s v="ORD-1309"/>
    <d v="2025-03-03T00:00:00"/>
    <x v="4"/>
    <x v="4"/>
    <n v="25"/>
    <n v="44"/>
    <n v="0"/>
    <n v="1100"/>
    <n v="29.463013698630139"/>
    <n v="25"/>
  </r>
  <r>
    <s v="ORD-1310"/>
    <d v="2025-03-04T00:00:00"/>
    <x v="0"/>
    <x v="0"/>
    <n v="45"/>
    <n v="36"/>
    <n v="0"/>
    <n v="1620"/>
    <n v="31.479452054794521"/>
    <n v="45"/>
  </r>
  <r>
    <s v="ORD-1311"/>
    <d v="2025-03-04T00:00:00"/>
    <x v="1"/>
    <x v="1"/>
    <n v="12.5"/>
    <n v="20"/>
    <n v="0.1"/>
    <n v="225"/>
    <n v="31.794520547945204"/>
    <n v="12.5"/>
  </r>
  <r>
    <s v="ORD-1312"/>
    <d v="2025-03-04T00:00:00"/>
    <x v="2"/>
    <x v="2"/>
    <n v="35"/>
    <n v="29"/>
    <n v="0"/>
    <n v="1015"/>
    <n v="30.438356164383563"/>
    <n v="35"/>
  </r>
  <r>
    <s v="ORD-1313"/>
    <d v="2025-03-04T00:00:00"/>
    <x v="3"/>
    <x v="3"/>
    <n v="120"/>
    <n v="21"/>
    <n v="0"/>
    <n v="2520"/>
    <n v="30.473972602739725"/>
    <n v="120"/>
  </r>
  <r>
    <s v="ORD-1314"/>
    <d v="2025-03-04T00:00:00"/>
    <x v="4"/>
    <x v="4"/>
    <n v="25"/>
    <n v="6"/>
    <n v="0"/>
    <n v="150"/>
    <n v="29.463013698630139"/>
    <n v="25"/>
  </r>
  <r>
    <s v="ORD-1315"/>
    <d v="2025-03-05T00:00:00"/>
    <x v="0"/>
    <x v="0"/>
    <n v="45"/>
    <n v="35"/>
    <n v="0"/>
    <n v="1575"/>
    <n v="31.479452054794521"/>
    <n v="45"/>
  </r>
  <r>
    <s v="ORD-1316"/>
    <d v="2025-03-05T00:00:00"/>
    <x v="1"/>
    <x v="1"/>
    <n v="12.5"/>
    <n v="29"/>
    <n v="0.1"/>
    <n v="326.25"/>
    <n v="31.794520547945204"/>
    <n v="12.5"/>
  </r>
  <r>
    <s v="ORD-1317"/>
    <d v="2025-03-05T00:00:00"/>
    <x v="2"/>
    <x v="2"/>
    <n v="35"/>
    <n v="20"/>
    <n v="0"/>
    <n v="700"/>
    <n v="30.438356164383563"/>
    <n v="35"/>
  </r>
  <r>
    <s v="ORD-1318"/>
    <d v="2025-03-05T00:00:00"/>
    <x v="3"/>
    <x v="3"/>
    <n v="120"/>
    <n v="40"/>
    <n v="0.2"/>
    <n v="3840"/>
    <n v="30.473972602739725"/>
    <n v="120"/>
  </r>
  <r>
    <s v="ORD-1319"/>
    <d v="2025-03-05T00:00:00"/>
    <x v="4"/>
    <x v="4"/>
    <n v="25"/>
    <n v="35"/>
    <n v="0"/>
    <n v="875"/>
    <n v="29.463013698630139"/>
    <n v="25"/>
  </r>
  <r>
    <s v="ORD-1320"/>
    <d v="2025-03-06T00:00:00"/>
    <x v="0"/>
    <x v="0"/>
    <n v="45"/>
    <n v="19"/>
    <n v="0.1"/>
    <n v="769.5"/>
    <n v="31.479452054794521"/>
    <n v="45"/>
  </r>
  <r>
    <s v="ORD-1321"/>
    <d v="2025-03-06T00:00:00"/>
    <x v="1"/>
    <x v="1"/>
    <n v="12.5"/>
    <n v="33"/>
    <n v="0.1"/>
    <n v="371.25"/>
    <n v="31.794520547945204"/>
    <n v="12.5"/>
  </r>
  <r>
    <s v="ORD-1322"/>
    <d v="2025-03-06T00:00:00"/>
    <x v="2"/>
    <x v="2"/>
    <n v="35"/>
    <n v="30"/>
    <n v="0"/>
    <n v="1050"/>
    <n v="30.438356164383563"/>
    <n v="35"/>
  </r>
  <r>
    <s v="ORD-1323"/>
    <d v="2025-03-06T00:00:00"/>
    <x v="3"/>
    <x v="3"/>
    <n v="120"/>
    <n v="25"/>
    <n v="0.1"/>
    <n v="2700"/>
    <n v="30.473972602739725"/>
    <n v="120"/>
  </r>
  <r>
    <s v="ORD-1324"/>
    <d v="2025-03-06T00:00:00"/>
    <x v="4"/>
    <x v="4"/>
    <n v="25"/>
    <n v="47"/>
    <n v="0"/>
    <n v="1175"/>
    <n v="29.463013698630139"/>
    <n v="25"/>
  </r>
  <r>
    <s v="ORD-1325"/>
    <d v="2025-03-07T00:00:00"/>
    <x v="0"/>
    <x v="0"/>
    <n v="45"/>
    <n v="40"/>
    <n v="0"/>
    <n v="1800"/>
    <n v="31.479452054794521"/>
    <n v="45"/>
  </r>
  <r>
    <s v="ORD-1326"/>
    <d v="2025-03-07T00:00:00"/>
    <x v="1"/>
    <x v="1"/>
    <n v="12.5"/>
    <n v="49"/>
    <n v="0"/>
    <n v="612.5"/>
    <n v="31.794520547945204"/>
    <n v="12.5"/>
  </r>
  <r>
    <s v="ORD-1327"/>
    <d v="2025-03-07T00:00:00"/>
    <x v="2"/>
    <x v="2"/>
    <n v="35"/>
    <n v="34"/>
    <n v="0"/>
    <n v="1190"/>
    <n v="30.438356164383563"/>
    <n v="35"/>
  </r>
  <r>
    <s v="ORD-1328"/>
    <d v="2025-03-07T00:00:00"/>
    <x v="3"/>
    <x v="3"/>
    <n v="120"/>
    <n v="7"/>
    <n v="0.2"/>
    <n v="672"/>
    <n v="30.473972602739725"/>
    <n v="120"/>
  </r>
  <r>
    <s v="ORD-1329"/>
    <d v="2025-03-07T00:00:00"/>
    <x v="4"/>
    <x v="4"/>
    <n v="25"/>
    <n v="9"/>
    <n v="0"/>
    <n v="225"/>
    <n v="29.463013698630139"/>
    <n v="25"/>
  </r>
  <r>
    <s v="ORD-1330"/>
    <d v="2025-03-08T00:00:00"/>
    <x v="0"/>
    <x v="0"/>
    <n v="45"/>
    <n v="43"/>
    <n v="0"/>
    <n v="1935"/>
    <n v="31.479452054794521"/>
    <n v="45"/>
  </r>
  <r>
    <s v="ORD-1331"/>
    <d v="2025-03-08T00:00:00"/>
    <x v="1"/>
    <x v="1"/>
    <n v="12.5"/>
    <n v="70"/>
    <n v="0"/>
    <n v="875"/>
    <n v="31.794520547945204"/>
    <n v="12.5"/>
  </r>
  <r>
    <s v="ORD-1332"/>
    <d v="2025-03-08T00:00:00"/>
    <x v="2"/>
    <x v="2"/>
    <n v="35"/>
    <n v="21"/>
    <n v="0.1"/>
    <n v="661.5"/>
    <n v="30.438356164383563"/>
    <n v="35"/>
  </r>
  <r>
    <s v="ORD-1333"/>
    <d v="2025-03-08T00:00:00"/>
    <x v="3"/>
    <x v="3"/>
    <n v="120"/>
    <n v="33"/>
    <n v="0"/>
    <n v="3960"/>
    <n v="30.473972602739725"/>
    <n v="120"/>
  </r>
  <r>
    <s v="ORD-1334"/>
    <d v="2025-03-08T00:00:00"/>
    <x v="4"/>
    <x v="4"/>
    <n v="25"/>
    <n v="7"/>
    <n v="0"/>
    <n v="175"/>
    <n v="29.463013698630139"/>
    <n v="25"/>
  </r>
  <r>
    <s v="ORD-1335"/>
    <d v="2025-03-09T00:00:00"/>
    <x v="0"/>
    <x v="0"/>
    <n v="45"/>
    <n v="61"/>
    <n v="0.1"/>
    <n v="2470.5"/>
    <n v="31.479452054794521"/>
    <n v="45"/>
  </r>
  <r>
    <s v="ORD-1336"/>
    <d v="2025-03-09T00:00:00"/>
    <x v="1"/>
    <x v="1"/>
    <n v="12.5"/>
    <n v="39"/>
    <n v="0.1"/>
    <n v="438.75"/>
    <n v="31.794520547945204"/>
    <n v="12.5"/>
  </r>
  <r>
    <s v="ORD-1337"/>
    <d v="2025-03-09T00:00:00"/>
    <x v="2"/>
    <x v="2"/>
    <n v="35"/>
    <n v="31"/>
    <n v="0"/>
    <n v="1085"/>
    <n v="30.438356164383563"/>
    <n v="35"/>
  </r>
  <r>
    <s v="ORD-1338"/>
    <d v="2025-03-09T00:00:00"/>
    <x v="3"/>
    <x v="3"/>
    <n v="120"/>
    <n v="34"/>
    <n v="0.1"/>
    <n v="3672"/>
    <n v="30.473972602739725"/>
    <n v="120"/>
  </r>
  <r>
    <s v="ORD-1339"/>
    <d v="2025-03-09T00:00:00"/>
    <x v="4"/>
    <x v="4"/>
    <n v="25"/>
    <n v="52"/>
    <n v="0.1"/>
    <n v="1170"/>
    <n v="29.463013698630139"/>
    <n v="25"/>
  </r>
  <r>
    <s v="ORD-1340"/>
    <d v="2025-03-10T00:00:00"/>
    <x v="0"/>
    <x v="0"/>
    <n v="45"/>
    <n v="23"/>
    <n v="0"/>
    <n v="1035"/>
    <n v="31.479452054794521"/>
    <n v="45"/>
  </r>
  <r>
    <s v="ORD-1341"/>
    <d v="2025-03-10T00:00:00"/>
    <x v="1"/>
    <x v="1"/>
    <n v="12.5"/>
    <n v="46"/>
    <n v="0.2"/>
    <n v="460"/>
    <n v="31.794520547945204"/>
    <n v="12.5"/>
  </r>
  <r>
    <s v="ORD-1342"/>
    <d v="2025-03-10T00:00:00"/>
    <x v="2"/>
    <x v="2"/>
    <n v="35"/>
    <n v="8"/>
    <n v="0"/>
    <n v="280"/>
    <n v="30.438356164383563"/>
    <n v="35"/>
  </r>
  <r>
    <s v="ORD-1343"/>
    <d v="2025-03-10T00:00:00"/>
    <x v="3"/>
    <x v="3"/>
    <n v="120"/>
    <n v="14"/>
    <n v="0"/>
    <n v="1680"/>
    <n v="30.473972602739725"/>
    <n v="120"/>
  </r>
  <r>
    <s v="ORD-1344"/>
    <d v="2025-03-10T00:00:00"/>
    <x v="4"/>
    <x v="4"/>
    <n v="25"/>
    <n v="5"/>
    <n v="0"/>
    <n v="125"/>
    <n v="29.463013698630139"/>
    <n v="25"/>
  </r>
  <r>
    <s v="ORD-1345"/>
    <d v="2025-03-11T00:00:00"/>
    <x v="0"/>
    <x v="0"/>
    <n v="45"/>
    <n v="31"/>
    <n v="0"/>
    <n v="1395"/>
    <n v="31.479452054794521"/>
    <n v="45"/>
  </r>
  <r>
    <s v="ORD-1346"/>
    <d v="2025-03-11T00:00:00"/>
    <x v="1"/>
    <x v="1"/>
    <n v="12.5"/>
    <n v="19"/>
    <n v="0"/>
    <n v="237.5"/>
    <n v="31.794520547945204"/>
    <n v="12.5"/>
  </r>
  <r>
    <s v="ORD-1347"/>
    <d v="2025-03-11T00:00:00"/>
    <x v="2"/>
    <x v="2"/>
    <n v="35"/>
    <n v="41"/>
    <n v="0"/>
    <n v="1435"/>
    <n v="30.438356164383563"/>
    <n v="35"/>
  </r>
  <r>
    <s v="ORD-1348"/>
    <d v="2025-03-11T00:00:00"/>
    <x v="3"/>
    <x v="3"/>
    <n v="120"/>
    <n v="37"/>
    <n v="0.1"/>
    <n v="3996"/>
    <n v="30.473972602739725"/>
    <n v="120"/>
  </r>
  <r>
    <s v="ORD-1349"/>
    <d v="2025-03-11T00:00:00"/>
    <x v="4"/>
    <x v="4"/>
    <n v="25"/>
    <n v="20"/>
    <n v="0"/>
    <n v="500"/>
    <n v="29.463013698630139"/>
    <n v="25"/>
  </r>
  <r>
    <s v="ORD-1350"/>
    <d v="2025-03-12T00:00:00"/>
    <x v="0"/>
    <x v="0"/>
    <n v="45"/>
    <n v="44"/>
    <n v="0"/>
    <n v="1980"/>
    <n v="31.479452054794521"/>
    <n v="45"/>
  </r>
  <r>
    <s v="ORD-1351"/>
    <d v="2025-03-12T00:00:00"/>
    <x v="1"/>
    <x v="1"/>
    <n v="12.5"/>
    <n v="33"/>
    <n v="0.1"/>
    <n v="371.25"/>
    <n v="31.794520547945204"/>
    <n v="12.5"/>
  </r>
  <r>
    <s v="ORD-1352"/>
    <d v="2025-03-12T00:00:00"/>
    <x v="2"/>
    <x v="2"/>
    <n v="35"/>
    <n v="48"/>
    <n v="0.1"/>
    <n v="1512"/>
    <n v="30.438356164383563"/>
    <n v="35"/>
  </r>
  <r>
    <s v="ORD-1353"/>
    <d v="2025-03-12T00:00:00"/>
    <x v="3"/>
    <x v="3"/>
    <n v="120"/>
    <n v="40"/>
    <n v="0"/>
    <n v="4800"/>
    <n v="30.473972602739725"/>
    <n v="120"/>
  </r>
  <r>
    <s v="ORD-1354"/>
    <d v="2025-03-12T00:00:00"/>
    <x v="4"/>
    <x v="4"/>
    <n v="25"/>
    <n v="29"/>
    <n v="0.1"/>
    <n v="652.5"/>
    <n v="29.463013698630139"/>
    <n v="25"/>
  </r>
  <r>
    <s v="ORD-1355"/>
    <d v="2025-03-13T00:00:00"/>
    <x v="0"/>
    <x v="0"/>
    <n v="45"/>
    <n v="12"/>
    <n v="0"/>
    <n v="540"/>
    <n v="31.479452054794521"/>
    <n v="45"/>
  </r>
  <r>
    <s v="ORD-1356"/>
    <d v="2025-03-13T00:00:00"/>
    <x v="1"/>
    <x v="1"/>
    <n v="12.5"/>
    <n v="34"/>
    <n v="0"/>
    <n v="425"/>
    <n v="31.794520547945204"/>
    <n v="12.5"/>
  </r>
  <r>
    <s v="ORD-1357"/>
    <d v="2025-03-13T00:00:00"/>
    <x v="2"/>
    <x v="2"/>
    <n v="35"/>
    <n v="34"/>
    <n v="0"/>
    <n v="1190"/>
    <n v="30.438356164383563"/>
    <n v="35"/>
  </r>
  <r>
    <s v="ORD-1358"/>
    <d v="2025-03-13T00:00:00"/>
    <x v="3"/>
    <x v="3"/>
    <n v="120"/>
    <n v="40"/>
    <n v="0"/>
    <n v="4800"/>
    <n v="30.473972602739725"/>
    <n v="120"/>
  </r>
  <r>
    <s v="ORD-1359"/>
    <d v="2025-03-13T00:00:00"/>
    <x v="4"/>
    <x v="4"/>
    <n v="25"/>
    <n v="11"/>
    <n v="0"/>
    <n v="275"/>
    <n v="29.463013698630139"/>
    <n v="25"/>
  </r>
  <r>
    <s v="ORD-1360"/>
    <d v="2025-03-14T00:00:00"/>
    <x v="0"/>
    <x v="0"/>
    <n v="45"/>
    <n v="6"/>
    <n v="0.1"/>
    <n v="243"/>
    <n v="31.479452054794521"/>
    <n v="45"/>
  </r>
  <r>
    <s v="ORD-1361"/>
    <d v="2025-03-14T00:00:00"/>
    <x v="1"/>
    <x v="1"/>
    <n v="12.5"/>
    <n v="47"/>
    <n v="0"/>
    <n v="587.5"/>
    <n v="31.794520547945204"/>
    <n v="12.5"/>
  </r>
  <r>
    <s v="ORD-1362"/>
    <d v="2025-03-14T00:00:00"/>
    <x v="2"/>
    <x v="2"/>
    <n v="35"/>
    <n v="10"/>
    <n v="0"/>
    <n v="350"/>
    <n v="30.438356164383563"/>
    <n v="35"/>
  </r>
  <r>
    <s v="ORD-1363"/>
    <d v="2025-03-14T00:00:00"/>
    <x v="3"/>
    <x v="3"/>
    <n v="120"/>
    <n v="44"/>
    <n v="0"/>
    <n v="5280"/>
    <n v="30.473972602739725"/>
    <n v="120"/>
  </r>
  <r>
    <s v="ORD-1364"/>
    <d v="2025-03-14T00:00:00"/>
    <x v="4"/>
    <x v="4"/>
    <n v="25"/>
    <n v="29"/>
    <n v="0"/>
    <n v="725"/>
    <n v="29.463013698630139"/>
    <n v="25"/>
  </r>
  <r>
    <s v="ORD-1365"/>
    <d v="2025-03-15T00:00:00"/>
    <x v="0"/>
    <x v="0"/>
    <n v="45"/>
    <n v="36"/>
    <n v="0"/>
    <n v="1620"/>
    <n v="31.479452054794521"/>
    <n v="45"/>
  </r>
  <r>
    <s v="ORD-1366"/>
    <d v="2025-03-15T00:00:00"/>
    <x v="1"/>
    <x v="1"/>
    <n v="12.5"/>
    <n v="28"/>
    <n v="0"/>
    <n v="350"/>
    <n v="31.794520547945204"/>
    <n v="12.5"/>
  </r>
  <r>
    <s v="ORD-1367"/>
    <d v="2025-03-15T00:00:00"/>
    <x v="2"/>
    <x v="2"/>
    <n v="35"/>
    <n v="24"/>
    <n v="0"/>
    <n v="840"/>
    <n v="30.438356164383563"/>
    <n v="35"/>
  </r>
  <r>
    <s v="ORD-1368"/>
    <d v="2025-03-15T00:00:00"/>
    <x v="3"/>
    <x v="3"/>
    <n v="120"/>
    <n v="30"/>
    <n v="0"/>
    <n v="3600"/>
    <n v="30.473972602739725"/>
    <n v="120"/>
  </r>
  <r>
    <s v="ORD-1369"/>
    <d v="2025-03-15T00:00:00"/>
    <x v="4"/>
    <x v="4"/>
    <n v="25"/>
    <n v="24"/>
    <n v="0"/>
    <n v="600"/>
    <n v="29.463013698630139"/>
    <n v="25"/>
  </r>
  <r>
    <s v="ORD-1370"/>
    <d v="2025-03-16T00:00:00"/>
    <x v="0"/>
    <x v="0"/>
    <n v="45"/>
    <n v="42"/>
    <n v="0"/>
    <n v="1890"/>
    <n v="31.479452054794521"/>
    <n v="45"/>
  </r>
  <r>
    <s v="ORD-1371"/>
    <d v="2025-03-16T00:00:00"/>
    <x v="1"/>
    <x v="1"/>
    <n v="12.5"/>
    <n v="12"/>
    <n v="0"/>
    <n v="150"/>
    <n v="31.794520547945204"/>
    <n v="12.5"/>
  </r>
  <r>
    <s v="ORD-1372"/>
    <d v="2025-03-16T00:00:00"/>
    <x v="2"/>
    <x v="2"/>
    <n v="35"/>
    <n v="57"/>
    <n v="0.1"/>
    <n v="1795.5"/>
    <n v="30.438356164383563"/>
    <n v="35"/>
  </r>
  <r>
    <s v="ORD-1373"/>
    <d v="2025-03-16T00:00:00"/>
    <x v="3"/>
    <x v="3"/>
    <n v="120"/>
    <n v="40"/>
    <n v="0"/>
    <n v="4800"/>
    <n v="30.473972602739725"/>
    <n v="120"/>
  </r>
  <r>
    <s v="ORD-1374"/>
    <d v="2025-03-16T00:00:00"/>
    <x v="4"/>
    <x v="4"/>
    <n v="25"/>
    <n v="36"/>
    <n v="0"/>
    <n v="900"/>
    <n v="29.463013698630139"/>
    <n v="25"/>
  </r>
  <r>
    <s v="ORD-1375"/>
    <d v="2025-03-17T00:00:00"/>
    <x v="0"/>
    <x v="0"/>
    <n v="45"/>
    <n v="28"/>
    <n v="0"/>
    <n v="1260"/>
    <n v="31.479452054794521"/>
    <n v="45"/>
  </r>
  <r>
    <s v="ORD-1376"/>
    <d v="2025-03-17T00:00:00"/>
    <x v="1"/>
    <x v="1"/>
    <n v="12.5"/>
    <n v="13"/>
    <n v="0"/>
    <n v="162.5"/>
    <n v="31.794520547945204"/>
    <n v="12.5"/>
  </r>
  <r>
    <s v="ORD-1377"/>
    <d v="2025-03-17T00:00:00"/>
    <x v="2"/>
    <x v="2"/>
    <n v="35"/>
    <n v="19"/>
    <n v="0.1"/>
    <n v="598.5"/>
    <n v="30.438356164383563"/>
    <n v="35"/>
  </r>
  <r>
    <s v="ORD-1378"/>
    <d v="2025-03-17T00:00:00"/>
    <x v="3"/>
    <x v="3"/>
    <n v="120"/>
    <n v="19"/>
    <n v="0"/>
    <n v="2280"/>
    <n v="30.473972602739725"/>
    <n v="120"/>
  </r>
  <r>
    <s v="ORD-1379"/>
    <d v="2025-03-17T00:00:00"/>
    <x v="4"/>
    <x v="4"/>
    <n v="25"/>
    <n v="38"/>
    <n v="0"/>
    <n v="950"/>
    <n v="29.463013698630139"/>
    <n v="25"/>
  </r>
  <r>
    <s v="ORD-1380"/>
    <d v="2025-03-18T00:00:00"/>
    <x v="0"/>
    <x v="0"/>
    <n v="45"/>
    <n v="46"/>
    <n v="0"/>
    <n v="2070"/>
    <n v="31.479452054794521"/>
    <n v="45"/>
  </r>
  <r>
    <s v="ORD-1381"/>
    <d v="2025-03-18T00:00:00"/>
    <x v="1"/>
    <x v="1"/>
    <n v="12.5"/>
    <n v="47"/>
    <n v="0"/>
    <n v="587.5"/>
    <n v="31.794520547945204"/>
    <n v="12.5"/>
  </r>
  <r>
    <s v="ORD-1382"/>
    <d v="2025-03-18T00:00:00"/>
    <x v="2"/>
    <x v="2"/>
    <n v="35"/>
    <n v="41"/>
    <n v="0"/>
    <n v="1435"/>
    <n v="30.438356164383563"/>
    <n v="35"/>
  </r>
  <r>
    <s v="ORD-1383"/>
    <d v="2025-03-18T00:00:00"/>
    <x v="3"/>
    <x v="3"/>
    <n v="120"/>
    <n v="5"/>
    <n v="0"/>
    <n v="600"/>
    <n v="30.473972602739725"/>
    <n v="120"/>
  </r>
  <r>
    <s v="ORD-1384"/>
    <d v="2025-03-18T00:00:00"/>
    <x v="4"/>
    <x v="4"/>
    <n v="25"/>
    <n v="41"/>
    <n v="0.1"/>
    <n v="922.5"/>
    <n v="29.463013698630139"/>
    <n v="25"/>
  </r>
  <r>
    <s v="ORD-1385"/>
    <d v="2025-03-19T00:00:00"/>
    <x v="0"/>
    <x v="0"/>
    <n v="45"/>
    <n v="5"/>
    <n v="0.1"/>
    <n v="202.5"/>
    <n v="31.479452054794521"/>
    <n v="45"/>
  </r>
  <r>
    <s v="ORD-1386"/>
    <d v="2025-03-19T00:00:00"/>
    <x v="1"/>
    <x v="1"/>
    <n v="12.5"/>
    <n v="14"/>
    <n v="0"/>
    <n v="175"/>
    <n v="31.794520547945204"/>
    <n v="12.5"/>
  </r>
  <r>
    <s v="ORD-1387"/>
    <d v="2025-03-19T00:00:00"/>
    <x v="2"/>
    <x v="2"/>
    <n v="35"/>
    <n v="29"/>
    <n v="0"/>
    <n v="1015"/>
    <n v="30.438356164383563"/>
    <n v="35"/>
  </r>
  <r>
    <s v="ORD-1388"/>
    <d v="2025-03-19T00:00:00"/>
    <x v="3"/>
    <x v="3"/>
    <n v="120"/>
    <n v="7"/>
    <n v="0.2"/>
    <n v="672"/>
    <n v="30.473972602739725"/>
    <n v="120"/>
  </r>
  <r>
    <s v="ORD-1389"/>
    <d v="2025-03-19T00:00:00"/>
    <x v="4"/>
    <x v="4"/>
    <n v="25"/>
    <n v="32"/>
    <n v="0"/>
    <n v="800"/>
    <n v="29.463013698630139"/>
    <n v="25"/>
  </r>
  <r>
    <s v="ORD-1390"/>
    <d v="2025-03-20T00:00:00"/>
    <x v="0"/>
    <x v="0"/>
    <n v="45"/>
    <n v="45"/>
    <n v="0"/>
    <n v="2025"/>
    <n v="31.479452054794521"/>
    <n v="45"/>
  </r>
  <r>
    <s v="ORD-1391"/>
    <d v="2025-03-20T00:00:00"/>
    <x v="1"/>
    <x v="1"/>
    <n v="12.5"/>
    <n v="14"/>
    <n v="0"/>
    <n v="175"/>
    <n v="31.794520547945204"/>
    <n v="12.5"/>
  </r>
  <r>
    <s v="ORD-1392"/>
    <d v="2025-03-20T00:00:00"/>
    <x v="2"/>
    <x v="2"/>
    <n v="35"/>
    <n v="14"/>
    <n v="0"/>
    <n v="490"/>
    <n v="30.438356164383563"/>
    <n v="35"/>
  </r>
  <r>
    <s v="ORD-1393"/>
    <d v="2025-03-20T00:00:00"/>
    <x v="3"/>
    <x v="3"/>
    <n v="120"/>
    <n v="10"/>
    <n v="0"/>
    <n v="1200"/>
    <n v="30.473972602739725"/>
    <n v="120"/>
  </r>
  <r>
    <s v="ORD-1394"/>
    <d v="2025-03-20T00:00:00"/>
    <x v="4"/>
    <x v="4"/>
    <n v="25"/>
    <n v="48"/>
    <n v="0"/>
    <n v="1200"/>
    <n v="29.463013698630139"/>
    <n v="25"/>
  </r>
  <r>
    <s v="ORD-1395"/>
    <d v="2025-03-21T00:00:00"/>
    <x v="0"/>
    <x v="0"/>
    <n v="45"/>
    <n v="14"/>
    <n v="0"/>
    <n v="630"/>
    <n v="31.479452054794521"/>
    <n v="45"/>
  </r>
  <r>
    <s v="ORD-1396"/>
    <d v="2025-03-21T00:00:00"/>
    <x v="1"/>
    <x v="1"/>
    <n v="12.5"/>
    <n v="46"/>
    <n v="0"/>
    <n v="575"/>
    <n v="31.794520547945204"/>
    <n v="12.5"/>
  </r>
  <r>
    <s v="ORD-1397"/>
    <d v="2025-03-21T00:00:00"/>
    <x v="2"/>
    <x v="2"/>
    <n v="35"/>
    <n v="29"/>
    <n v="0.1"/>
    <n v="913.5"/>
    <n v="30.438356164383563"/>
    <n v="35"/>
  </r>
  <r>
    <s v="ORD-1398"/>
    <d v="2025-03-21T00:00:00"/>
    <x v="3"/>
    <x v="3"/>
    <n v="120"/>
    <n v="32"/>
    <n v="0"/>
    <n v="3840"/>
    <n v="30.473972602739725"/>
    <n v="120"/>
  </r>
  <r>
    <s v="ORD-1399"/>
    <d v="2025-03-21T00:00:00"/>
    <x v="4"/>
    <x v="4"/>
    <n v="25"/>
    <n v="16"/>
    <n v="0"/>
    <n v="400"/>
    <n v="29.463013698630139"/>
    <n v="25"/>
  </r>
  <r>
    <s v="ORD-1400"/>
    <d v="2025-03-22T00:00:00"/>
    <x v="0"/>
    <x v="0"/>
    <n v="45"/>
    <n v="9"/>
    <n v="0.1"/>
    <n v="364.5"/>
    <n v="31.479452054794521"/>
    <n v="45"/>
  </r>
  <r>
    <s v="ORD-1401"/>
    <d v="2025-03-22T00:00:00"/>
    <x v="1"/>
    <x v="1"/>
    <n v="12.5"/>
    <n v="64"/>
    <n v="0"/>
    <n v="800"/>
    <n v="31.794520547945204"/>
    <n v="12.5"/>
  </r>
  <r>
    <s v="ORD-1402"/>
    <d v="2025-03-22T00:00:00"/>
    <x v="2"/>
    <x v="2"/>
    <n v="35"/>
    <n v="31"/>
    <n v="0"/>
    <n v="1085"/>
    <n v="30.438356164383563"/>
    <n v="35"/>
  </r>
  <r>
    <s v="ORD-1403"/>
    <d v="2025-03-22T00:00:00"/>
    <x v="3"/>
    <x v="3"/>
    <n v="120"/>
    <n v="24"/>
    <n v="0"/>
    <n v="2880"/>
    <n v="30.473972602739725"/>
    <n v="120"/>
  </r>
  <r>
    <s v="ORD-1404"/>
    <d v="2025-03-22T00:00:00"/>
    <x v="4"/>
    <x v="4"/>
    <n v="25"/>
    <n v="39"/>
    <n v="0"/>
    <n v="975"/>
    <n v="29.463013698630139"/>
    <n v="25"/>
  </r>
  <r>
    <s v="ORD-1405"/>
    <d v="2025-03-23T00:00:00"/>
    <x v="0"/>
    <x v="0"/>
    <n v="45"/>
    <n v="48"/>
    <n v="0"/>
    <n v="2160"/>
    <n v="31.479452054794521"/>
    <n v="45"/>
  </r>
  <r>
    <s v="ORD-1406"/>
    <d v="2025-03-23T00:00:00"/>
    <x v="1"/>
    <x v="1"/>
    <n v="12.5"/>
    <n v="66"/>
    <n v="0"/>
    <n v="825"/>
    <n v="31.794520547945204"/>
    <n v="12.5"/>
  </r>
  <r>
    <s v="ORD-1407"/>
    <d v="2025-03-23T00:00:00"/>
    <x v="2"/>
    <x v="2"/>
    <n v="35"/>
    <n v="58"/>
    <n v="0.2"/>
    <n v="1624"/>
    <n v="30.438356164383563"/>
    <n v="35"/>
  </r>
  <r>
    <s v="ORD-1408"/>
    <d v="2025-03-23T00:00:00"/>
    <x v="3"/>
    <x v="3"/>
    <n v="120"/>
    <n v="27"/>
    <n v="0"/>
    <n v="3240"/>
    <n v="30.473972602739725"/>
    <n v="120"/>
  </r>
  <r>
    <s v="ORD-1409"/>
    <d v="2025-03-23T00:00:00"/>
    <x v="4"/>
    <x v="4"/>
    <n v="25"/>
    <n v="55"/>
    <n v="0.2"/>
    <n v="1100"/>
    <n v="29.463013698630139"/>
    <n v="25"/>
  </r>
  <r>
    <s v="ORD-1410"/>
    <d v="2025-03-24T00:00:00"/>
    <x v="0"/>
    <x v="0"/>
    <n v="45"/>
    <n v="41"/>
    <n v="0"/>
    <n v="1845"/>
    <n v="31.479452054794521"/>
    <n v="45"/>
  </r>
  <r>
    <s v="ORD-1411"/>
    <d v="2025-03-24T00:00:00"/>
    <x v="1"/>
    <x v="1"/>
    <n v="12.5"/>
    <n v="20"/>
    <n v="0"/>
    <n v="250"/>
    <n v="31.794520547945204"/>
    <n v="12.5"/>
  </r>
  <r>
    <s v="ORD-1412"/>
    <d v="2025-03-24T00:00:00"/>
    <x v="2"/>
    <x v="2"/>
    <n v="35"/>
    <n v="7"/>
    <n v="0.2"/>
    <n v="196"/>
    <n v="30.438356164383563"/>
    <n v="35"/>
  </r>
  <r>
    <s v="ORD-1413"/>
    <d v="2025-03-24T00:00:00"/>
    <x v="3"/>
    <x v="3"/>
    <n v="120"/>
    <n v="17"/>
    <n v="0"/>
    <n v="2040"/>
    <n v="30.473972602739725"/>
    <n v="120"/>
  </r>
  <r>
    <s v="ORD-1414"/>
    <d v="2025-03-24T00:00:00"/>
    <x v="4"/>
    <x v="4"/>
    <n v="25"/>
    <n v="48"/>
    <n v="0.2"/>
    <n v="960"/>
    <n v="29.463013698630139"/>
    <n v="25"/>
  </r>
  <r>
    <s v="ORD-1415"/>
    <d v="2025-03-25T00:00:00"/>
    <x v="0"/>
    <x v="0"/>
    <n v="45"/>
    <n v="16"/>
    <n v="0"/>
    <n v="720"/>
    <n v="31.479452054794521"/>
    <n v="45"/>
  </r>
  <r>
    <s v="ORD-1416"/>
    <d v="2025-03-25T00:00:00"/>
    <x v="1"/>
    <x v="1"/>
    <n v="12.5"/>
    <n v="39"/>
    <n v="0"/>
    <n v="487.5"/>
    <n v="31.794520547945204"/>
    <n v="12.5"/>
  </r>
  <r>
    <s v="ORD-1417"/>
    <d v="2025-03-25T00:00:00"/>
    <x v="2"/>
    <x v="2"/>
    <n v="35"/>
    <n v="29"/>
    <n v="0"/>
    <n v="1015"/>
    <n v="30.438356164383563"/>
    <n v="35"/>
  </r>
  <r>
    <s v="ORD-1418"/>
    <d v="2025-03-25T00:00:00"/>
    <x v="3"/>
    <x v="3"/>
    <n v="120"/>
    <n v="35"/>
    <n v="0"/>
    <n v="4200"/>
    <n v="30.473972602739725"/>
    <n v="120"/>
  </r>
  <r>
    <s v="ORD-1419"/>
    <d v="2025-03-25T00:00:00"/>
    <x v="4"/>
    <x v="4"/>
    <n v="25"/>
    <n v="46"/>
    <n v="0.1"/>
    <n v="1035"/>
    <n v="29.463013698630139"/>
    <n v="25"/>
  </r>
  <r>
    <s v="ORD-1420"/>
    <d v="2025-03-26T00:00:00"/>
    <x v="0"/>
    <x v="0"/>
    <n v="45"/>
    <n v="33"/>
    <n v="0.1"/>
    <n v="1336.5"/>
    <n v="31.479452054794521"/>
    <n v="45"/>
  </r>
  <r>
    <s v="ORD-1421"/>
    <d v="2025-03-26T00:00:00"/>
    <x v="1"/>
    <x v="1"/>
    <n v="12.5"/>
    <n v="18"/>
    <n v="0.1"/>
    <n v="202.5"/>
    <n v="31.794520547945204"/>
    <n v="12.5"/>
  </r>
  <r>
    <s v="ORD-1422"/>
    <d v="2025-03-26T00:00:00"/>
    <x v="2"/>
    <x v="2"/>
    <n v="35"/>
    <n v="13"/>
    <n v="0"/>
    <n v="455"/>
    <n v="30.438356164383563"/>
    <n v="35"/>
  </r>
  <r>
    <s v="ORD-1423"/>
    <d v="2025-03-26T00:00:00"/>
    <x v="3"/>
    <x v="3"/>
    <n v="120"/>
    <n v="48"/>
    <n v="0"/>
    <n v="5760"/>
    <n v="30.473972602739725"/>
    <n v="120"/>
  </r>
  <r>
    <s v="ORD-1424"/>
    <d v="2025-03-26T00:00:00"/>
    <x v="4"/>
    <x v="4"/>
    <n v="25"/>
    <n v="9"/>
    <n v="0"/>
    <n v="225"/>
    <n v="29.463013698630139"/>
    <n v="25"/>
  </r>
  <r>
    <s v="ORD-1425"/>
    <d v="2025-03-27T00:00:00"/>
    <x v="0"/>
    <x v="0"/>
    <n v="45"/>
    <n v="33"/>
    <n v="0"/>
    <n v="1485"/>
    <n v="31.479452054794521"/>
    <n v="45"/>
  </r>
  <r>
    <s v="ORD-1426"/>
    <d v="2025-03-27T00:00:00"/>
    <x v="1"/>
    <x v="1"/>
    <n v="12.5"/>
    <n v="27"/>
    <n v="0.2"/>
    <n v="270"/>
    <n v="31.794520547945204"/>
    <n v="12.5"/>
  </r>
  <r>
    <s v="ORD-1427"/>
    <d v="2025-03-27T00:00:00"/>
    <x v="2"/>
    <x v="2"/>
    <n v="35"/>
    <n v="27"/>
    <n v="0"/>
    <n v="945"/>
    <n v="30.438356164383563"/>
    <n v="35"/>
  </r>
  <r>
    <s v="ORD-1428"/>
    <d v="2025-03-27T00:00:00"/>
    <x v="3"/>
    <x v="3"/>
    <n v="120"/>
    <n v="24"/>
    <n v="0"/>
    <n v="2880"/>
    <n v="30.473972602739725"/>
    <n v="120"/>
  </r>
  <r>
    <s v="ORD-1429"/>
    <d v="2025-03-27T00:00:00"/>
    <x v="4"/>
    <x v="4"/>
    <n v="25"/>
    <n v="16"/>
    <n v="0"/>
    <n v="400"/>
    <n v="29.463013698630139"/>
    <n v="25"/>
  </r>
  <r>
    <s v="ORD-1430"/>
    <d v="2025-03-28T00:00:00"/>
    <x v="0"/>
    <x v="0"/>
    <n v="45"/>
    <n v="22"/>
    <n v="0.1"/>
    <n v="891"/>
    <n v="31.479452054794521"/>
    <n v="45"/>
  </r>
  <r>
    <s v="ORD-1431"/>
    <d v="2025-03-28T00:00:00"/>
    <x v="1"/>
    <x v="1"/>
    <n v="12.5"/>
    <n v="38"/>
    <n v="0.1"/>
    <n v="427.5"/>
    <n v="31.794520547945204"/>
    <n v="12.5"/>
  </r>
  <r>
    <s v="ORD-1432"/>
    <d v="2025-03-28T00:00:00"/>
    <x v="2"/>
    <x v="2"/>
    <n v="35"/>
    <n v="10"/>
    <n v="0.2"/>
    <n v="280"/>
    <n v="30.438356164383563"/>
    <n v="35"/>
  </r>
  <r>
    <s v="ORD-1433"/>
    <d v="2025-03-28T00:00:00"/>
    <x v="3"/>
    <x v="3"/>
    <n v="120"/>
    <n v="13"/>
    <n v="0"/>
    <n v="1560"/>
    <n v="30.473972602739725"/>
    <n v="120"/>
  </r>
  <r>
    <s v="ORD-1434"/>
    <d v="2025-03-28T00:00:00"/>
    <x v="4"/>
    <x v="4"/>
    <n v="25"/>
    <n v="25"/>
    <n v="0"/>
    <n v="625"/>
    <n v="29.463013698630139"/>
    <n v="25"/>
  </r>
  <r>
    <s v="ORD-1435"/>
    <d v="2025-03-29T00:00:00"/>
    <x v="0"/>
    <x v="0"/>
    <n v="45"/>
    <n v="49"/>
    <n v="0"/>
    <n v="2205"/>
    <n v="31.479452054794521"/>
    <n v="45"/>
  </r>
  <r>
    <s v="ORD-1436"/>
    <d v="2025-03-29T00:00:00"/>
    <x v="1"/>
    <x v="1"/>
    <n v="12.5"/>
    <n v="64"/>
    <n v="0"/>
    <n v="800"/>
    <n v="31.794520547945204"/>
    <n v="12.5"/>
  </r>
  <r>
    <s v="ORD-1437"/>
    <d v="2025-03-29T00:00:00"/>
    <x v="2"/>
    <x v="2"/>
    <n v="35"/>
    <n v="42"/>
    <n v="0"/>
    <n v="1470"/>
    <n v="30.438356164383563"/>
    <n v="35"/>
  </r>
  <r>
    <s v="ORD-1438"/>
    <d v="2025-03-29T00:00:00"/>
    <x v="3"/>
    <x v="3"/>
    <n v="120"/>
    <n v="72"/>
    <n v="0"/>
    <n v="8640"/>
    <n v="30.473972602739725"/>
    <n v="120"/>
  </r>
  <r>
    <s v="ORD-1439"/>
    <d v="2025-03-29T00:00:00"/>
    <x v="4"/>
    <x v="4"/>
    <n v="25"/>
    <n v="27"/>
    <n v="0.1"/>
    <n v="607.5"/>
    <n v="29.463013698630139"/>
    <n v="25"/>
  </r>
  <r>
    <s v="ORD-1440"/>
    <d v="2025-03-30T00:00:00"/>
    <x v="0"/>
    <x v="0"/>
    <n v="45"/>
    <n v="69"/>
    <n v="0"/>
    <n v="3105"/>
    <n v="31.479452054794521"/>
    <n v="45"/>
  </r>
  <r>
    <s v="ORD-1441"/>
    <d v="2025-03-30T00:00:00"/>
    <x v="1"/>
    <x v="1"/>
    <n v="12.5"/>
    <n v="67"/>
    <n v="0"/>
    <n v="837.5"/>
    <n v="31.794520547945204"/>
    <n v="12.5"/>
  </r>
  <r>
    <s v="ORD-1442"/>
    <d v="2025-03-30T00:00:00"/>
    <x v="2"/>
    <x v="2"/>
    <n v="35"/>
    <n v="73"/>
    <n v="0.2"/>
    <n v="2044"/>
    <n v="30.438356164383563"/>
    <n v="35"/>
  </r>
  <r>
    <s v="ORD-1443"/>
    <d v="2025-03-30T00:00:00"/>
    <x v="3"/>
    <x v="3"/>
    <n v="120"/>
    <n v="66"/>
    <n v="0.2"/>
    <n v="6336"/>
    <n v="30.473972602739725"/>
    <n v="120"/>
  </r>
  <r>
    <s v="ORD-1444"/>
    <d v="2025-03-30T00:00:00"/>
    <x v="4"/>
    <x v="4"/>
    <n v="25"/>
    <n v="45"/>
    <n v="0"/>
    <n v="1125"/>
    <n v="29.463013698630139"/>
    <n v="25"/>
  </r>
  <r>
    <s v="ORD-1445"/>
    <d v="2025-03-31T00:00:00"/>
    <x v="0"/>
    <x v="0"/>
    <n v="45"/>
    <n v="21"/>
    <n v="0.1"/>
    <n v="850.5"/>
    <n v="31.479452054794521"/>
    <n v="45"/>
  </r>
  <r>
    <s v="ORD-1446"/>
    <d v="2025-03-31T00:00:00"/>
    <x v="1"/>
    <x v="1"/>
    <n v="12.5"/>
    <n v="29"/>
    <n v="0"/>
    <n v="362.5"/>
    <n v="31.794520547945204"/>
    <n v="12.5"/>
  </r>
  <r>
    <s v="ORD-1447"/>
    <d v="2025-03-31T00:00:00"/>
    <x v="2"/>
    <x v="2"/>
    <n v="35"/>
    <n v="17"/>
    <n v="0"/>
    <n v="595"/>
    <n v="30.438356164383563"/>
    <n v="35"/>
  </r>
  <r>
    <s v="ORD-1448"/>
    <d v="2025-03-31T00:00:00"/>
    <x v="3"/>
    <x v="3"/>
    <n v="120"/>
    <n v="43"/>
    <n v="0"/>
    <n v="5160"/>
    <n v="30.473972602739725"/>
    <n v="120"/>
  </r>
  <r>
    <s v="ORD-1449"/>
    <d v="2025-03-31T00:00:00"/>
    <x v="4"/>
    <x v="4"/>
    <n v="25"/>
    <n v="44"/>
    <n v="0.2"/>
    <n v="880"/>
    <n v="29.463013698630139"/>
    <n v="25"/>
  </r>
  <r>
    <s v="ORD-1450"/>
    <d v="2025-04-01T00:00:00"/>
    <x v="0"/>
    <x v="0"/>
    <n v="45"/>
    <n v="30"/>
    <n v="0.1"/>
    <n v="1215"/>
    <n v="31.479452054794521"/>
    <n v="45"/>
  </r>
  <r>
    <s v="ORD-1451"/>
    <d v="2025-04-01T00:00:00"/>
    <x v="1"/>
    <x v="1"/>
    <n v="12.5"/>
    <n v="45"/>
    <n v="0.1"/>
    <n v="506.25"/>
    <n v="31.794520547945204"/>
    <n v="12.5"/>
  </r>
  <r>
    <s v="ORD-1452"/>
    <d v="2025-04-01T00:00:00"/>
    <x v="2"/>
    <x v="2"/>
    <n v="35"/>
    <n v="30"/>
    <n v="0.1"/>
    <n v="945"/>
    <n v="30.438356164383563"/>
    <n v="35"/>
  </r>
  <r>
    <s v="ORD-1453"/>
    <d v="2025-04-01T00:00:00"/>
    <x v="3"/>
    <x v="3"/>
    <n v="120"/>
    <n v="33"/>
    <n v="0"/>
    <n v="3960"/>
    <n v="30.473972602739725"/>
    <n v="120"/>
  </r>
  <r>
    <s v="ORD-1454"/>
    <d v="2025-04-01T00:00:00"/>
    <x v="4"/>
    <x v="4"/>
    <n v="25"/>
    <n v="38"/>
    <n v="0"/>
    <n v="950"/>
    <n v="29.463013698630139"/>
    <n v="25"/>
  </r>
  <r>
    <s v="ORD-1455"/>
    <d v="2025-04-02T00:00:00"/>
    <x v="0"/>
    <x v="0"/>
    <n v="45"/>
    <n v="41"/>
    <n v="0.2"/>
    <n v="1476"/>
    <n v="31.479452054794521"/>
    <n v="45"/>
  </r>
  <r>
    <s v="ORD-1456"/>
    <d v="2025-04-02T00:00:00"/>
    <x v="1"/>
    <x v="1"/>
    <n v="12.5"/>
    <n v="12"/>
    <n v="0"/>
    <n v="150"/>
    <n v="31.794520547945204"/>
    <n v="12.5"/>
  </r>
  <r>
    <s v="ORD-1457"/>
    <d v="2025-04-02T00:00:00"/>
    <x v="2"/>
    <x v="2"/>
    <n v="35"/>
    <n v="9"/>
    <n v="0.1"/>
    <n v="283.5"/>
    <n v="30.438356164383563"/>
    <n v="35"/>
  </r>
  <r>
    <s v="ORD-1458"/>
    <d v="2025-04-02T00:00:00"/>
    <x v="3"/>
    <x v="3"/>
    <n v="120"/>
    <n v="12"/>
    <n v="0.2"/>
    <n v="1152"/>
    <n v="30.473972602739725"/>
    <n v="120"/>
  </r>
  <r>
    <s v="ORD-1459"/>
    <d v="2025-04-02T00:00:00"/>
    <x v="4"/>
    <x v="4"/>
    <n v="25"/>
    <n v="20"/>
    <n v="0.1"/>
    <n v="450"/>
    <n v="29.463013698630139"/>
    <n v="25"/>
  </r>
  <r>
    <s v="ORD-1460"/>
    <d v="2025-04-03T00:00:00"/>
    <x v="0"/>
    <x v="0"/>
    <n v="45"/>
    <n v="29"/>
    <n v="0"/>
    <n v="1305"/>
    <n v="31.479452054794521"/>
    <n v="45"/>
  </r>
  <r>
    <s v="ORD-1461"/>
    <d v="2025-04-03T00:00:00"/>
    <x v="1"/>
    <x v="1"/>
    <n v="12.5"/>
    <n v="12"/>
    <n v="0"/>
    <n v="150"/>
    <n v="31.794520547945204"/>
    <n v="12.5"/>
  </r>
  <r>
    <s v="ORD-1462"/>
    <d v="2025-04-03T00:00:00"/>
    <x v="2"/>
    <x v="2"/>
    <n v="35"/>
    <n v="8"/>
    <n v="0"/>
    <n v="280"/>
    <n v="30.438356164383563"/>
    <n v="35"/>
  </r>
  <r>
    <s v="ORD-1463"/>
    <d v="2025-04-03T00:00:00"/>
    <x v="3"/>
    <x v="3"/>
    <n v="120"/>
    <n v="30"/>
    <n v="0"/>
    <n v="3600"/>
    <n v="30.473972602739725"/>
    <n v="120"/>
  </r>
  <r>
    <s v="ORD-1464"/>
    <d v="2025-04-03T00:00:00"/>
    <x v="4"/>
    <x v="4"/>
    <n v="25"/>
    <n v="47"/>
    <n v="0"/>
    <n v="1175"/>
    <n v="29.463013698630139"/>
    <n v="25"/>
  </r>
  <r>
    <s v="ORD-1465"/>
    <d v="2025-04-04T00:00:00"/>
    <x v="0"/>
    <x v="0"/>
    <n v="45"/>
    <n v="36"/>
    <n v="0"/>
    <n v="1620"/>
    <n v="31.479452054794521"/>
    <n v="45"/>
  </r>
  <r>
    <s v="ORD-1466"/>
    <d v="2025-04-04T00:00:00"/>
    <x v="1"/>
    <x v="1"/>
    <n v="12.5"/>
    <n v="18"/>
    <n v="0.1"/>
    <n v="202.5"/>
    <n v="31.794520547945204"/>
    <n v="12.5"/>
  </r>
  <r>
    <s v="ORD-1467"/>
    <d v="2025-04-04T00:00:00"/>
    <x v="2"/>
    <x v="2"/>
    <n v="35"/>
    <n v="36"/>
    <n v="0"/>
    <n v="1260"/>
    <n v="30.438356164383563"/>
    <n v="35"/>
  </r>
  <r>
    <s v="ORD-1468"/>
    <d v="2025-04-04T00:00:00"/>
    <x v="3"/>
    <x v="3"/>
    <n v="120"/>
    <n v="14"/>
    <n v="0.2"/>
    <n v="1344"/>
    <n v="30.473972602739725"/>
    <n v="120"/>
  </r>
  <r>
    <s v="ORD-1469"/>
    <d v="2025-04-04T00:00:00"/>
    <x v="4"/>
    <x v="4"/>
    <n v="25"/>
    <n v="14"/>
    <n v="0"/>
    <n v="350"/>
    <n v="29.463013698630139"/>
    <n v="25"/>
  </r>
  <r>
    <s v="ORD-1470"/>
    <d v="2025-04-05T00:00:00"/>
    <x v="0"/>
    <x v="0"/>
    <n v="45"/>
    <n v="46"/>
    <n v="0"/>
    <n v="2070"/>
    <n v="31.479452054794521"/>
    <n v="45"/>
  </r>
  <r>
    <s v="ORD-1471"/>
    <d v="2025-04-05T00:00:00"/>
    <x v="1"/>
    <x v="1"/>
    <n v="12.5"/>
    <n v="61"/>
    <n v="0"/>
    <n v="762.5"/>
    <n v="31.794520547945204"/>
    <n v="12.5"/>
  </r>
  <r>
    <s v="ORD-1472"/>
    <d v="2025-04-05T00:00:00"/>
    <x v="2"/>
    <x v="2"/>
    <n v="35"/>
    <n v="46"/>
    <n v="0"/>
    <n v="1610"/>
    <n v="30.438356164383563"/>
    <n v="35"/>
  </r>
  <r>
    <s v="ORD-1473"/>
    <d v="2025-04-05T00:00:00"/>
    <x v="3"/>
    <x v="3"/>
    <n v="120"/>
    <n v="46"/>
    <n v="0"/>
    <n v="5520"/>
    <n v="30.473972602739725"/>
    <n v="120"/>
  </r>
  <r>
    <s v="ORD-1474"/>
    <d v="2025-04-05T00:00:00"/>
    <x v="4"/>
    <x v="4"/>
    <n v="25"/>
    <n v="27"/>
    <n v="0"/>
    <n v="675"/>
    <n v="29.463013698630139"/>
    <n v="25"/>
  </r>
  <r>
    <s v="ORD-1475"/>
    <d v="2025-04-06T00:00:00"/>
    <x v="0"/>
    <x v="0"/>
    <n v="45"/>
    <n v="69"/>
    <n v="0"/>
    <n v="3105"/>
    <n v="31.479452054794521"/>
    <n v="45"/>
  </r>
  <r>
    <s v="ORD-1476"/>
    <d v="2025-04-06T00:00:00"/>
    <x v="1"/>
    <x v="1"/>
    <n v="12.5"/>
    <n v="55"/>
    <n v="0"/>
    <n v="687.5"/>
    <n v="31.794520547945204"/>
    <n v="12.5"/>
  </r>
  <r>
    <s v="ORD-1477"/>
    <d v="2025-04-06T00:00:00"/>
    <x v="2"/>
    <x v="2"/>
    <n v="35"/>
    <n v="64"/>
    <n v="0"/>
    <n v="2240"/>
    <n v="30.438356164383563"/>
    <n v="35"/>
  </r>
  <r>
    <s v="ORD-1478"/>
    <d v="2025-04-06T00:00:00"/>
    <x v="3"/>
    <x v="3"/>
    <n v="120"/>
    <n v="28"/>
    <n v="0"/>
    <n v="3360"/>
    <n v="30.473972602739725"/>
    <n v="120"/>
  </r>
  <r>
    <s v="ORD-1479"/>
    <d v="2025-04-06T00:00:00"/>
    <x v="4"/>
    <x v="4"/>
    <n v="25"/>
    <n v="21"/>
    <n v="0"/>
    <n v="525"/>
    <n v="29.463013698630139"/>
    <n v="25"/>
  </r>
  <r>
    <s v="ORD-1480"/>
    <d v="2025-04-07T00:00:00"/>
    <x v="0"/>
    <x v="0"/>
    <n v="45"/>
    <n v="12"/>
    <n v="0"/>
    <n v="540"/>
    <n v="31.479452054794521"/>
    <n v="45"/>
  </r>
  <r>
    <s v="ORD-1481"/>
    <d v="2025-04-07T00:00:00"/>
    <x v="1"/>
    <x v="1"/>
    <n v="12.5"/>
    <n v="37"/>
    <n v="0"/>
    <n v="462.5"/>
    <n v="31.794520547945204"/>
    <n v="12.5"/>
  </r>
  <r>
    <s v="ORD-1482"/>
    <d v="2025-04-07T00:00:00"/>
    <x v="2"/>
    <x v="2"/>
    <n v="35"/>
    <n v="32"/>
    <n v="0.1"/>
    <n v="1008"/>
    <n v="30.438356164383563"/>
    <n v="35"/>
  </r>
  <r>
    <s v="ORD-1483"/>
    <d v="2025-04-07T00:00:00"/>
    <x v="3"/>
    <x v="3"/>
    <n v="120"/>
    <n v="27"/>
    <n v="0"/>
    <n v="3240"/>
    <n v="30.473972602739725"/>
    <n v="120"/>
  </r>
  <r>
    <s v="ORD-1484"/>
    <d v="2025-04-07T00:00:00"/>
    <x v="4"/>
    <x v="4"/>
    <n v="25"/>
    <n v="13"/>
    <n v="0"/>
    <n v="325"/>
    <n v="29.463013698630139"/>
    <n v="25"/>
  </r>
  <r>
    <s v="ORD-1485"/>
    <d v="2025-04-08T00:00:00"/>
    <x v="0"/>
    <x v="0"/>
    <n v="45"/>
    <n v="12"/>
    <n v="0"/>
    <n v="540"/>
    <n v="31.479452054794521"/>
    <n v="45"/>
  </r>
  <r>
    <s v="ORD-1486"/>
    <d v="2025-04-08T00:00:00"/>
    <x v="1"/>
    <x v="1"/>
    <n v="12.5"/>
    <n v="34"/>
    <n v="0"/>
    <n v="425"/>
    <n v="31.794520547945204"/>
    <n v="12.5"/>
  </r>
  <r>
    <s v="ORD-1487"/>
    <d v="2025-04-08T00:00:00"/>
    <x v="2"/>
    <x v="2"/>
    <n v="35"/>
    <n v="28"/>
    <n v="0.1"/>
    <n v="882"/>
    <n v="30.438356164383563"/>
    <n v="35"/>
  </r>
  <r>
    <s v="ORD-1488"/>
    <d v="2025-04-08T00:00:00"/>
    <x v="3"/>
    <x v="3"/>
    <n v="120"/>
    <n v="42"/>
    <n v="0.1"/>
    <n v="4536"/>
    <n v="30.473972602739725"/>
    <n v="120"/>
  </r>
  <r>
    <s v="ORD-1489"/>
    <d v="2025-04-08T00:00:00"/>
    <x v="4"/>
    <x v="4"/>
    <n v="25"/>
    <n v="26"/>
    <n v="0.2"/>
    <n v="520"/>
    <n v="29.463013698630139"/>
    <n v="25"/>
  </r>
  <r>
    <s v="ORD-1490"/>
    <d v="2025-04-09T00:00:00"/>
    <x v="0"/>
    <x v="0"/>
    <n v="45"/>
    <n v="22"/>
    <n v="0"/>
    <n v="990"/>
    <n v="31.479452054794521"/>
    <n v="45"/>
  </r>
  <r>
    <s v="ORD-1491"/>
    <d v="2025-04-09T00:00:00"/>
    <x v="1"/>
    <x v="1"/>
    <n v="12.5"/>
    <n v="48"/>
    <n v="0"/>
    <n v="600"/>
    <n v="31.794520547945204"/>
    <n v="12.5"/>
  </r>
  <r>
    <s v="ORD-1492"/>
    <d v="2025-04-09T00:00:00"/>
    <x v="2"/>
    <x v="2"/>
    <n v="35"/>
    <n v="39"/>
    <n v="0"/>
    <n v="1365"/>
    <n v="30.438356164383563"/>
    <n v="35"/>
  </r>
  <r>
    <s v="ORD-1493"/>
    <d v="2025-04-09T00:00:00"/>
    <x v="3"/>
    <x v="3"/>
    <n v="120"/>
    <n v="25"/>
    <n v="0.1"/>
    <n v="2700"/>
    <n v="30.473972602739725"/>
    <n v="120"/>
  </r>
  <r>
    <s v="ORD-1494"/>
    <d v="2025-04-09T00:00:00"/>
    <x v="4"/>
    <x v="4"/>
    <n v="25"/>
    <n v="12"/>
    <n v="0"/>
    <n v="300"/>
    <n v="29.463013698630139"/>
    <n v="25"/>
  </r>
  <r>
    <s v="ORD-1495"/>
    <d v="2025-04-10T00:00:00"/>
    <x v="0"/>
    <x v="0"/>
    <n v="45"/>
    <n v="43"/>
    <n v="0.1"/>
    <n v="1741.5"/>
    <n v="31.479452054794521"/>
    <n v="45"/>
  </r>
  <r>
    <s v="ORD-1496"/>
    <d v="2025-04-10T00:00:00"/>
    <x v="1"/>
    <x v="1"/>
    <n v="12.5"/>
    <n v="44"/>
    <n v="0"/>
    <n v="550"/>
    <n v="31.794520547945204"/>
    <n v="12.5"/>
  </r>
  <r>
    <s v="ORD-1497"/>
    <d v="2025-04-10T00:00:00"/>
    <x v="2"/>
    <x v="2"/>
    <n v="35"/>
    <n v="30"/>
    <n v="0.2"/>
    <n v="840"/>
    <n v="30.438356164383563"/>
    <n v="35"/>
  </r>
  <r>
    <s v="ORD-1498"/>
    <d v="2025-04-10T00:00:00"/>
    <x v="3"/>
    <x v="3"/>
    <n v="120"/>
    <n v="25"/>
    <n v="0.2"/>
    <n v="2400"/>
    <n v="30.473972602739725"/>
    <n v="120"/>
  </r>
  <r>
    <s v="ORD-1499"/>
    <d v="2025-04-10T00:00:00"/>
    <x v="4"/>
    <x v="4"/>
    <n v="25"/>
    <n v="19"/>
    <n v="0.1"/>
    <n v="427.5"/>
    <n v="29.463013698630139"/>
    <n v="25"/>
  </r>
  <r>
    <s v="ORD-1500"/>
    <d v="2025-04-11T00:00:00"/>
    <x v="0"/>
    <x v="0"/>
    <n v="45"/>
    <n v="35"/>
    <n v="0.1"/>
    <n v="1417.5"/>
    <n v="31.479452054794521"/>
    <n v="45"/>
  </r>
  <r>
    <s v="ORD-1501"/>
    <d v="2025-04-11T00:00:00"/>
    <x v="1"/>
    <x v="1"/>
    <n v="12.5"/>
    <n v="32"/>
    <n v="0.2"/>
    <n v="320"/>
    <n v="31.794520547945204"/>
    <n v="12.5"/>
  </r>
  <r>
    <s v="ORD-1502"/>
    <d v="2025-04-11T00:00:00"/>
    <x v="2"/>
    <x v="2"/>
    <n v="35"/>
    <n v="41"/>
    <n v="0"/>
    <n v="1435"/>
    <n v="30.438356164383563"/>
    <n v="35"/>
  </r>
  <r>
    <s v="ORD-1503"/>
    <d v="2025-04-11T00:00:00"/>
    <x v="3"/>
    <x v="3"/>
    <n v="120"/>
    <n v="49"/>
    <n v="0"/>
    <n v="5880"/>
    <n v="30.473972602739725"/>
    <n v="120"/>
  </r>
  <r>
    <s v="ORD-1504"/>
    <d v="2025-04-11T00:00:00"/>
    <x v="4"/>
    <x v="4"/>
    <n v="25"/>
    <n v="25"/>
    <n v="0"/>
    <n v="625"/>
    <n v="29.463013698630139"/>
    <n v="25"/>
  </r>
  <r>
    <s v="ORD-1505"/>
    <d v="2025-04-12T00:00:00"/>
    <x v="0"/>
    <x v="0"/>
    <n v="45"/>
    <n v="15"/>
    <n v="0.2"/>
    <n v="540"/>
    <n v="31.479452054794521"/>
    <n v="45"/>
  </r>
  <r>
    <s v="ORD-1506"/>
    <d v="2025-04-12T00:00:00"/>
    <x v="1"/>
    <x v="1"/>
    <n v="12.5"/>
    <n v="24"/>
    <n v="0"/>
    <n v="300"/>
    <n v="31.794520547945204"/>
    <n v="12.5"/>
  </r>
  <r>
    <s v="ORD-1507"/>
    <d v="2025-04-12T00:00:00"/>
    <x v="2"/>
    <x v="2"/>
    <n v="35"/>
    <n v="10"/>
    <n v="0"/>
    <n v="350"/>
    <n v="30.438356164383563"/>
    <n v="35"/>
  </r>
  <r>
    <s v="ORD-1508"/>
    <d v="2025-04-12T00:00:00"/>
    <x v="3"/>
    <x v="3"/>
    <n v="120"/>
    <n v="31"/>
    <n v="0.1"/>
    <n v="3348"/>
    <n v="30.473972602739725"/>
    <n v="120"/>
  </r>
  <r>
    <s v="ORD-1509"/>
    <d v="2025-04-12T00:00:00"/>
    <x v="4"/>
    <x v="4"/>
    <n v="25"/>
    <n v="64"/>
    <n v="0"/>
    <n v="1600"/>
    <n v="29.463013698630139"/>
    <n v="25"/>
  </r>
  <r>
    <s v="ORD-1510"/>
    <d v="2025-04-13T00:00:00"/>
    <x v="0"/>
    <x v="0"/>
    <n v="45"/>
    <n v="46"/>
    <n v="0"/>
    <n v="2070"/>
    <n v="31.479452054794521"/>
    <n v="45"/>
  </r>
  <r>
    <s v="ORD-1511"/>
    <d v="2025-04-13T00:00:00"/>
    <x v="1"/>
    <x v="1"/>
    <n v="12.5"/>
    <n v="66"/>
    <n v="0"/>
    <n v="825"/>
    <n v="31.794520547945204"/>
    <n v="12.5"/>
  </r>
  <r>
    <s v="ORD-1512"/>
    <d v="2025-04-13T00:00:00"/>
    <x v="2"/>
    <x v="2"/>
    <n v="35"/>
    <n v="52"/>
    <n v="0"/>
    <n v="1820"/>
    <n v="30.438356164383563"/>
    <n v="35"/>
  </r>
  <r>
    <s v="ORD-1513"/>
    <d v="2025-04-13T00:00:00"/>
    <x v="3"/>
    <x v="3"/>
    <n v="120"/>
    <n v="45"/>
    <n v="0"/>
    <n v="5400"/>
    <n v="30.473972602739725"/>
    <n v="120"/>
  </r>
  <r>
    <s v="ORD-1514"/>
    <d v="2025-04-13T00:00:00"/>
    <x v="4"/>
    <x v="4"/>
    <n v="25"/>
    <n v="70"/>
    <n v="0.1"/>
    <n v="1575"/>
    <n v="29.463013698630139"/>
    <n v="25"/>
  </r>
  <r>
    <s v="ORD-1515"/>
    <d v="2025-04-14T00:00:00"/>
    <x v="0"/>
    <x v="0"/>
    <n v="45"/>
    <n v="21"/>
    <n v="0.1"/>
    <n v="850.5"/>
    <n v="31.479452054794521"/>
    <n v="45"/>
  </r>
  <r>
    <s v="ORD-1516"/>
    <d v="2025-04-14T00:00:00"/>
    <x v="1"/>
    <x v="1"/>
    <n v="12.5"/>
    <n v="15"/>
    <n v="0.1"/>
    <n v="168.75"/>
    <n v="31.794520547945204"/>
    <n v="12.5"/>
  </r>
  <r>
    <s v="ORD-1517"/>
    <d v="2025-04-14T00:00:00"/>
    <x v="2"/>
    <x v="2"/>
    <n v="35"/>
    <n v="12"/>
    <n v="0"/>
    <n v="420"/>
    <n v="30.438356164383563"/>
    <n v="35"/>
  </r>
  <r>
    <s v="ORD-1518"/>
    <d v="2025-04-14T00:00:00"/>
    <x v="3"/>
    <x v="3"/>
    <n v="120"/>
    <n v="13"/>
    <n v="0"/>
    <n v="1560"/>
    <n v="30.473972602739725"/>
    <n v="120"/>
  </r>
  <r>
    <s v="ORD-1519"/>
    <d v="2025-04-14T00:00:00"/>
    <x v="4"/>
    <x v="4"/>
    <n v="25"/>
    <n v="35"/>
    <n v="0"/>
    <n v="875"/>
    <n v="29.463013698630139"/>
    <n v="25"/>
  </r>
  <r>
    <s v="ORD-1520"/>
    <d v="2025-04-15T00:00:00"/>
    <x v="0"/>
    <x v="0"/>
    <n v="45"/>
    <n v="27"/>
    <n v="0"/>
    <n v="1215"/>
    <n v="31.479452054794521"/>
    <n v="45"/>
  </r>
  <r>
    <s v="ORD-1521"/>
    <d v="2025-04-15T00:00:00"/>
    <x v="1"/>
    <x v="1"/>
    <n v="12.5"/>
    <n v="43"/>
    <n v="0"/>
    <n v="537.5"/>
    <n v="31.794520547945204"/>
    <n v="12.5"/>
  </r>
  <r>
    <s v="ORD-1522"/>
    <d v="2025-04-15T00:00:00"/>
    <x v="2"/>
    <x v="2"/>
    <n v="35"/>
    <n v="6"/>
    <n v="0"/>
    <n v="210"/>
    <n v="30.438356164383563"/>
    <n v="35"/>
  </r>
  <r>
    <s v="ORD-1523"/>
    <d v="2025-04-15T00:00:00"/>
    <x v="3"/>
    <x v="3"/>
    <n v="120"/>
    <n v="13"/>
    <n v="0"/>
    <n v="1560"/>
    <n v="30.473972602739725"/>
    <n v="120"/>
  </r>
  <r>
    <s v="ORD-1524"/>
    <d v="2025-04-15T00:00:00"/>
    <x v="4"/>
    <x v="4"/>
    <n v="25"/>
    <n v="27"/>
    <n v="0"/>
    <n v="675"/>
    <n v="29.463013698630139"/>
    <n v="25"/>
  </r>
  <r>
    <s v="ORD-1525"/>
    <d v="2025-04-16T00:00:00"/>
    <x v="0"/>
    <x v="0"/>
    <n v="45"/>
    <n v="39"/>
    <n v="0"/>
    <n v="1755"/>
    <n v="31.479452054794521"/>
    <n v="45"/>
  </r>
  <r>
    <s v="ORD-1526"/>
    <d v="2025-04-16T00:00:00"/>
    <x v="1"/>
    <x v="1"/>
    <n v="12.5"/>
    <n v="47"/>
    <n v="0"/>
    <n v="587.5"/>
    <n v="31.794520547945204"/>
    <n v="12.5"/>
  </r>
  <r>
    <s v="ORD-1527"/>
    <d v="2025-04-16T00:00:00"/>
    <x v="2"/>
    <x v="2"/>
    <n v="35"/>
    <n v="32"/>
    <n v="0"/>
    <n v="1120"/>
    <n v="30.438356164383563"/>
    <n v="35"/>
  </r>
  <r>
    <s v="ORD-1528"/>
    <d v="2025-04-16T00:00:00"/>
    <x v="3"/>
    <x v="3"/>
    <n v="120"/>
    <n v="33"/>
    <n v="0"/>
    <n v="3960"/>
    <n v="30.473972602739725"/>
    <n v="120"/>
  </r>
  <r>
    <s v="ORD-1529"/>
    <d v="2025-04-16T00:00:00"/>
    <x v="4"/>
    <x v="4"/>
    <n v="25"/>
    <n v="46"/>
    <n v="0"/>
    <n v="1150"/>
    <n v="29.463013698630139"/>
    <n v="25"/>
  </r>
  <r>
    <s v="ORD-1530"/>
    <d v="2025-04-17T00:00:00"/>
    <x v="0"/>
    <x v="0"/>
    <n v="45"/>
    <n v="19"/>
    <n v="0.1"/>
    <n v="769.5"/>
    <n v="31.479452054794521"/>
    <n v="45"/>
  </r>
  <r>
    <s v="ORD-1531"/>
    <d v="2025-04-17T00:00:00"/>
    <x v="1"/>
    <x v="1"/>
    <n v="12.5"/>
    <n v="49"/>
    <n v="0.1"/>
    <n v="551.25"/>
    <n v="31.794520547945204"/>
    <n v="12.5"/>
  </r>
  <r>
    <s v="ORD-1532"/>
    <d v="2025-04-17T00:00:00"/>
    <x v="2"/>
    <x v="2"/>
    <n v="35"/>
    <n v="5"/>
    <n v="0"/>
    <n v="175"/>
    <n v="30.438356164383563"/>
    <n v="35"/>
  </r>
  <r>
    <s v="ORD-1533"/>
    <d v="2025-04-17T00:00:00"/>
    <x v="3"/>
    <x v="3"/>
    <n v="120"/>
    <n v="49"/>
    <n v="0"/>
    <n v="5880"/>
    <n v="30.473972602739725"/>
    <n v="120"/>
  </r>
  <r>
    <s v="ORD-1534"/>
    <d v="2025-04-17T00:00:00"/>
    <x v="4"/>
    <x v="4"/>
    <n v="25"/>
    <n v="31"/>
    <n v="0.1"/>
    <n v="697.5"/>
    <n v="29.463013698630139"/>
    <n v="25"/>
  </r>
  <r>
    <s v="ORD-1535"/>
    <d v="2025-04-18T00:00:00"/>
    <x v="0"/>
    <x v="0"/>
    <n v="45"/>
    <n v="32"/>
    <n v="0"/>
    <n v="1440"/>
    <n v="31.479452054794521"/>
    <n v="45"/>
  </r>
  <r>
    <s v="ORD-1536"/>
    <d v="2025-04-18T00:00:00"/>
    <x v="1"/>
    <x v="1"/>
    <n v="12.5"/>
    <n v="36"/>
    <n v="0"/>
    <n v="450"/>
    <n v="31.794520547945204"/>
    <n v="12.5"/>
  </r>
  <r>
    <s v="ORD-1537"/>
    <d v="2025-04-18T00:00:00"/>
    <x v="2"/>
    <x v="2"/>
    <n v="35"/>
    <n v="27"/>
    <n v="0.2"/>
    <n v="756"/>
    <n v="30.438356164383563"/>
    <n v="35"/>
  </r>
  <r>
    <s v="ORD-1538"/>
    <d v="2025-04-18T00:00:00"/>
    <x v="3"/>
    <x v="3"/>
    <n v="120"/>
    <n v="29"/>
    <n v="0"/>
    <n v="3480"/>
    <n v="30.473972602739725"/>
    <n v="120"/>
  </r>
  <r>
    <s v="ORD-1539"/>
    <d v="2025-04-18T00:00:00"/>
    <x v="4"/>
    <x v="4"/>
    <n v="25"/>
    <n v="28"/>
    <n v="0"/>
    <n v="700"/>
    <n v="29.463013698630139"/>
    <n v="25"/>
  </r>
  <r>
    <s v="ORD-1540"/>
    <d v="2025-04-19T00:00:00"/>
    <x v="0"/>
    <x v="0"/>
    <n v="45"/>
    <n v="45"/>
    <n v="0"/>
    <n v="2025"/>
    <n v="31.479452054794521"/>
    <n v="45"/>
  </r>
  <r>
    <s v="ORD-1541"/>
    <d v="2025-04-19T00:00:00"/>
    <x v="1"/>
    <x v="1"/>
    <n v="12.5"/>
    <n v="36"/>
    <n v="0"/>
    <n v="450"/>
    <n v="31.794520547945204"/>
    <n v="12.5"/>
  </r>
  <r>
    <s v="ORD-1542"/>
    <d v="2025-04-19T00:00:00"/>
    <x v="2"/>
    <x v="2"/>
    <n v="35"/>
    <n v="9"/>
    <n v="0.1"/>
    <n v="283.5"/>
    <n v="30.438356164383563"/>
    <n v="35"/>
  </r>
  <r>
    <s v="ORD-1543"/>
    <d v="2025-04-19T00:00:00"/>
    <x v="3"/>
    <x v="3"/>
    <n v="120"/>
    <n v="31"/>
    <n v="0"/>
    <n v="3720"/>
    <n v="30.473972602739725"/>
    <n v="120"/>
  </r>
  <r>
    <s v="ORD-1544"/>
    <d v="2025-04-19T00:00:00"/>
    <x v="4"/>
    <x v="4"/>
    <n v="25"/>
    <n v="67"/>
    <n v="0"/>
    <n v="1675"/>
    <n v="29.463013698630139"/>
    <n v="25"/>
  </r>
  <r>
    <s v="ORD-1545"/>
    <d v="2025-04-20T00:00:00"/>
    <x v="0"/>
    <x v="0"/>
    <n v="45"/>
    <n v="58"/>
    <n v="0.2"/>
    <n v="2088"/>
    <n v="31.479452054794521"/>
    <n v="45"/>
  </r>
  <r>
    <s v="ORD-1546"/>
    <d v="2025-04-20T00:00:00"/>
    <x v="1"/>
    <x v="1"/>
    <n v="12.5"/>
    <n v="16"/>
    <n v="0.2"/>
    <n v="160"/>
    <n v="31.794520547945204"/>
    <n v="12.5"/>
  </r>
  <r>
    <s v="ORD-1547"/>
    <d v="2025-04-20T00:00:00"/>
    <x v="2"/>
    <x v="2"/>
    <n v="35"/>
    <n v="15"/>
    <n v="0.2"/>
    <n v="420"/>
    <n v="30.438356164383563"/>
    <n v="35"/>
  </r>
  <r>
    <s v="ORD-1548"/>
    <d v="2025-04-20T00:00:00"/>
    <x v="3"/>
    <x v="3"/>
    <n v="120"/>
    <n v="30"/>
    <n v="0"/>
    <n v="3600"/>
    <n v="30.473972602739725"/>
    <n v="120"/>
  </r>
  <r>
    <s v="ORD-1549"/>
    <d v="2025-04-20T00:00:00"/>
    <x v="4"/>
    <x v="4"/>
    <n v="25"/>
    <n v="16"/>
    <n v="0"/>
    <n v="400"/>
    <n v="29.463013698630139"/>
    <n v="25"/>
  </r>
  <r>
    <s v="ORD-1550"/>
    <d v="2025-04-21T00:00:00"/>
    <x v="0"/>
    <x v="0"/>
    <n v="45"/>
    <n v="34"/>
    <n v="0.2"/>
    <n v="1224"/>
    <n v="31.479452054794521"/>
    <n v="45"/>
  </r>
  <r>
    <s v="ORD-1551"/>
    <d v="2025-04-21T00:00:00"/>
    <x v="1"/>
    <x v="1"/>
    <n v="12.5"/>
    <n v="11"/>
    <n v="0"/>
    <n v="137.5"/>
    <n v="31.794520547945204"/>
    <n v="12.5"/>
  </r>
  <r>
    <s v="ORD-1552"/>
    <d v="2025-04-21T00:00:00"/>
    <x v="2"/>
    <x v="2"/>
    <n v="35"/>
    <n v="11"/>
    <n v="0.1"/>
    <n v="346.5"/>
    <n v="30.438356164383563"/>
    <n v="35"/>
  </r>
  <r>
    <s v="ORD-1553"/>
    <d v="2025-04-21T00:00:00"/>
    <x v="3"/>
    <x v="3"/>
    <n v="120"/>
    <n v="48"/>
    <n v="0.1"/>
    <n v="5184"/>
    <n v="30.473972602739725"/>
    <n v="120"/>
  </r>
  <r>
    <s v="ORD-1554"/>
    <d v="2025-04-21T00:00:00"/>
    <x v="4"/>
    <x v="4"/>
    <n v="25"/>
    <n v="11"/>
    <n v="0.1"/>
    <n v="247.5"/>
    <n v="29.463013698630139"/>
    <n v="25"/>
  </r>
  <r>
    <s v="ORD-1555"/>
    <d v="2025-04-22T00:00:00"/>
    <x v="0"/>
    <x v="0"/>
    <n v="45"/>
    <n v="32"/>
    <n v="0.2"/>
    <n v="1152"/>
    <n v="31.479452054794521"/>
    <n v="45"/>
  </r>
  <r>
    <s v="ORD-1556"/>
    <d v="2025-04-22T00:00:00"/>
    <x v="1"/>
    <x v="1"/>
    <n v="12.5"/>
    <n v="32"/>
    <n v="0.1"/>
    <n v="360"/>
    <n v="31.794520547945204"/>
    <n v="12.5"/>
  </r>
  <r>
    <s v="ORD-1557"/>
    <d v="2025-04-22T00:00:00"/>
    <x v="2"/>
    <x v="2"/>
    <n v="35"/>
    <n v="8"/>
    <n v="0"/>
    <n v="280"/>
    <n v="30.438356164383563"/>
    <n v="35"/>
  </r>
  <r>
    <s v="ORD-1558"/>
    <d v="2025-04-22T00:00:00"/>
    <x v="3"/>
    <x v="3"/>
    <n v="120"/>
    <n v="39"/>
    <n v="0.2"/>
    <n v="3744"/>
    <n v="30.473972602739725"/>
    <n v="120"/>
  </r>
  <r>
    <s v="ORD-1559"/>
    <d v="2025-04-22T00:00:00"/>
    <x v="4"/>
    <x v="4"/>
    <n v="25"/>
    <n v="41"/>
    <n v="0"/>
    <n v="1025"/>
    <n v="29.463013698630139"/>
    <n v="25"/>
  </r>
  <r>
    <s v="ORD-1560"/>
    <d v="2025-04-23T00:00:00"/>
    <x v="0"/>
    <x v="0"/>
    <n v="45"/>
    <n v="19"/>
    <n v="0.1"/>
    <n v="769.5"/>
    <n v="31.479452054794521"/>
    <n v="45"/>
  </r>
  <r>
    <s v="ORD-1561"/>
    <d v="2025-04-23T00:00:00"/>
    <x v="1"/>
    <x v="1"/>
    <n v="12.5"/>
    <n v="19"/>
    <n v="0.1"/>
    <n v="213.75"/>
    <n v="31.794520547945204"/>
    <n v="12.5"/>
  </r>
  <r>
    <s v="ORD-1562"/>
    <d v="2025-04-23T00:00:00"/>
    <x v="2"/>
    <x v="2"/>
    <n v="35"/>
    <n v="27"/>
    <n v="0.1"/>
    <n v="850.5"/>
    <n v="30.438356164383563"/>
    <n v="35"/>
  </r>
  <r>
    <s v="ORD-1563"/>
    <d v="2025-04-23T00:00:00"/>
    <x v="3"/>
    <x v="3"/>
    <n v="120"/>
    <n v="30"/>
    <n v="0.2"/>
    <n v="2880"/>
    <n v="30.473972602739725"/>
    <n v="120"/>
  </r>
  <r>
    <s v="ORD-1564"/>
    <d v="2025-04-23T00:00:00"/>
    <x v="4"/>
    <x v="4"/>
    <n v="25"/>
    <n v="32"/>
    <n v="0.1"/>
    <n v="720"/>
    <n v="29.463013698630139"/>
    <n v="25"/>
  </r>
  <r>
    <s v="ORD-1565"/>
    <d v="2025-04-24T00:00:00"/>
    <x v="0"/>
    <x v="0"/>
    <n v="45"/>
    <n v="26"/>
    <n v="0.1"/>
    <n v="1053"/>
    <n v="31.479452054794521"/>
    <n v="45"/>
  </r>
  <r>
    <s v="ORD-1566"/>
    <d v="2025-04-24T00:00:00"/>
    <x v="1"/>
    <x v="1"/>
    <n v="12.5"/>
    <n v="16"/>
    <n v="0.1"/>
    <n v="180"/>
    <n v="31.794520547945204"/>
    <n v="12.5"/>
  </r>
  <r>
    <s v="ORD-1567"/>
    <d v="2025-04-24T00:00:00"/>
    <x v="2"/>
    <x v="2"/>
    <n v="35"/>
    <n v="26"/>
    <n v="0"/>
    <n v="910"/>
    <n v="30.438356164383563"/>
    <n v="35"/>
  </r>
  <r>
    <s v="ORD-1568"/>
    <d v="2025-04-24T00:00:00"/>
    <x v="3"/>
    <x v="3"/>
    <n v="120"/>
    <n v="44"/>
    <n v="0"/>
    <n v="5280"/>
    <n v="30.473972602739725"/>
    <n v="120"/>
  </r>
  <r>
    <s v="ORD-1569"/>
    <d v="2025-04-24T00:00:00"/>
    <x v="4"/>
    <x v="4"/>
    <n v="25"/>
    <n v="22"/>
    <n v="0"/>
    <n v="550"/>
    <n v="29.463013698630139"/>
    <n v="25"/>
  </r>
  <r>
    <s v="ORD-1570"/>
    <d v="2025-04-25T00:00:00"/>
    <x v="0"/>
    <x v="0"/>
    <n v="45"/>
    <n v="16"/>
    <n v="0.1"/>
    <n v="648"/>
    <n v="31.479452054794521"/>
    <n v="45"/>
  </r>
  <r>
    <s v="ORD-1571"/>
    <d v="2025-04-25T00:00:00"/>
    <x v="1"/>
    <x v="1"/>
    <n v="12.5"/>
    <n v="21"/>
    <n v="0"/>
    <n v="262.5"/>
    <n v="31.794520547945204"/>
    <n v="12.5"/>
  </r>
  <r>
    <s v="ORD-1572"/>
    <d v="2025-04-25T00:00:00"/>
    <x v="2"/>
    <x v="2"/>
    <n v="35"/>
    <n v="24"/>
    <n v="0"/>
    <n v="840"/>
    <n v="30.438356164383563"/>
    <n v="35"/>
  </r>
  <r>
    <s v="ORD-1573"/>
    <d v="2025-04-25T00:00:00"/>
    <x v="3"/>
    <x v="3"/>
    <n v="120"/>
    <n v="8"/>
    <n v="0"/>
    <n v="960"/>
    <n v="30.473972602739725"/>
    <n v="120"/>
  </r>
  <r>
    <s v="ORD-1574"/>
    <d v="2025-04-25T00:00:00"/>
    <x v="4"/>
    <x v="4"/>
    <n v="25"/>
    <n v="10"/>
    <n v="0"/>
    <n v="250"/>
    <n v="29.463013698630139"/>
    <n v="25"/>
  </r>
  <r>
    <s v="ORD-1575"/>
    <d v="2025-04-26T00:00:00"/>
    <x v="0"/>
    <x v="0"/>
    <n v="45"/>
    <n v="63"/>
    <n v="0"/>
    <n v="2835"/>
    <n v="31.479452054794521"/>
    <n v="45"/>
  </r>
  <r>
    <s v="ORD-1576"/>
    <d v="2025-04-26T00:00:00"/>
    <x v="1"/>
    <x v="1"/>
    <n v="12.5"/>
    <n v="72"/>
    <n v="0"/>
    <n v="900"/>
    <n v="31.794520547945204"/>
    <n v="12.5"/>
  </r>
  <r>
    <s v="ORD-1577"/>
    <d v="2025-04-26T00:00:00"/>
    <x v="2"/>
    <x v="2"/>
    <n v="35"/>
    <n v="72"/>
    <n v="0"/>
    <n v="2520"/>
    <n v="30.438356164383563"/>
    <n v="35"/>
  </r>
  <r>
    <s v="ORD-1578"/>
    <d v="2025-04-26T00:00:00"/>
    <x v="3"/>
    <x v="3"/>
    <n v="120"/>
    <n v="54"/>
    <n v="0"/>
    <n v="6480"/>
    <n v="30.473972602739725"/>
    <n v="120"/>
  </r>
  <r>
    <s v="ORD-1579"/>
    <d v="2025-04-26T00:00:00"/>
    <x v="4"/>
    <x v="4"/>
    <n v="25"/>
    <n v="57"/>
    <n v="0.1"/>
    <n v="1282.5"/>
    <n v="29.463013698630139"/>
    <n v="25"/>
  </r>
  <r>
    <s v="ORD-1580"/>
    <d v="2025-04-27T00:00:00"/>
    <x v="0"/>
    <x v="0"/>
    <n v="45"/>
    <n v="64"/>
    <n v="0"/>
    <n v="2880"/>
    <n v="31.479452054794521"/>
    <n v="45"/>
  </r>
  <r>
    <s v="ORD-1581"/>
    <d v="2025-04-27T00:00:00"/>
    <x v="1"/>
    <x v="1"/>
    <n v="12.5"/>
    <n v="25"/>
    <n v="0.1"/>
    <n v="281.25"/>
    <n v="31.794520547945204"/>
    <n v="12.5"/>
  </r>
  <r>
    <s v="ORD-1582"/>
    <d v="2025-04-27T00:00:00"/>
    <x v="2"/>
    <x v="2"/>
    <n v="35"/>
    <n v="36"/>
    <n v="0"/>
    <n v="1260"/>
    <n v="30.438356164383563"/>
    <n v="35"/>
  </r>
  <r>
    <s v="ORD-1583"/>
    <d v="2025-04-27T00:00:00"/>
    <x v="3"/>
    <x v="3"/>
    <n v="120"/>
    <n v="24"/>
    <n v="0.1"/>
    <n v="2592"/>
    <n v="30.473972602739725"/>
    <n v="120"/>
  </r>
  <r>
    <s v="ORD-1584"/>
    <d v="2025-04-27T00:00:00"/>
    <x v="4"/>
    <x v="4"/>
    <n v="25"/>
    <n v="21"/>
    <n v="0"/>
    <n v="525"/>
    <n v="29.463013698630139"/>
    <n v="25"/>
  </r>
  <r>
    <s v="ORD-1585"/>
    <d v="2025-04-28T00:00:00"/>
    <x v="0"/>
    <x v="0"/>
    <n v="45"/>
    <n v="14"/>
    <n v="0"/>
    <n v="630"/>
    <n v="31.479452054794521"/>
    <n v="45"/>
  </r>
  <r>
    <s v="ORD-1586"/>
    <d v="2025-04-28T00:00:00"/>
    <x v="1"/>
    <x v="1"/>
    <n v="12.5"/>
    <n v="25"/>
    <n v="0"/>
    <n v="312.5"/>
    <n v="31.794520547945204"/>
    <n v="12.5"/>
  </r>
  <r>
    <s v="ORD-1587"/>
    <d v="2025-04-28T00:00:00"/>
    <x v="2"/>
    <x v="2"/>
    <n v="35"/>
    <n v="21"/>
    <n v="0"/>
    <n v="735"/>
    <n v="30.438356164383563"/>
    <n v="35"/>
  </r>
  <r>
    <s v="ORD-1588"/>
    <d v="2025-04-28T00:00:00"/>
    <x v="3"/>
    <x v="3"/>
    <n v="120"/>
    <n v="21"/>
    <n v="0"/>
    <n v="2520"/>
    <n v="30.473972602739725"/>
    <n v="120"/>
  </r>
  <r>
    <s v="ORD-1589"/>
    <d v="2025-04-28T00:00:00"/>
    <x v="4"/>
    <x v="4"/>
    <n v="25"/>
    <n v="26"/>
    <n v="0"/>
    <n v="650"/>
    <n v="29.463013698630139"/>
    <n v="25"/>
  </r>
  <r>
    <s v="ORD-1590"/>
    <d v="2025-04-29T00:00:00"/>
    <x v="0"/>
    <x v="0"/>
    <n v="45"/>
    <n v="25"/>
    <n v="0"/>
    <n v="1125"/>
    <n v="31.479452054794521"/>
    <n v="45"/>
  </r>
  <r>
    <s v="ORD-1591"/>
    <d v="2025-04-29T00:00:00"/>
    <x v="1"/>
    <x v="1"/>
    <n v="12.5"/>
    <n v="46"/>
    <n v="0"/>
    <n v="575"/>
    <n v="31.794520547945204"/>
    <n v="12.5"/>
  </r>
  <r>
    <s v="ORD-1592"/>
    <d v="2025-04-29T00:00:00"/>
    <x v="2"/>
    <x v="2"/>
    <n v="35"/>
    <n v="31"/>
    <n v="0.2"/>
    <n v="868"/>
    <n v="30.438356164383563"/>
    <n v="35"/>
  </r>
  <r>
    <s v="ORD-1593"/>
    <d v="2025-04-29T00:00:00"/>
    <x v="3"/>
    <x v="3"/>
    <n v="120"/>
    <n v="44"/>
    <n v="0"/>
    <n v="5280"/>
    <n v="30.473972602739725"/>
    <n v="120"/>
  </r>
  <r>
    <s v="ORD-1594"/>
    <d v="2025-04-29T00:00:00"/>
    <x v="4"/>
    <x v="4"/>
    <n v="25"/>
    <n v="22"/>
    <n v="0.2"/>
    <n v="440"/>
    <n v="29.463013698630139"/>
    <n v="25"/>
  </r>
  <r>
    <s v="ORD-1595"/>
    <d v="2025-04-30T00:00:00"/>
    <x v="0"/>
    <x v="0"/>
    <n v="45"/>
    <n v="29"/>
    <n v="0"/>
    <n v="1305"/>
    <n v="31.479452054794521"/>
    <n v="45"/>
  </r>
  <r>
    <s v="ORD-1596"/>
    <d v="2025-04-30T00:00:00"/>
    <x v="1"/>
    <x v="1"/>
    <n v="12.5"/>
    <n v="7"/>
    <n v="0"/>
    <n v="87.5"/>
    <n v="31.794520547945204"/>
    <n v="12.5"/>
  </r>
  <r>
    <s v="ORD-1597"/>
    <d v="2025-04-30T00:00:00"/>
    <x v="2"/>
    <x v="2"/>
    <n v="35"/>
    <n v="8"/>
    <n v="0"/>
    <n v="280"/>
    <n v="30.438356164383563"/>
    <n v="35"/>
  </r>
  <r>
    <s v="ORD-1598"/>
    <d v="2025-04-30T00:00:00"/>
    <x v="3"/>
    <x v="3"/>
    <n v="120"/>
    <n v="7"/>
    <n v="0"/>
    <n v="840"/>
    <n v="30.473972602739725"/>
    <n v="120"/>
  </r>
  <r>
    <s v="ORD-1599"/>
    <d v="2025-04-30T00:00:00"/>
    <x v="4"/>
    <x v="4"/>
    <n v="25"/>
    <n v="6"/>
    <n v="0.1"/>
    <n v="135"/>
    <n v="29.463013698630139"/>
    <n v="25"/>
  </r>
  <r>
    <s v="ORD-1600"/>
    <d v="2025-05-01T00:00:00"/>
    <x v="0"/>
    <x v="0"/>
    <n v="45"/>
    <n v="24"/>
    <n v="0"/>
    <n v="1080"/>
    <n v="31.479452054794521"/>
    <n v="45"/>
  </r>
  <r>
    <s v="ORD-1601"/>
    <d v="2025-05-01T00:00:00"/>
    <x v="1"/>
    <x v="1"/>
    <n v="12.5"/>
    <n v="22"/>
    <n v="0"/>
    <n v="275"/>
    <n v="31.794520547945204"/>
    <n v="12.5"/>
  </r>
  <r>
    <s v="ORD-1602"/>
    <d v="2025-05-01T00:00:00"/>
    <x v="2"/>
    <x v="2"/>
    <n v="35"/>
    <n v="21"/>
    <n v="0.1"/>
    <n v="661.5"/>
    <n v="30.438356164383563"/>
    <n v="35"/>
  </r>
  <r>
    <s v="ORD-1603"/>
    <d v="2025-05-01T00:00:00"/>
    <x v="3"/>
    <x v="3"/>
    <n v="120"/>
    <n v="48"/>
    <n v="0"/>
    <n v="5760"/>
    <n v="30.473972602739725"/>
    <n v="120"/>
  </r>
  <r>
    <s v="ORD-1604"/>
    <d v="2025-05-01T00:00:00"/>
    <x v="4"/>
    <x v="4"/>
    <n v="25"/>
    <n v="38"/>
    <n v="0"/>
    <n v="950"/>
    <n v="29.463013698630139"/>
    <n v="25"/>
  </r>
  <r>
    <s v="ORD-1605"/>
    <d v="2025-05-02T00:00:00"/>
    <x v="0"/>
    <x v="0"/>
    <n v="45"/>
    <n v="46"/>
    <n v="0.2"/>
    <n v="1656"/>
    <n v="31.479452054794521"/>
    <n v="45"/>
  </r>
  <r>
    <s v="ORD-1606"/>
    <d v="2025-05-02T00:00:00"/>
    <x v="1"/>
    <x v="1"/>
    <n v="12.5"/>
    <n v="47"/>
    <n v="0.1"/>
    <n v="528.75"/>
    <n v="31.794520547945204"/>
    <n v="12.5"/>
  </r>
  <r>
    <s v="ORD-1607"/>
    <d v="2025-05-02T00:00:00"/>
    <x v="2"/>
    <x v="2"/>
    <n v="35"/>
    <n v="26"/>
    <n v="0"/>
    <n v="910"/>
    <n v="30.438356164383563"/>
    <n v="35"/>
  </r>
  <r>
    <s v="ORD-1608"/>
    <d v="2025-05-02T00:00:00"/>
    <x v="3"/>
    <x v="3"/>
    <n v="120"/>
    <n v="17"/>
    <n v="0"/>
    <n v="2040"/>
    <n v="30.473972602739725"/>
    <n v="120"/>
  </r>
  <r>
    <s v="ORD-1609"/>
    <d v="2025-05-02T00:00:00"/>
    <x v="4"/>
    <x v="4"/>
    <n v="25"/>
    <n v="23"/>
    <n v="0.1"/>
    <n v="517.5"/>
    <n v="29.463013698630139"/>
    <n v="25"/>
  </r>
  <r>
    <s v="ORD-1610"/>
    <d v="2025-05-03T00:00:00"/>
    <x v="0"/>
    <x v="0"/>
    <n v="45"/>
    <n v="60"/>
    <n v="0"/>
    <n v="2700"/>
    <n v="31.479452054794521"/>
    <n v="45"/>
  </r>
  <r>
    <s v="ORD-1611"/>
    <d v="2025-05-03T00:00:00"/>
    <x v="1"/>
    <x v="1"/>
    <n v="12.5"/>
    <n v="27"/>
    <n v="0.2"/>
    <n v="270"/>
    <n v="31.794520547945204"/>
    <n v="12.5"/>
  </r>
  <r>
    <s v="ORD-1612"/>
    <d v="2025-05-03T00:00:00"/>
    <x v="2"/>
    <x v="2"/>
    <n v="35"/>
    <n v="61"/>
    <n v="0.1"/>
    <n v="1921.5"/>
    <n v="30.438356164383563"/>
    <n v="35"/>
  </r>
  <r>
    <s v="ORD-1613"/>
    <d v="2025-05-03T00:00:00"/>
    <x v="3"/>
    <x v="3"/>
    <n v="120"/>
    <n v="42"/>
    <n v="0"/>
    <n v="5040"/>
    <n v="30.473972602739725"/>
    <n v="120"/>
  </r>
  <r>
    <s v="ORD-1614"/>
    <d v="2025-05-03T00:00:00"/>
    <x v="4"/>
    <x v="4"/>
    <n v="25"/>
    <n v="16"/>
    <n v="0.1"/>
    <n v="360"/>
    <n v="29.463013698630139"/>
    <n v="25"/>
  </r>
  <r>
    <s v="ORD-1615"/>
    <d v="2025-05-04T00:00:00"/>
    <x v="0"/>
    <x v="0"/>
    <n v="45"/>
    <n v="33"/>
    <n v="0.1"/>
    <n v="1336.5"/>
    <n v="31.479452054794521"/>
    <n v="45"/>
  </r>
  <r>
    <s v="ORD-1616"/>
    <d v="2025-05-04T00:00:00"/>
    <x v="1"/>
    <x v="1"/>
    <n v="12.5"/>
    <n v="64"/>
    <n v="0"/>
    <n v="800"/>
    <n v="31.794520547945204"/>
    <n v="12.5"/>
  </r>
  <r>
    <s v="ORD-1617"/>
    <d v="2025-05-04T00:00:00"/>
    <x v="2"/>
    <x v="2"/>
    <n v="35"/>
    <n v="48"/>
    <n v="0.2"/>
    <n v="1344"/>
    <n v="30.438356164383563"/>
    <n v="35"/>
  </r>
  <r>
    <s v="ORD-1618"/>
    <d v="2025-05-04T00:00:00"/>
    <x v="3"/>
    <x v="3"/>
    <n v="120"/>
    <n v="13"/>
    <n v="0"/>
    <n v="1560"/>
    <n v="30.473972602739725"/>
    <n v="120"/>
  </r>
  <r>
    <s v="ORD-1619"/>
    <d v="2025-05-04T00:00:00"/>
    <x v="4"/>
    <x v="4"/>
    <n v="25"/>
    <n v="22"/>
    <n v="0"/>
    <n v="550"/>
    <n v="29.463013698630139"/>
    <n v="25"/>
  </r>
  <r>
    <s v="ORD-1620"/>
    <d v="2025-05-05T00:00:00"/>
    <x v="0"/>
    <x v="0"/>
    <n v="45"/>
    <n v="43"/>
    <n v="0"/>
    <n v="1935"/>
    <n v="31.479452054794521"/>
    <n v="45"/>
  </r>
  <r>
    <s v="ORD-1621"/>
    <d v="2025-05-05T00:00:00"/>
    <x v="1"/>
    <x v="1"/>
    <n v="12.5"/>
    <n v="7"/>
    <n v="0.1"/>
    <n v="78.75"/>
    <n v="31.794520547945204"/>
    <n v="12.5"/>
  </r>
  <r>
    <s v="ORD-1622"/>
    <d v="2025-05-05T00:00:00"/>
    <x v="2"/>
    <x v="2"/>
    <n v="35"/>
    <n v="42"/>
    <n v="0"/>
    <n v="1470"/>
    <n v="30.438356164383563"/>
    <n v="35"/>
  </r>
  <r>
    <s v="ORD-1623"/>
    <d v="2025-05-05T00:00:00"/>
    <x v="3"/>
    <x v="3"/>
    <n v="120"/>
    <n v="18"/>
    <n v="0.1"/>
    <n v="1944"/>
    <n v="30.473972602739725"/>
    <n v="120"/>
  </r>
  <r>
    <s v="ORD-1624"/>
    <d v="2025-05-05T00:00:00"/>
    <x v="4"/>
    <x v="4"/>
    <n v="25"/>
    <n v="14"/>
    <n v="0"/>
    <n v="350"/>
    <n v="29.463013698630139"/>
    <n v="25"/>
  </r>
  <r>
    <s v="ORD-1625"/>
    <d v="2025-05-06T00:00:00"/>
    <x v="0"/>
    <x v="0"/>
    <n v="45"/>
    <n v="14"/>
    <n v="0.1"/>
    <n v="567"/>
    <n v="31.479452054794521"/>
    <n v="45"/>
  </r>
  <r>
    <s v="ORD-1626"/>
    <d v="2025-05-06T00:00:00"/>
    <x v="1"/>
    <x v="1"/>
    <n v="12.5"/>
    <n v="18"/>
    <n v="0.2"/>
    <n v="180"/>
    <n v="31.794520547945204"/>
    <n v="12.5"/>
  </r>
  <r>
    <s v="ORD-1627"/>
    <d v="2025-05-06T00:00:00"/>
    <x v="2"/>
    <x v="2"/>
    <n v="35"/>
    <n v="49"/>
    <n v="0.1"/>
    <n v="1543.5"/>
    <n v="30.438356164383563"/>
    <n v="35"/>
  </r>
  <r>
    <s v="ORD-1628"/>
    <d v="2025-05-06T00:00:00"/>
    <x v="3"/>
    <x v="3"/>
    <n v="120"/>
    <n v="21"/>
    <n v="0.1"/>
    <n v="2268"/>
    <n v="30.473972602739725"/>
    <n v="120"/>
  </r>
  <r>
    <s v="ORD-1629"/>
    <d v="2025-05-06T00:00:00"/>
    <x v="4"/>
    <x v="4"/>
    <n v="25"/>
    <n v="34"/>
    <n v="0"/>
    <n v="850"/>
    <n v="29.463013698630139"/>
    <n v="25"/>
  </r>
  <r>
    <s v="ORD-1630"/>
    <d v="2025-05-07T00:00:00"/>
    <x v="0"/>
    <x v="0"/>
    <n v="45"/>
    <n v="37"/>
    <n v="0.1"/>
    <n v="1498.5"/>
    <n v="31.479452054794521"/>
    <n v="45"/>
  </r>
  <r>
    <s v="ORD-1631"/>
    <d v="2025-05-07T00:00:00"/>
    <x v="1"/>
    <x v="1"/>
    <n v="12.5"/>
    <n v="19"/>
    <n v="0.1"/>
    <n v="213.75"/>
    <n v="31.794520547945204"/>
    <n v="12.5"/>
  </r>
  <r>
    <s v="ORD-1632"/>
    <d v="2025-05-07T00:00:00"/>
    <x v="2"/>
    <x v="2"/>
    <n v="35"/>
    <n v="19"/>
    <n v="0.2"/>
    <n v="532"/>
    <n v="30.438356164383563"/>
    <n v="35"/>
  </r>
  <r>
    <s v="ORD-1633"/>
    <d v="2025-05-07T00:00:00"/>
    <x v="3"/>
    <x v="3"/>
    <n v="120"/>
    <n v="5"/>
    <n v="0"/>
    <n v="600"/>
    <n v="30.473972602739725"/>
    <n v="120"/>
  </r>
  <r>
    <s v="ORD-1634"/>
    <d v="2025-05-07T00:00:00"/>
    <x v="4"/>
    <x v="4"/>
    <n v="25"/>
    <n v="40"/>
    <n v="0"/>
    <n v="1000"/>
    <n v="29.463013698630139"/>
    <n v="25"/>
  </r>
  <r>
    <s v="ORD-1635"/>
    <d v="2025-05-08T00:00:00"/>
    <x v="0"/>
    <x v="0"/>
    <n v="45"/>
    <n v="10"/>
    <n v="0.1"/>
    <n v="405"/>
    <n v="31.479452054794521"/>
    <n v="45"/>
  </r>
  <r>
    <s v="ORD-1636"/>
    <d v="2025-05-08T00:00:00"/>
    <x v="1"/>
    <x v="1"/>
    <n v="12.5"/>
    <n v="48"/>
    <n v="0"/>
    <n v="600"/>
    <n v="31.794520547945204"/>
    <n v="12.5"/>
  </r>
  <r>
    <s v="ORD-1637"/>
    <d v="2025-05-08T00:00:00"/>
    <x v="2"/>
    <x v="2"/>
    <n v="35"/>
    <n v="5"/>
    <n v="0.1"/>
    <n v="157.5"/>
    <n v="30.438356164383563"/>
    <n v="35"/>
  </r>
  <r>
    <s v="ORD-1638"/>
    <d v="2025-05-08T00:00:00"/>
    <x v="3"/>
    <x v="3"/>
    <n v="120"/>
    <n v="44"/>
    <n v="0.1"/>
    <n v="4752"/>
    <n v="30.473972602739725"/>
    <n v="120"/>
  </r>
  <r>
    <s v="ORD-1639"/>
    <d v="2025-05-08T00:00:00"/>
    <x v="4"/>
    <x v="4"/>
    <n v="25"/>
    <n v="21"/>
    <n v="0.1"/>
    <n v="472.5"/>
    <n v="29.463013698630139"/>
    <n v="25"/>
  </r>
  <r>
    <s v="ORD-1640"/>
    <d v="2025-05-09T00:00:00"/>
    <x v="0"/>
    <x v="0"/>
    <n v="45"/>
    <n v="17"/>
    <n v="0.2"/>
    <n v="612"/>
    <n v="31.479452054794521"/>
    <n v="45"/>
  </r>
  <r>
    <s v="ORD-1641"/>
    <d v="2025-05-09T00:00:00"/>
    <x v="1"/>
    <x v="1"/>
    <n v="12.5"/>
    <n v="45"/>
    <n v="0"/>
    <n v="562.5"/>
    <n v="31.794520547945204"/>
    <n v="12.5"/>
  </r>
  <r>
    <s v="ORD-1642"/>
    <d v="2025-05-09T00:00:00"/>
    <x v="2"/>
    <x v="2"/>
    <n v="35"/>
    <n v="36"/>
    <n v="0.1"/>
    <n v="1134"/>
    <n v="30.438356164383563"/>
    <n v="35"/>
  </r>
  <r>
    <s v="ORD-1643"/>
    <d v="2025-05-09T00:00:00"/>
    <x v="3"/>
    <x v="3"/>
    <n v="120"/>
    <n v="38"/>
    <n v="0"/>
    <n v="4560"/>
    <n v="30.473972602739725"/>
    <n v="120"/>
  </r>
  <r>
    <s v="ORD-1644"/>
    <d v="2025-05-09T00:00:00"/>
    <x v="4"/>
    <x v="4"/>
    <n v="25"/>
    <n v="25"/>
    <n v="0"/>
    <n v="625"/>
    <n v="29.463013698630139"/>
    <n v="25"/>
  </r>
  <r>
    <s v="ORD-1645"/>
    <d v="2025-05-10T00:00:00"/>
    <x v="0"/>
    <x v="0"/>
    <n v="45"/>
    <n v="7"/>
    <n v="0"/>
    <n v="315"/>
    <n v="31.479452054794521"/>
    <n v="45"/>
  </r>
  <r>
    <s v="ORD-1646"/>
    <d v="2025-05-10T00:00:00"/>
    <x v="1"/>
    <x v="1"/>
    <n v="12.5"/>
    <n v="72"/>
    <n v="0"/>
    <n v="900"/>
    <n v="31.794520547945204"/>
    <n v="12.5"/>
  </r>
  <r>
    <s v="ORD-1647"/>
    <d v="2025-05-10T00:00:00"/>
    <x v="2"/>
    <x v="2"/>
    <n v="35"/>
    <n v="22"/>
    <n v="0"/>
    <n v="770"/>
    <n v="30.438356164383563"/>
    <n v="35"/>
  </r>
  <r>
    <s v="ORD-1648"/>
    <d v="2025-05-10T00:00:00"/>
    <x v="3"/>
    <x v="3"/>
    <n v="120"/>
    <n v="66"/>
    <n v="0.1"/>
    <n v="7128"/>
    <n v="30.473972602739725"/>
    <n v="120"/>
  </r>
  <r>
    <s v="ORD-1649"/>
    <d v="2025-05-10T00:00:00"/>
    <x v="4"/>
    <x v="4"/>
    <n v="25"/>
    <n v="51"/>
    <n v="0"/>
    <n v="1275"/>
    <n v="29.463013698630139"/>
    <n v="25"/>
  </r>
  <r>
    <s v="ORD-1650"/>
    <d v="2025-05-11T00:00:00"/>
    <x v="0"/>
    <x v="0"/>
    <n v="45"/>
    <n v="39"/>
    <n v="0"/>
    <n v="1755"/>
    <n v="31.479452054794521"/>
    <n v="45"/>
  </r>
  <r>
    <s v="ORD-1651"/>
    <d v="2025-05-11T00:00:00"/>
    <x v="1"/>
    <x v="1"/>
    <n v="12.5"/>
    <n v="69"/>
    <n v="0"/>
    <n v="862.5"/>
    <n v="31.794520547945204"/>
    <n v="12.5"/>
  </r>
  <r>
    <s v="ORD-1652"/>
    <d v="2025-05-11T00:00:00"/>
    <x v="2"/>
    <x v="2"/>
    <n v="35"/>
    <n v="15"/>
    <n v="0"/>
    <n v="525"/>
    <n v="30.438356164383563"/>
    <n v="35"/>
  </r>
  <r>
    <s v="ORD-1653"/>
    <d v="2025-05-11T00:00:00"/>
    <x v="3"/>
    <x v="3"/>
    <n v="120"/>
    <n v="40"/>
    <n v="0"/>
    <n v="4800"/>
    <n v="30.473972602739725"/>
    <n v="120"/>
  </r>
  <r>
    <s v="ORD-1654"/>
    <d v="2025-05-11T00:00:00"/>
    <x v="4"/>
    <x v="4"/>
    <n v="25"/>
    <n v="34"/>
    <n v="0.2"/>
    <n v="680"/>
    <n v="29.463013698630139"/>
    <n v="25"/>
  </r>
  <r>
    <s v="ORD-1655"/>
    <d v="2025-05-12T00:00:00"/>
    <x v="0"/>
    <x v="0"/>
    <n v="45"/>
    <n v="27"/>
    <n v="0"/>
    <n v="1215"/>
    <n v="31.479452054794521"/>
    <n v="45"/>
  </r>
  <r>
    <s v="ORD-1656"/>
    <d v="2025-05-12T00:00:00"/>
    <x v="1"/>
    <x v="1"/>
    <n v="12.5"/>
    <n v="26"/>
    <n v="0.1"/>
    <n v="292.5"/>
    <n v="31.794520547945204"/>
    <n v="12.5"/>
  </r>
  <r>
    <s v="ORD-1657"/>
    <d v="2025-05-12T00:00:00"/>
    <x v="2"/>
    <x v="2"/>
    <n v="35"/>
    <n v="12"/>
    <n v="0"/>
    <n v="420"/>
    <n v="30.438356164383563"/>
    <n v="35"/>
  </r>
  <r>
    <s v="ORD-1658"/>
    <d v="2025-05-12T00:00:00"/>
    <x v="3"/>
    <x v="3"/>
    <n v="120"/>
    <n v="16"/>
    <n v="0.2"/>
    <n v="1536"/>
    <n v="30.473972602739725"/>
    <n v="120"/>
  </r>
  <r>
    <s v="ORD-1659"/>
    <d v="2025-05-12T00:00:00"/>
    <x v="4"/>
    <x v="4"/>
    <n v="25"/>
    <n v="48"/>
    <n v="0"/>
    <n v="1200"/>
    <n v="29.463013698630139"/>
    <n v="25"/>
  </r>
  <r>
    <s v="ORD-1660"/>
    <d v="2025-05-13T00:00:00"/>
    <x v="0"/>
    <x v="0"/>
    <n v="45"/>
    <n v="36"/>
    <n v="0.1"/>
    <n v="1458"/>
    <n v="31.479452054794521"/>
    <n v="45"/>
  </r>
  <r>
    <s v="ORD-1661"/>
    <d v="2025-05-13T00:00:00"/>
    <x v="1"/>
    <x v="1"/>
    <n v="12.5"/>
    <n v="45"/>
    <n v="0"/>
    <n v="562.5"/>
    <n v="31.794520547945204"/>
    <n v="12.5"/>
  </r>
  <r>
    <s v="ORD-1662"/>
    <d v="2025-05-13T00:00:00"/>
    <x v="2"/>
    <x v="2"/>
    <n v="35"/>
    <n v="39"/>
    <n v="0"/>
    <n v="1365"/>
    <n v="30.438356164383563"/>
    <n v="35"/>
  </r>
  <r>
    <s v="ORD-1663"/>
    <d v="2025-05-13T00:00:00"/>
    <x v="3"/>
    <x v="3"/>
    <n v="120"/>
    <n v="29"/>
    <n v="0.1"/>
    <n v="3132"/>
    <n v="30.473972602739725"/>
    <n v="120"/>
  </r>
  <r>
    <s v="ORD-1664"/>
    <d v="2025-05-13T00:00:00"/>
    <x v="4"/>
    <x v="4"/>
    <n v="25"/>
    <n v="32"/>
    <n v="0"/>
    <n v="800"/>
    <n v="29.463013698630139"/>
    <n v="25"/>
  </r>
  <r>
    <s v="ORD-1665"/>
    <d v="2025-05-14T00:00:00"/>
    <x v="0"/>
    <x v="0"/>
    <n v="45"/>
    <n v="31"/>
    <n v="0.2"/>
    <n v="1116"/>
    <n v="31.479452054794521"/>
    <n v="45"/>
  </r>
  <r>
    <s v="ORD-1666"/>
    <d v="2025-05-14T00:00:00"/>
    <x v="1"/>
    <x v="1"/>
    <n v="12.5"/>
    <n v="22"/>
    <n v="0"/>
    <n v="275"/>
    <n v="31.794520547945204"/>
    <n v="12.5"/>
  </r>
  <r>
    <s v="ORD-1667"/>
    <d v="2025-05-14T00:00:00"/>
    <x v="2"/>
    <x v="2"/>
    <n v="35"/>
    <n v="34"/>
    <n v="0"/>
    <n v="1190"/>
    <n v="30.438356164383563"/>
    <n v="35"/>
  </r>
  <r>
    <s v="ORD-1668"/>
    <d v="2025-05-14T00:00:00"/>
    <x v="3"/>
    <x v="3"/>
    <n v="120"/>
    <n v="22"/>
    <n v="0"/>
    <n v="2640"/>
    <n v="30.473972602739725"/>
    <n v="120"/>
  </r>
  <r>
    <s v="ORD-1669"/>
    <d v="2025-05-14T00:00:00"/>
    <x v="4"/>
    <x v="4"/>
    <n v="25"/>
    <n v="17"/>
    <n v="0.2"/>
    <n v="340"/>
    <n v="29.463013698630139"/>
    <n v="25"/>
  </r>
  <r>
    <s v="ORD-1670"/>
    <d v="2025-05-15T00:00:00"/>
    <x v="0"/>
    <x v="0"/>
    <n v="45"/>
    <n v="30"/>
    <n v="0.2"/>
    <n v="1080"/>
    <n v="31.479452054794521"/>
    <n v="45"/>
  </r>
  <r>
    <s v="ORD-1671"/>
    <d v="2025-05-15T00:00:00"/>
    <x v="1"/>
    <x v="1"/>
    <n v="12.5"/>
    <n v="37"/>
    <n v="0"/>
    <n v="462.5"/>
    <n v="31.794520547945204"/>
    <n v="12.5"/>
  </r>
  <r>
    <s v="ORD-1672"/>
    <d v="2025-05-15T00:00:00"/>
    <x v="2"/>
    <x v="2"/>
    <n v="35"/>
    <n v="24"/>
    <n v="0"/>
    <n v="840"/>
    <n v="30.438356164383563"/>
    <n v="35"/>
  </r>
  <r>
    <s v="ORD-1673"/>
    <d v="2025-05-15T00:00:00"/>
    <x v="3"/>
    <x v="3"/>
    <n v="120"/>
    <n v="25"/>
    <n v="0"/>
    <n v="3000"/>
    <n v="30.473972602739725"/>
    <n v="120"/>
  </r>
  <r>
    <s v="ORD-1674"/>
    <d v="2025-05-15T00:00:00"/>
    <x v="4"/>
    <x v="4"/>
    <n v="25"/>
    <n v="49"/>
    <n v="0"/>
    <n v="1225"/>
    <n v="29.463013698630139"/>
    <n v="25"/>
  </r>
  <r>
    <s v="ORD-1675"/>
    <d v="2025-05-16T00:00:00"/>
    <x v="0"/>
    <x v="0"/>
    <n v="45"/>
    <n v="40"/>
    <n v="0"/>
    <n v="1800"/>
    <n v="31.479452054794521"/>
    <n v="45"/>
  </r>
  <r>
    <s v="ORD-1676"/>
    <d v="2025-05-16T00:00:00"/>
    <x v="1"/>
    <x v="1"/>
    <n v="12.5"/>
    <n v="43"/>
    <n v="0"/>
    <n v="537.5"/>
    <n v="31.794520547945204"/>
    <n v="12.5"/>
  </r>
  <r>
    <s v="ORD-1677"/>
    <d v="2025-05-16T00:00:00"/>
    <x v="2"/>
    <x v="2"/>
    <n v="35"/>
    <n v="11"/>
    <n v="0.1"/>
    <n v="346.5"/>
    <n v="30.438356164383563"/>
    <n v="35"/>
  </r>
  <r>
    <s v="ORD-1678"/>
    <d v="2025-05-16T00:00:00"/>
    <x v="3"/>
    <x v="3"/>
    <n v="120"/>
    <n v="9"/>
    <n v="0"/>
    <n v="1080"/>
    <n v="30.473972602739725"/>
    <n v="120"/>
  </r>
  <r>
    <s v="ORD-1679"/>
    <d v="2025-05-16T00:00:00"/>
    <x v="4"/>
    <x v="4"/>
    <n v="25"/>
    <n v="47"/>
    <n v="0.1"/>
    <n v="1057.5"/>
    <n v="29.463013698630139"/>
    <n v="25"/>
  </r>
  <r>
    <s v="ORD-1680"/>
    <d v="2025-05-17T00:00:00"/>
    <x v="0"/>
    <x v="0"/>
    <n v="45"/>
    <n v="30"/>
    <n v="0"/>
    <n v="1350"/>
    <n v="31.479452054794521"/>
    <n v="45"/>
  </r>
  <r>
    <s v="ORD-1681"/>
    <d v="2025-05-17T00:00:00"/>
    <x v="1"/>
    <x v="1"/>
    <n v="12.5"/>
    <n v="48"/>
    <n v="0"/>
    <n v="600"/>
    <n v="31.794520547945204"/>
    <n v="12.5"/>
  </r>
  <r>
    <s v="ORD-1682"/>
    <d v="2025-05-17T00:00:00"/>
    <x v="2"/>
    <x v="2"/>
    <n v="35"/>
    <n v="18"/>
    <n v="0"/>
    <n v="630"/>
    <n v="30.438356164383563"/>
    <n v="35"/>
  </r>
  <r>
    <s v="ORD-1683"/>
    <d v="2025-05-17T00:00:00"/>
    <x v="3"/>
    <x v="3"/>
    <n v="120"/>
    <n v="46"/>
    <n v="0"/>
    <n v="5520"/>
    <n v="30.473972602739725"/>
    <n v="120"/>
  </r>
  <r>
    <s v="ORD-1684"/>
    <d v="2025-05-17T00:00:00"/>
    <x v="4"/>
    <x v="4"/>
    <n v="25"/>
    <n v="43"/>
    <n v="0"/>
    <n v="1075"/>
    <n v="29.463013698630139"/>
    <n v="25"/>
  </r>
  <r>
    <s v="ORD-1685"/>
    <d v="2025-05-18T00:00:00"/>
    <x v="0"/>
    <x v="0"/>
    <n v="45"/>
    <n v="15"/>
    <n v="0"/>
    <n v="675"/>
    <n v="31.479452054794521"/>
    <n v="45"/>
  </r>
  <r>
    <s v="ORD-1686"/>
    <d v="2025-05-18T00:00:00"/>
    <x v="1"/>
    <x v="1"/>
    <n v="12.5"/>
    <n v="36"/>
    <n v="0"/>
    <n v="450"/>
    <n v="31.794520547945204"/>
    <n v="12.5"/>
  </r>
  <r>
    <s v="ORD-1687"/>
    <d v="2025-05-18T00:00:00"/>
    <x v="2"/>
    <x v="2"/>
    <n v="35"/>
    <n v="31"/>
    <n v="0"/>
    <n v="1085"/>
    <n v="30.438356164383563"/>
    <n v="35"/>
  </r>
  <r>
    <s v="ORD-1688"/>
    <d v="2025-05-18T00:00:00"/>
    <x v="3"/>
    <x v="3"/>
    <n v="120"/>
    <n v="31"/>
    <n v="0"/>
    <n v="3720"/>
    <n v="30.473972602739725"/>
    <n v="120"/>
  </r>
  <r>
    <s v="ORD-1689"/>
    <d v="2025-05-18T00:00:00"/>
    <x v="4"/>
    <x v="4"/>
    <n v="25"/>
    <n v="31"/>
    <n v="0"/>
    <n v="775"/>
    <n v="29.463013698630139"/>
    <n v="25"/>
  </r>
  <r>
    <s v="ORD-1690"/>
    <d v="2025-05-19T00:00:00"/>
    <x v="0"/>
    <x v="0"/>
    <n v="45"/>
    <n v="42"/>
    <n v="0"/>
    <n v="1890"/>
    <n v="31.479452054794521"/>
    <n v="45"/>
  </r>
  <r>
    <s v="ORD-1691"/>
    <d v="2025-05-19T00:00:00"/>
    <x v="1"/>
    <x v="1"/>
    <n v="12.5"/>
    <n v="5"/>
    <n v="0"/>
    <n v="62.5"/>
    <n v="31.794520547945204"/>
    <n v="12.5"/>
  </r>
  <r>
    <s v="ORD-1692"/>
    <d v="2025-05-19T00:00:00"/>
    <x v="2"/>
    <x v="2"/>
    <n v="35"/>
    <n v="6"/>
    <n v="0"/>
    <n v="210"/>
    <n v="30.438356164383563"/>
    <n v="35"/>
  </r>
  <r>
    <s v="ORD-1693"/>
    <d v="2025-05-19T00:00:00"/>
    <x v="3"/>
    <x v="3"/>
    <n v="120"/>
    <n v="21"/>
    <n v="0"/>
    <n v="2520"/>
    <n v="30.473972602739725"/>
    <n v="120"/>
  </r>
  <r>
    <s v="ORD-1694"/>
    <d v="2025-05-19T00:00:00"/>
    <x v="4"/>
    <x v="4"/>
    <n v="25"/>
    <n v="26"/>
    <n v="0"/>
    <n v="650"/>
    <n v="29.463013698630139"/>
    <n v="25"/>
  </r>
  <r>
    <s v="ORD-1695"/>
    <d v="2025-05-20T00:00:00"/>
    <x v="0"/>
    <x v="0"/>
    <n v="45"/>
    <n v="42"/>
    <n v="0.1"/>
    <n v="1701"/>
    <n v="31.479452054794521"/>
    <n v="45"/>
  </r>
  <r>
    <s v="ORD-1696"/>
    <d v="2025-05-20T00:00:00"/>
    <x v="1"/>
    <x v="1"/>
    <n v="12.5"/>
    <n v="39"/>
    <n v="0.1"/>
    <n v="438.75"/>
    <n v="31.794520547945204"/>
    <n v="12.5"/>
  </r>
  <r>
    <s v="ORD-1697"/>
    <d v="2025-05-20T00:00:00"/>
    <x v="2"/>
    <x v="2"/>
    <n v="35"/>
    <n v="12"/>
    <n v="0.2"/>
    <n v="336"/>
    <n v="30.438356164383563"/>
    <n v="35"/>
  </r>
  <r>
    <s v="ORD-1698"/>
    <d v="2025-05-20T00:00:00"/>
    <x v="3"/>
    <x v="3"/>
    <n v="120"/>
    <n v="9"/>
    <n v="0"/>
    <n v="1080"/>
    <n v="30.473972602739725"/>
    <n v="120"/>
  </r>
  <r>
    <s v="ORD-1699"/>
    <d v="2025-05-20T00:00:00"/>
    <x v="4"/>
    <x v="4"/>
    <n v="25"/>
    <n v="16"/>
    <n v="0.1"/>
    <n v="360"/>
    <n v="29.463013698630139"/>
    <n v="25"/>
  </r>
  <r>
    <s v="ORD-1700"/>
    <d v="2025-05-21T00:00:00"/>
    <x v="0"/>
    <x v="0"/>
    <n v="45"/>
    <n v="32"/>
    <n v="0"/>
    <n v="1440"/>
    <n v="31.479452054794521"/>
    <n v="45"/>
  </r>
  <r>
    <s v="ORD-1701"/>
    <d v="2025-05-21T00:00:00"/>
    <x v="1"/>
    <x v="1"/>
    <n v="12.5"/>
    <n v="10"/>
    <n v="0"/>
    <n v="125"/>
    <n v="31.794520547945204"/>
    <n v="12.5"/>
  </r>
  <r>
    <s v="ORD-1702"/>
    <d v="2025-05-21T00:00:00"/>
    <x v="2"/>
    <x v="2"/>
    <n v="35"/>
    <n v="29"/>
    <n v="0"/>
    <n v="1015"/>
    <n v="30.438356164383563"/>
    <n v="35"/>
  </r>
  <r>
    <s v="ORD-1703"/>
    <d v="2025-05-21T00:00:00"/>
    <x v="3"/>
    <x v="3"/>
    <n v="120"/>
    <n v="25"/>
    <n v="0.2"/>
    <n v="2400"/>
    <n v="30.473972602739725"/>
    <n v="120"/>
  </r>
  <r>
    <s v="ORD-1704"/>
    <d v="2025-05-21T00:00:00"/>
    <x v="4"/>
    <x v="4"/>
    <n v="25"/>
    <n v="29"/>
    <n v="0"/>
    <n v="725"/>
    <n v="29.463013698630139"/>
    <n v="25"/>
  </r>
  <r>
    <s v="ORD-1705"/>
    <d v="2025-05-22T00:00:00"/>
    <x v="0"/>
    <x v="0"/>
    <n v="45"/>
    <n v="29"/>
    <n v="0.1"/>
    <n v="1174.5"/>
    <n v="31.479452054794521"/>
    <n v="45"/>
  </r>
  <r>
    <s v="ORD-1706"/>
    <d v="2025-05-22T00:00:00"/>
    <x v="1"/>
    <x v="1"/>
    <n v="12.5"/>
    <n v="20"/>
    <n v="0"/>
    <n v="250"/>
    <n v="31.794520547945204"/>
    <n v="12.5"/>
  </r>
  <r>
    <s v="ORD-1707"/>
    <d v="2025-05-22T00:00:00"/>
    <x v="2"/>
    <x v="2"/>
    <n v="35"/>
    <n v="34"/>
    <n v="0"/>
    <n v="1190"/>
    <n v="30.438356164383563"/>
    <n v="35"/>
  </r>
  <r>
    <s v="ORD-1708"/>
    <d v="2025-05-22T00:00:00"/>
    <x v="3"/>
    <x v="3"/>
    <n v="120"/>
    <n v="11"/>
    <n v="0"/>
    <n v="1320"/>
    <n v="30.473972602739725"/>
    <n v="120"/>
  </r>
  <r>
    <s v="ORD-1709"/>
    <d v="2025-05-22T00:00:00"/>
    <x v="4"/>
    <x v="4"/>
    <n v="25"/>
    <n v="48"/>
    <n v="0"/>
    <n v="1200"/>
    <n v="29.463013698630139"/>
    <n v="25"/>
  </r>
  <r>
    <s v="ORD-1710"/>
    <d v="2025-05-23T00:00:00"/>
    <x v="0"/>
    <x v="0"/>
    <n v="45"/>
    <n v="46"/>
    <n v="0.2"/>
    <n v="1656"/>
    <n v="31.479452054794521"/>
    <n v="45"/>
  </r>
  <r>
    <s v="ORD-1711"/>
    <d v="2025-05-23T00:00:00"/>
    <x v="1"/>
    <x v="1"/>
    <n v="12.5"/>
    <n v="46"/>
    <n v="0"/>
    <n v="575"/>
    <n v="31.794520547945204"/>
    <n v="12.5"/>
  </r>
  <r>
    <s v="ORD-1712"/>
    <d v="2025-05-23T00:00:00"/>
    <x v="2"/>
    <x v="2"/>
    <n v="35"/>
    <n v="23"/>
    <n v="0.2"/>
    <n v="644"/>
    <n v="30.438356164383563"/>
    <n v="35"/>
  </r>
  <r>
    <s v="ORD-1713"/>
    <d v="2025-05-23T00:00:00"/>
    <x v="3"/>
    <x v="3"/>
    <n v="120"/>
    <n v="11"/>
    <n v="0"/>
    <n v="1320"/>
    <n v="30.473972602739725"/>
    <n v="120"/>
  </r>
  <r>
    <s v="ORD-1714"/>
    <d v="2025-05-23T00:00:00"/>
    <x v="4"/>
    <x v="4"/>
    <n v="25"/>
    <n v="31"/>
    <n v="0.2"/>
    <n v="620"/>
    <n v="29.463013698630139"/>
    <n v="25"/>
  </r>
  <r>
    <s v="ORD-1715"/>
    <d v="2025-05-24T00:00:00"/>
    <x v="0"/>
    <x v="0"/>
    <n v="45"/>
    <n v="22"/>
    <n v="0.2"/>
    <n v="792"/>
    <n v="31.479452054794521"/>
    <n v="45"/>
  </r>
  <r>
    <s v="ORD-1716"/>
    <d v="2025-05-24T00:00:00"/>
    <x v="1"/>
    <x v="1"/>
    <n v="12.5"/>
    <n v="28"/>
    <n v="0"/>
    <n v="350"/>
    <n v="31.794520547945204"/>
    <n v="12.5"/>
  </r>
  <r>
    <s v="ORD-1717"/>
    <d v="2025-05-24T00:00:00"/>
    <x v="2"/>
    <x v="2"/>
    <n v="35"/>
    <n v="18"/>
    <n v="0"/>
    <n v="630"/>
    <n v="30.438356164383563"/>
    <n v="35"/>
  </r>
  <r>
    <s v="ORD-1718"/>
    <d v="2025-05-24T00:00:00"/>
    <x v="3"/>
    <x v="3"/>
    <n v="120"/>
    <n v="37"/>
    <n v="0"/>
    <n v="4440"/>
    <n v="30.473972602739725"/>
    <n v="120"/>
  </r>
  <r>
    <s v="ORD-1719"/>
    <d v="2025-05-24T00:00:00"/>
    <x v="4"/>
    <x v="4"/>
    <n v="25"/>
    <n v="72"/>
    <n v="0.1"/>
    <n v="1620"/>
    <n v="29.463013698630139"/>
    <n v="25"/>
  </r>
  <r>
    <s v="ORD-1720"/>
    <d v="2025-05-25T00:00:00"/>
    <x v="0"/>
    <x v="0"/>
    <n v="45"/>
    <n v="72"/>
    <n v="0"/>
    <n v="3240"/>
    <n v="31.479452054794521"/>
    <n v="45"/>
  </r>
  <r>
    <s v="ORD-1721"/>
    <d v="2025-05-25T00:00:00"/>
    <x v="1"/>
    <x v="1"/>
    <n v="12.5"/>
    <n v="25"/>
    <n v="0.1"/>
    <n v="281.25"/>
    <n v="31.794520547945204"/>
    <n v="12.5"/>
  </r>
  <r>
    <s v="ORD-1722"/>
    <d v="2025-05-25T00:00:00"/>
    <x v="2"/>
    <x v="2"/>
    <n v="35"/>
    <n v="34"/>
    <n v="0"/>
    <n v="1190"/>
    <n v="30.438356164383563"/>
    <n v="35"/>
  </r>
  <r>
    <s v="ORD-1723"/>
    <d v="2025-05-25T00:00:00"/>
    <x v="3"/>
    <x v="3"/>
    <n v="120"/>
    <n v="19"/>
    <n v="0.1"/>
    <n v="2052"/>
    <n v="30.473972602739725"/>
    <n v="120"/>
  </r>
  <r>
    <s v="ORD-1724"/>
    <d v="2025-05-25T00:00:00"/>
    <x v="4"/>
    <x v="4"/>
    <n v="25"/>
    <n v="61"/>
    <n v="0"/>
    <n v="1525"/>
    <n v="29.463013698630139"/>
    <n v="25"/>
  </r>
  <r>
    <s v="ORD-1725"/>
    <d v="2025-05-26T00:00:00"/>
    <x v="0"/>
    <x v="0"/>
    <n v="45"/>
    <n v="25"/>
    <n v="0"/>
    <n v="1125"/>
    <n v="31.479452054794521"/>
    <n v="45"/>
  </r>
  <r>
    <s v="ORD-1726"/>
    <d v="2025-05-26T00:00:00"/>
    <x v="1"/>
    <x v="1"/>
    <n v="12.5"/>
    <n v="26"/>
    <n v="0"/>
    <n v="325"/>
    <n v="31.794520547945204"/>
    <n v="12.5"/>
  </r>
  <r>
    <s v="ORD-1727"/>
    <d v="2025-05-26T00:00:00"/>
    <x v="2"/>
    <x v="2"/>
    <n v="35"/>
    <n v="32"/>
    <n v="0"/>
    <n v="1120"/>
    <n v="30.438356164383563"/>
    <n v="35"/>
  </r>
  <r>
    <s v="ORD-1728"/>
    <d v="2025-05-26T00:00:00"/>
    <x v="3"/>
    <x v="3"/>
    <n v="120"/>
    <n v="47"/>
    <n v="0"/>
    <n v="5640"/>
    <n v="30.473972602739725"/>
    <n v="120"/>
  </r>
  <r>
    <s v="ORD-1729"/>
    <d v="2025-05-26T00:00:00"/>
    <x v="4"/>
    <x v="4"/>
    <n v="25"/>
    <n v="34"/>
    <n v="0"/>
    <n v="850"/>
    <n v="29.463013698630139"/>
    <n v="25"/>
  </r>
  <r>
    <s v="ORD-1730"/>
    <d v="2025-05-27T00:00:00"/>
    <x v="0"/>
    <x v="0"/>
    <n v="45"/>
    <n v="23"/>
    <n v="0.1"/>
    <n v="931.5"/>
    <n v="31.479452054794521"/>
    <n v="45"/>
  </r>
  <r>
    <s v="ORD-1731"/>
    <d v="2025-05-27T00:00:00"/>
    <x v="1"/>
    <x v="1"/>
    <n v="12.5"/>
    <n v="45"/>
    <n v="0.1"/>
    <n v="506.25"/>
    <n v="31.794520547945204"/>
    <n v="12.5"/>
  </r>
  <r>
    <s v="ORD-1732"/>
    <d v="2025-05-27T00:00:00"/>
    <x v="2"/>
    <x v="2"/>
    <n v="35"/>
    <n v="33"/>
    <n v="0"/>
    <n v="1155"/>
    <n v="30.438356164383563"/>
    <n v="35"/>
  </r>
  <r>
    <s v="ORD-1733"/>
    <d v="2025-05-27T00:00:00"/>
    <x v="3"/>
    <x v="3"/>
    <n v="120"/>
    <n v="44"/>
    <n v="0"/>
    <n v="5280"/>
    <n v="30.473972602739725"/>
    <n v="120"/>
  </r>
  <r>
    <s v="ORD-1734"/>
    <d v="2025-05-27T00:00:00"/>
    <x v="4"/>
    <x v="4"/>
    <n v="25"/>
    <n v="25"/>
    <n v="0.2"/>
    <n v="500"/>
    <n v="29.463013698630139"/>
    <n v="25"/>
  </r>
  <r>
    <s v="ORD-1735"/>
    <d v="2025-05-28T00:00:00"/>
    <x v="0"/>
    <x v="0"/>
    <n v="45"/>
    <n v="48"/>
    <n v="0"/>
    <n v="2160"/>
    <n v="31.479452054794521"/>
    <n v="45"/>
  </r>
  <r>
    <s v="ORD-1736"/>
    <d v="2025-05-28T00:00:00"/>
    <x v="1"/>
    <x v="1"/>
    <n v="12.5"/>
    <n v="7"/>
    <n v="0.1"/>
    <n v="78.75"/>
    <n v="31.794520547945204"/>
    <n v="12.5"/>
  </r>
  <r>
    <s v="ORD-1737"/>
    <d v="2025-05-28T00:00:00"/>
    <x v="2"/>
    <x v="2"/>
    <n v="35"/>
    <n v="13"/>
    <n v="0.2"/>
    <n v="364"/>
    <n v="30.438356164383563"/>
    <n v="35"/>
  </r>
  <r>
    <s v="ORD-1738"/>
    <d v="2025-05-28T00:00:00"/>
    <x v="3"/>
    <x v="3"/>
    <n v="120"/>
    <n v="48"/>
    <n v="0"/>
    <n v="5760"/>
    <n v="30.473972602739725"/>
    <n v="120"/>
  </r>
  <r>
    <s v="ORD-1739"/>
    <d v="2025-05-28T00:00:00"/>
    <x v="4"/>
    <x v="4"/>
    <n v="25"/>
    <n v="34"/>
    <n v="0.1"/>
    <n v="765"/>
    <n v="29.463013698630139"/>
    <n v="25"/>
  </r>
  <r>
    <s v="ORD-1740"/>
    <d v="2025-05-29T00:00:00"/>
    <x v="0"/>
    <x v="0"/>
    <n v="45"/>
    <n v="16"/>
    <n v="0"/>
    <n v="720"/>
    <n v="31.479452054794521"/>
    <n v="45"/>
  </r>
  <r>
    <s v="ORD-1741"/>
    <d v="2025-05-29T00:00:00"/>
    <x v="1"/>
    <x v="1"/>
    <n v="12.5"/>
    <n v="38"/>
    <n v="0"/>
    <n v="475"/>
    <n v="31.794520547945204"/>
    <n v="12.5"/>
  </r>
  <r>
    <s v="ORD-1742"/>
    <d v="2025-05-29T00:00:00"/>
    <x v="2"/>
    <x v="2"/>
    <n v="35"/>
    <n v="38"/>
    <n v="0"/>
    <n v="1330"/>
    <n v="30.438356164383563"/>
    <n v="35"/>
  </r>
  <r>
    <s v="ORD-1743"/>
    <d v="2025-05-29T00:00:00"/>
    <x v="3"/>
    <x v="3"/>
    <n v="120"/>
    <n v="12"/>
    <n v="0.1"/>
    <n v="1296"/>
    <n v="30.473972602739725"/>
    <n v="120"/>
  </r>
  <r>
    <s v="ORD-1744"/>
    <d v="2025-05-29T00:00:00"/>
    <x v="4"/>
    <x v="4"/>
    <n v="25"/>
    <n v="7"/>
    <n v="0"/>
    <n v="175"/>
    <n v="29.463013698630139"/>
    <n v="25"/>
  </r>
  <r>
    <s v="ORD-1745"/>
    <d v="2025-05-30T00:00:00"/>
    <x v="0"/>
    <x v="0"/>
    <n v="45"/>
    <n v="5"/>
    <n v="0"/>
    <n v="225"/>
    <n v="31.479452054794521"/>
    <n v="45"/>
  </r>
  <r>
    <s v="ORD-1746"/>
    <d v="2025-05-30T00:00:00"/>
    <x v="1"/>
    <x v="1"/>
    <n v="12.5"/>
    <n v="19"/>
    <n v="0"/>
    <n v="237.5"/>
    <n v="31.794520547945204"/>
    <n v="12.5"/>
  </r>
  <r>
    <s v="ORD-1747"/>
    <d v="2025-05-30T00:00:00"/>
    <x v="2"/>
    <x v="2"/>
    <n v="35"/>
    <n v="28"/>
    <n v="0"/>
    <n v="980"/>
    <n v="30.438356164383563"/>
    <n v="35"/>
  </r>
  <r>
    <s v="ORD-1748"/>
    <d v="2025-05-30T00:00:00"/>
    <x v="3"/>
    <x v="3"/>
    <n v="120"/>
    <n v="27"/>
    <n v="0"/>
    <n v="3240"/>
    <n v="30.473972602739725"/>
    <n v="120"/>
  </r>
  <r>
    <s v="ORD-1749"/>
    <d v="2025-05-30T00:00:00"/>
    <x v="4"/>
    <x v="4"/>
    <n v="25"/>
    <n v="10"/>
    <n v="0.2"/>
    <n v="200"/>
    <n v="29.463013698630139"/>
    <n v="25"/>
  </r>
  <r>
    <s v="ORD-1750"/>
    <d v="2025-05-31T00:00:00"/>
    <x v="0"/>
    <x v="0"/>
    <n v="45"/>
    <n v="21"/>
    <n v="0"/>
    <n v="945"/>
    <n v="31.479452054794521"/>
    <n v="45"/>
  </r>
  <r>
    <s v="ORD-1751"/>
    <d v="2025-05-31T00:00:00"/>
    <x v="1"/>
    <x v="1"/>
    <n v="12.5"/>
    <n v="30"/>
    <n v="0"/>
    <n v="375"/>
    <n v="31.794520547945204"/>
    <n v="12.5"/>
  </r>
  <r>
    <s v="ORD-1752"/>
    <d v="2025-05-31T00:00:00"/>
    <x v="2"/>
    <x v="2"/>
    <n v="35"/>
    <n v="27"/>
    <n v="0"/>
    <n v="945"/>
    <n v="30.438356164383563"/>
    <n v="35"/>
  </r>
  <r>
    <s v="ORD-1753"/>
    <d v="2025-05-31T00:00:00"/>
    <x v="3"/>
    <x v="3"/>
    <n v="120"/>
    <n v="61"/>
    <n v="0"/>
    <n v="7320"/>
    <n v="30.473972602739725"/>
    <n v="120"/>
  </r>
  <r>
    <s v="ORD-1754"/>
    <d v="2025-05-31T00:00:00"/>
    <x v="4"/>
    <x v="4"/>
    <n v="25"/>
    <n v="34"/>
    <n v="0"/>
    <n v="850"/>
    <n v="29.463013698630139"/>
    <n v="25"/>
  </r>
  <r>
    <s v="ORD-1755"/>
    <d v="2025-06-01T00:00:00"/>
    <x v="0"/>
    <x v="0"/>
    <n v="45"/>
    <n v="12"/>
    <n v="0"/>
    <n v="540"/>
    <n v="31.479452054794521"/>
    <n v="45"/>
  </r>
  <r>
    <s v="ORD-1756"/>
    <d v="2025-06-01T00:00:00"/>
    <x v="1"/>
    <x v="1"/>
    <n v="12.5"/>
    <n v="12"/>
    <n v="0.1"/>
    <n v="135"/>
    <n v="31.794520547945204"/>
    <n v="12.5"/>
  </r>
  <r>
    <s v="ORD-1757"/>
    <d v="2025-06-01T00:00:00"/>
    <x v="2"/>
    <x v="2"/>
    <n v="35"/>
    <n v="15"/>
    <n v="0.1"/>
    <n v="472.5"/>
    <n v="30.438356164383563"/>
    <n v="35"/>
  </r>
  <r>
    <s v="ORD-1758"/>
    <d v="2025-06-01T00:00:00"/>
    <x v="3"/>
    <x v="3"/>
    <n v="120"/>
    <n v="39"/>
    <n v="0.1"/>
    <n v="4212"/>
    <n v="30.473972602739725"/>
    <n v="120"/>
  </r>
  <r>
    <s v="ORD-1759"/>
    <d v="2025-06-01T00:00:00"/>
    <x v="4"/>
    <x v="4"/>
    <n v="25"/>
    <n v="64"/>
    <n v="0"/>
    <n v="1600"/>
    <n v="29.463013698630139"/>
    <n v="25"/>
  </r>
  <r>
    <s v="ORD-1760"/>
    <d v="2025-06-02T00:00:00"/>
    <x v="0"/>
    <x v="0"/>
    <n v="45"/>
    <n v="49"/>
    <n v="0"/>
    <n v="2205"/>
    <n v="31.479452054794521"/>
    <n v="45"/>
  </r>
  <r>
    <s v="ORD-1761"/>
    <d v="2025-06-02T00:00:00"/>
    <x v="1"/>
    <x v="1"/>
    <n v="12.5"/>
    <n v="37"/>
    <n v="0.2"/>
    <n v="370"/>
    <n v="31.794520547945204"/>
    <n v="12.5"/>
  </r>
  <r>
    <s v="ORD-1762"/>
    <d v="2025-06-02T00:00:00"/>
    <x v="2"/>
    <x v="2"/>
    <n v="35"/>
    <n v="39"/>
    <n v="0.1"/>
    <n v="1228.5"/>
    <n v="30.438356164383563"/>
    <n v="35"/>
  </r>
  <r>
    <s v="ORD-1763"/>
    <d v="2025-06-02T00:00:00"/>
    <x v="3"/>
    <x v="3"/>
    <n v="120"/>
    <n v="5"/>
    <n v="0"/>
    <n v="600"/>
    <n v="30.473972602739725"/>
    <n v="120"/>
  </r>
  <r>
    <s v="ORD-1764"/>
    <d v="2025-06-02T00:00:00"/>
    <x v="4"/>
    <x v="4"/>
    <n v="25"/>
    <n v="37"/>
    <n v="0"/>
    <n v="925"/>
    <n v="29.463013698630139"/>
    <n v="25"/>
  </r>
  <r>
    <s v="ORD-1765"/>
    <d v="2025-06-03T00:00:00"/>
    <x v="0"/>
    <x v="0"/>
    <n v="45"/>
    <n v="49"/>
    <n v="0"/>
    <n v="2205"/>
    <n v="31.479452054794521"/>
    <n v="45"/>
  </r>
  <r>
    <s v="ORD-1766"/>
    <d v="2025-06-03T00:00:00"/>
    <x v="1"/>
    <x v="1"/>
    <n v="12.5"/>
    <n v="38"/>
    <n v="0.2"/>
    <n v="380"/>
    <n v="31.794520547945204"/>
    <n v="12.5"/>
  </r>
  <r>
    <s v="ORD-1767"/>
    <d v="2025-06-03T00:00:00"/>
    <x v="2"/>
    <x v="2"/>
    <n v="35"/>
    <n v="47"/>
    <n v="0.1"/>
    <n v="1480.5"/>
    <n v="30.438356164383563"/>
    <n v="35"/>
  </r>
  <r>
    <s v="ORD-1768"/>
    <d v="2025-06-03T00:00:00"/>
    <x v="3"/>
    <x v="3"/>
    <n v="120"/>
    <n v="13"/>
    <n v="0"/>
    <n v="1560"/>
    <n v="30.473972602739725"/>
    <n v="120"/>
  </r>
  <r>
    <s v="ORD-1769"/>
    <d v="2025-06-03T00:00:00"/>
    <x v="4"/>
    <x v="4"/>
    <n v="25"/>
    <n v="40"/>
    <n v="0"/>
    <n v="1000"/>
    <n v="29.463013698630139"/>
    <n v="25"/>
  </r>
  <r>
    <s v="ORD-1770"/>
    <d v="2025-06-04T00:00:00"/>
    <x v="0"/>
    <x v="0"/>
    <n v="45"/>
    <n v="23"/>
    <n v="0"/>
    <n v="1035"/>
    <n v="31.479452054794521"/>
    <n v="45"/>
  </r>
  <r>
    <s v="ORD-1771"/>
    <d v="2025-06-04T00:00:00"/>
    <x v="1"/>
    <x v="1"/>
    <n v="12.5"/>
    <n v="30"/>
    <n v="0.1"/>
    <n v="337.5"/>
    <n v="31.794520547945204"/>
    <n v="12.5"/>
  </r>
  <r>
    <s v="ORD-1772"/>
    <d v="2025-06-04T00:00:00"/>
    <x v="2"/>
    <x v="2"/>
    <n v="35"/>
    <n v="45"/>
    <n v="0.1"/>
    <n v="1417.5"/>
    <n v="30.438356164383563"/>
    <n v="35"/>
  </r>
  <r>
    <s v="ORD-1773"/>
    <d v="2025-06-04T00:00:00"/>
    <x v="3"/>
    <x v="3"/>
    <n v="120"/>
    <n v="17"/>
    <n v="0.1"/>
    <n v="1836"/>
    <n v="30.473972602739725"/>
    <n v="120"/>
  </r>
  <r>
    <s v="ORD-1774"/>
    <d v="2025-06-04T00:00:00"/>
    <x v="4"/>
    <x v="4"/>
    <n v="25"/>
    <n v="42"/>
    <n v="0"/>
    <n v="1050"/>
    <n v="29.463013698630139"/>
    <n v="25"/>
  </r>
  <r>
    <s v="ORD-1775"/>
    <d v="2025-06-05T00:00:00"/>
    <x v="0"/>
    <x v="0"/>
    <n v="45"/>
    <n v="10"/>
    <n v="0"/>
    <n v="450"/>
    <n v="31.479452054794521"/>
    <n v="45"/>
  </r>
  <r>
    <s v="ORD-1776"/>
    <d v="2025-06-05T00:00:00"/>
    <x v="1"/>
    <x v="1"/>
    <n v="12.5"/>
    <n v="37"/>
    <n v="0"/>
    <n v="462.5"/>
    <n v="31.794520547945204"/>
    <n v="12.5"/>
  </r>
  <r>
    <s v="ORD-1777"/>
    <d v="2025-06-05T00:00:00"/>
    <x v="2"/>
    <x v="2"/>
    <n v="35"/>
    <n v="20"/>
    <n v="0.1"/>
    <n v="630"/>
    <n v="30.438356164383563"/>
    <n v="35"/>
  </r>
  <r>
    <s v="ORD-1778"/>
    <d v="2025-06-05T00:00:00"/>
    <x v="3"/>
    <x v="3"/>
    <n v="120"/>
    <n v="13"/>
    <n v="0"/>
    <n v="1560"/>
    <n v="30.473972602739725"/>
    <n v="120"/>
  </r>
  <r>
    <s v="ORD-1779"/>
    <d v="2025-06-05T00:00:00"/>
    <x v="4"/>
    <x v="4"/>
    <n v="25"/>
    <n v="24"/>
    <n v="0"/>
    <n v="600"/>
    <n v="29.463013698630139"/>
    <n v="25"/>
  </r>
  <r>
    <s v="ORD-1780"/>
    <d v="2025-06-06T00:00:00"/>
    <x v="0"/>
    <x v="0"/>
    <n v="45"/>
    <n v="12"/>
    <n v="0"/>
    <n v="540"/>
    <n v="31.479452054794521"/>
    <n v="45"/>
  </r>
  <r>
    <s v="ORD-1781"/>
    <d v="2025-06-06T00:00:00"/>
    <x v="1"/>
    <x v="1"/>
    <n v="12.5"/>
    <n v="14"/>
    <n v="0"/>
    <n v="175"/>
    <n v="31.794520547945204"/>
    <n v="12.5"/>
  </r>
  <r>
    <s v="ORD-1782"/>
    <d v="2025-06-06T00:00:00"/>
    <x v="2"/>
    <x v="2"/>
    <n v="35"/>
    <n v="47"/>
    <n v="0.2"/>
    <n v="1316"/>
    <n v="30.438356164383563"/>
    <n v="35"/>
  </r>
  <r>
    <s v="ORD-1783"/>
    <d v="2025-06-06T00:00:00"/>
    <x v="3"/>
    <x v="3"/>
    <n v="120"/>
    <n v="32"/>
    <n v="0"/>
    <n v="3840"/>
    <n v="30.473972602739725"/>
    <n v="120"/>
  </r>
  <r>
    <s v="ORD-1784"/>
    <d v="2025-06-06T00:00:00"/>
    <x v="4"/>
    <x v="4"/>
    <n v="25"/>
    <n v="35"/>
    <n v="0"/>
    <n v="875"/>
    <n v="29.463013698630139"/>
    <n v="25"/>
  </r>
  <r>
    <s v="ORD-1785"/>
    <d v="2025-06-07T00:00:00"/>
    <x v="0"/>
    <x v="0"/>
    <n v="45"/>
    <n v="64"/>
    <n v="0"/>
    <n v="2880"/>
    <n v="31.479452054794521"/>
    <n v="45"/>
  </r>
  <r>
    <s v="ORD-1786"/>
    <d v="2025-06-07T00:00:00"/>
    <x v="1"/>
    <x v="1"/>
    <n v="12.5"/>
    <n v="36"/>
    <n v="0"/>
    <n v="450"/>
    <n v="31.794520547945204"/>
    <n v="12.5"/>
  </r>
  <r>
    <s v="ORD-1787"/>
    <d v="2025-06-07T00:00:00"/>
    <x v="2"/>
    <x v="2"/>
    <n v="35"/>
    <n v="27"/>
    <n v="0"/>
    <n v="945"/>
    <n v="30.438356164383563"/>
    <n v="35"/>
  </r>
  <r>
    <s v="ORD-1788"/>
    <d v="2025-06-07T00:00:00"/>
    <x v="3"/>
    <x v="3"/>
    <n v="120"/>
    <n v="30"/>
    <n v="0"/>
    <n v="3600"/>
    <n v="30.473972602739725"/>
    <n v="120"/>
  </r>
  <r>
    <s v="ORD-1789"/>
    <d v="2025-06-07T00:00:00"/>
    <x v="4"/>
    <x v="4"/>
    <n v="25"/>
    <n v="28"/>
    <n v="0"/>
    <n v="700"/>
    <n v="29.463013698630139"/>
    <n v="25"/>
  </r>
  <r>
    <s v="ORD-1790"/>
    <d v="2025-06-08T00:00:00"/>
    <x v="0"/>
    <x v="0"/>
    <n v="45"/>
    <n v="25"/>
    <n v="0.1"/>
    <n v="1012.5"/>
    <n v="31.479452054794521"/>
    <n v="45"/>
  </r>
  <r>
    <s v="ORD-1791"/>
    <d v="2025-06-08T00:00:00"/>
    <x v="1"/>
    <x v="1"/>
    <n v="12.5"/>
    <n v="64"/>
    <n v="0"/>
    <n v="800"/>
    <n v="31.794520547945204"/>
    <n v="12.5"/>
  </r>
  <r>
    <s v="ORD-1792"/>
    <d v="2025-06-08T00:00:00"/>
    <x v="2"/>
    <x v="2"/>
    <n v="35"/>
    <n v="51"/>
    <n v="0"/>
    <n v="1785"/>
    <n v="30.438356164383563"/>
    <n v="35"/>
  </r>
  <r>
    <s v="ORD-1793"/>
    <d v="2025-06-08T00:00:00"/>
    <x v="3"/>
    <x v="3"/>
    <n v="120"/>
    <n v="34"/>
    <n v="0.2"/>
    <n v="3264"/>
    <n v="30.473972602739725"/>
    <n v="120"/>
  </r>
  <r>
    <s v="ORD-1794"/>
    <d v="2025-06-08T00:00:00"/>
    <x v="4"/>
    <x v="4"/>
    <n v="25"/>
    <n v="12"/>
    <n v="0"/>
    <n v="300"/>
    <n v="29.463013698630139"/>
    <n v="25"/>
  </r>
  <r>
    <s v="ORD-1795"/>
    <d v="2025-06-09T00:00:00"/>
    <x v="0"/>
    <x v="0"/>
    <n v="45"/>
    <n v="49"/>
    <n v="0"/>
    <n v="2205"/>
    <n v="31.479452054794521"/>
    <n v="45"/>
  </r>
  <r>
    <s v="ORD-1796"/>
    <d v="2025-06-09T00:00:00"/>
    <x v="1"/>
    <x v="1"/>
    <n v="12.5"/>
    <n v="34"/>
    <n v="0.1"/>
    <n v="382.5"/>
    <n v="31.794520547945204"/>
    <n v="12.5"/>
  </r>
  <r>
    <s v="ORD-1797"/>
    <d v="2025-06-09T00:00:00"/>
    <x v="2"/>
    <x v="2"/>
    <n v="35"/>
    <n v="34"/>
    <n v="0"/>
    <n v="1190"/>
    <n v="30.438356164383563"/>
    <n v="35"/>
  </r>
  <r>
    <s v="ORD-1798"/>
    <d v="2025-06-09T00:00:00"/>
    <x v="3"/>
    <x v="3"/>
    <n v="120"/>
    <n v="13"/>
    <n v="0"/>
    <n v="1560"/>
    <n v="30.473972602739725"/>
    <n v="120"/>
  </r>
  <r>
    <s v="ORD-1799"/>
    <d v="2025-06-09T00:00:00"/>
    <x v="4"/>
    <x v="4"/>
    <n v="25"/>
    <n v="20"/>
    <n v="0"/>
    <n v="500"/>
    <n v="29.463013698630139"/>
    <n v="25"/>
  </r>
  <r>
    <s v="ORD-1800"/>
    <d v="2025-06-10T00:00:00"/>
    <x v="0"/>
    <x v="0"/>
    <n v="45"/>
    <n v="12"/>
    <n v="0"/>
    <n v="540"/>
    <n v="31.479452054794521"/>
    <n v="45"/>
  </r>
  <r>
    <s v="ORD-1801"/>
    <d v="2025-06-10T00:00:00"/>
    <x v="1"/>
    <x v="1"/>
    <n v="12.5"/>
    <n v="21"/>
    <n v="0"/>
    <n v="262.5"/>
    <n v="31.794520547945204"/>
    <n v="12.5"/>
  </r>
  <r>
    <s v="ORD-1802"/>
    <d v="2025-06-10T00:00:00"/>
    <x v="2"/>
    <x v="2"/>
    <n v="35"/>
    <n v="46"/>
    <n v="0"/>
    <n v="1610"/>
    <n v="30.438356164383563"/>
    <n v="35"/>
  </r>
  <r>
    <s v="ORD-1803"/>
    <d v="2025-06-10T00:00:00"/>
    <x v="3"/>
    <x v="3"/>
    <n v="120"/>
    <n v="47"/>
    <n v="0"/>
    <n v="5640"/>
    <n v="30.473972602739725"/>
    <n v="120"/>
  </r>
  <r>
    <s v="ORD-1804"/>
    <d v="2025-06-10T00:00:00"/>
    <x v="4"/>
    <x v="4"/>
    <n v="25"/>
    <n v="48"/>
    <n v="0"/>
    <n v="1200"/>
    <n v="29.463013698630139"/>
    <n v="25"/>
  </r>
  <r>
    <s v="ORD-1805"/>
    <d v="2025-06-11T00:00:00"/>
    <x v="0"/>
    <x v="0"/>
    <n v="45"/>
    <n v="29"/>
    <n v="0"/>
    <n v="1305"/>
    <n v="31.479452054794521"/>
    <n v="45"/>
  </r>
  <r>
    <s v="ORD-1806"/>
    <d v="2025-06-11T00:00:00"/>
    <x v="1"/>
    <x v="1"/>
    <n v="12.5"/>
    <n v="34"/>
    <n v="0"/>
    <n v="425"/>
    <n v="31.794520547945204"/>
    <n v="12.5"/>
  </r>
  <r>
    <s v="ORD-1807"/>
    <d v="2025-06-11T00:00:00"/>
    <x v="2"/>
    <x v="2"/>
    <n v="35"/>
    <n v="40"/>
    <n v="0"/>
    <n v="1400"/>
    <n v="30.438356164383563"/>
    <n v="35"/>
  </r>
  <r>
    <s v="ORD-1808"/>
    <d v="2025-06-11T00:00:00"/>
    <x v="3"/>
    <x v="3"/>
    <n v="120"/>
    <n v="40"/>
    <n v="0"/>
    <n v="4800"/>
    <n v="30.473972602739725"/>
    <n v="120"/>
  </r>
  <r>
    <s v="ORD-1809"/>
    <d v="2025-06-11T00:00:00"/>
    <x v="4"/>
    <x v="4"/>
    <n v="25"/>
    <n v="38"/>
    <n v="0.1"/>
    <n v="855"/>
    <n v="29.463013698630139"/>
    <n v="25"/>
  </r>
  <r>
    <s v="ORD-1810"/>
    <d v="2025-06-12T00:00:00"/>
    <x v="0"/>
    <x v="0"/>
    <n v="45"/>
    <n v="36"/>
    <n v="0"/>
    <n v="1620"/>
    <n v="31.479452054794521"/>
    <n v="45"/>
  </r>
  <r>
    <s v="ORD-1811"/>
    <d v="2025-06-12T00:00:00"/>
    <x v="1"/>
    <x v="1"/>
    <n v="12.5"/>
    <n v="31"/>
    <n v="0"/>
    <n v="387.5"/>
    <n v="31.794520547945204"/>
    <n v="12.5"/>
  </r>
  <r>
    <s v="ORD-1812"/>
    <d v="2025-06-12T00:00:00"/>
    <x v="2"/>
    <x v="2"/>
    <n v="35"/>
    <n v="43"/>
    <n v="0"/>
    <n v="1505"/>
    <n v="30.438356164383563"/>
    <n v="35"/>
  </r>
  <r>
    <s v="ORD-1813"/>
    <d v="2025-06-12T00:00:00"/>
    <x v="3"/>
    <x v="3"/>
    <n v="120"/>
    <n v="14"/>
    <n v="0"/>
    <n v="1680"/>
    <n v="30.473972602739725"/>
    <n v="120"/>
  </r>
  <r>
    <s v="ORD-1814"/>
    <d v="2025-06-12T00:00:00"/>
    <x v="4"/>
    <x v="4"/>
    <n v="25"/>
    <n v="23"/>
    <n v="0.1"/>
    <n v="517.5"/>
    <n v="29.463013698630139"/>
    <n v="25"/>
  </r>
  <r>
    <s v="ORD-1815"/>
    <d v="2025-06-13T00:00:00"/>
    <x v="0"/>
    <x v="0"/>
    <n v="45"/>
    <n v="30"/>
    <n v="0"/>
    <n v="1350"/>
    <n v="31.479452054794521"/>
    <n v="45"/>
  </r>
  <r>
    <s v="ORD-1816"/>
    <d v="2025-06-13T00:00:00"/>
    <x v="1"/>
    <x v="1"/>
    <n v="12.5"/>
    <n v="7"/>
    <n v="0.2"/>
    <n v="70"/>
    <n v="31.794520547945204"/>
    <n v="12.5"/>
  </r>
  <r>
    <s v="ORD-1817"/>
    <d v="2025-06-13T00:00:00"/>
    <x v="2"/>
    <x v="2"/>
    <n v="35"/>
    <n v="11"/>
    <n v="0"/>
    <n v="385"/>
    <n v="30.438356164383563"/>
    <n v="35"/>
  </r>
  <r>
    <s v="ORD-1818"/>
    <d v="2025-06-13T00:00:00"/>
    <x v="3"/>
    <x v="3"/>
    <n v="120"/>
    <n v="34"/>
    <n v="0"/>
    <n v="4080"/>
    <n v="30.473972602739725"/>
    <n v="120"/>
  </r>
  <r>
    <s v="ORD-1819"/>
    <d v="2025-06-13T00:00:00"/>
    <x v="4"/>
    <x v="4"/>
    <n v="25"/>
    <n v="19"/>
    <n v="0"/>
    <n v="475"/>
    <n v="29.463013698630139"/>
    <n v="25"/>
  </r>
  <r>
    <s v="ORD-1820"/>
    <d v="2025-06-14T00:00:00"/>
    <x v="0"/>
    <x v="0"/>
    <n v="45"/>
    <n v="7"/>
    <n v="0.1"/>
    <n v="283.5"/>
    <n v="31.479452054794521"/>
    <n v="45"/>
  </r>
  <r>
    <s v="ORD-1821"/>
    <d v="2025-06-14T00:00:00"/>
    <x v="1"/>
    <x v="1"/>
    <n v="12.5"/>
    <n v="63"/>
    <n v="0.2"/>
    <n v="630"/>
    <n v="31.794520547945204"/>
    <n v="12.5"/>
  </r>
  <r>
    <s v="ORD-1822"/>
    <d v="2025-06-14T00:00:00"/>
    <x v="2"/>
    <x v="2"/>
    <n v="35"/>
    <n v="15"/>
    <n v="0"/>
    <n v="525"/>
    <n v="30.438356164383563"/>
    <n v="35"/>
  </r>
  <r>
    <s v="ORD-1823"/>
    <d v="2025-06-14T00:00:00"/>
    <x v="3"/>
    <x v="3"/>
    <n v="120"/>
    <n v="49"/>
    <n v="0.2"/>
    <n v="4704"/>
    <n v="30.473972602739725"/>
    <n v="120"/>
  </r>
  <r>
    <s v="ORD-1824"/>
    <d v="2025-06-14T00:00:00"/>
    <x v="4"/>
    <x v="4"/>
    <n v="25"/>
    <n v="12"/>
    <n v="0"/>
    <n v="300"/>
    <n v="29.463013698630139"/>
    <n v="25"/>
  </r>
  <r>
    <s v="ORD-1825"/>
    <d v="2025-06-15T00:00:00"/>
    <x v="0"/>
    <x v="0"/>
    <n v="45"/>
    <n v="43"/>
    <n v="0"/>
    <n v="1935"/>
    <n v="31.479452054794521"/>
    <n v="45"/>
  </r>
  <r>
    <s v="ORD-1826"/>
    <d v="2025-06-15T00:00:00"/>
    <x v="1"/>
    <x v="1"/>
    <n v="12.5"/>
    <n v="27"/>
    <n v="0.2"/>
    <n v="270"/>
    <n v="31.794520547945204"/>
    <n v="12.5"/>
  </r>
  <r>
    <s v="ORD-1827"/>
    <d v="2025-06-15T00:00:00"/>
    <x v="2"/>
    <x v="2"/>
    <n v="35"/>
    <n v="22"/>
    <n v="0"/>
    <n v="770"/>
    <n v="30.438356164383563"/>
    <n v="35"/>
  </r>
  <r>
    <s v="ORD-1828"/>
    <d v="2025-06-15T00:00:00"/>
    <x v="3"/>
    <x v="3"/>
    <n v="120"/>
    <n v="37"/>
    <n v="0"/>
    <n v="4440"/>
    <n v="30.473972602739725"/>
    <n v="120"/>
  </r>
  <r>
    <s v="ORD-1829"/>
    <d v="2025-06-15T00:00:00"/>
    <x v="4"/>
    <x v="4"/>
    <n v="25"/>
    <n v="19"/>
    <n v="0"/>
    <n v="475"/>
    <n v="29.463013698630139"/>
    <n v="25"/>
  </r>
  <r>
    <s v="ORD-1830"/>
    <d v="2025-06-16T00:00:00"/>
    <x v="0"/>
    <x v="0"/>
    <n v="45"/>
    <n v="29"/>
    <n v="0"/>
    <n v="1305"/>
    <n v="31.479452054794521"/>
    <n v="45"/>
  </r>
  <r>
    <s v="ORD-1831"/>
    <d v="2025-06-16T00:00:00"/>
    <x v="1"/>
    <x v="1"/>
    <n v="12.5"/>
    <n v="47"/>
    <n v="0.1"/>
    <n v="528.75"/>
    <n v="31.794520547945204"/>
    <n v="12.5"/>
  </r>
  <r>
    <s v="ORD-1832"/>
    <d v="2025-06-16T00:00:00"/>
    <x v="2"/>
    <x v="2"/>
    <n v="35"/>
    <n v="28"/>
    <n v="0.2"/>
    <n v="784"/>
    <n v="30.438356164383563"/>
    <n v="35"/>
  </r>
  <r>
    <s v="ORD-1833"/>
    <d v="2025-06-16T00:00:00"/>
    <x v="3"/>
    <x v="3"/>
    <n v="120"/>
    <n v="40"/>
    <n v="0"/>
    <n v="4800"/>
    <n v="30.473972602739725"/>
    <n v="120"/>
  </r>
  <r>
    <s v="ORD-1834"/>
    <d v="2025-06-16T00:00:00"/>
    <x v="4"/>
    <x v="4"/>
    <n v="25"/>
    <n v="9"/>
    <n v="0"/>
    <n v="225"/>
    <n v="29.463013698630139"/>
    <n v="25"/>
  </r>
  <r>
    <s v="ORD-1835"/>
    <d v="2025-06-17T00:00:00"/>
    <x v="0"/>
    <x v="0"/>
    <n v="45"/>
    <n v="8"/>
    <n v="0.2"/>
    <n v="288"/>
    <n v="31.479452054794521"/>
    <n v="45"/>
  </r>
  <r>
    <s v="ORD-1836"/>
    <d v="2025-06-17T00:00:00"/>
    <x v="1"/>
    <x v="1"/>
    <n v="12.5"/>
    <n v="9"/>
    <n v="0"/>
    <n v="112.5"/>
    <n v="31.794520547945204"/>
    <n v="12.5"/>
  </r>
  <r>
    <s v="ORD-1837"/>
    <d v="2025-06-17T00:00:00"/>
    <x v="2"/>
    <x v="2"/>
    <n v="35"/>
    <n v="22"/>
    <n v="0"/>
    <n v="770"/>
    <n v="30.438356164383563"/>
    <n v="35"/>
  </r>
  <r>
    <s v="ORD-1838"/>
    <d v="2025-06-17T00:00:00"/>
    <x v="3"/>
    <x v="3"/>
    <n v="120"/>
    <n v="9"/>
    <n v="0.1"/>
    <n v="972"/>
    <n v="30.473972602739725"/>
    <n v="120"/>
  </r>
  <r>
    <s v="ORD-1839"/>
    <d v="2025-06-17T00:00:00"/>
    <x v="4"/>
    <x v="4"/>
    <n v="25"/>
    <n v="21"/>
    <n v="0"/>
    <n v="525"/>
    <n v="29.463013698630139"/>
    <n v="25"/>
  </r>
  <r>
    <s v="ORD-1840"/>
    <d v="2025-06-18T00:00:00"/>
    <x v="0"/>
    <x v="0"/>
    <n v="45"/>
    <n v="32"/>
    <n v="0.2"/>
    <n v="1152"/>
    <n v="31.479452054794521"/>
    <n v="45"/>
  </r>
  <r>
    <s v="ORD-1841"/>
    <d v="2025-06-18T00:00:00"/>
    <x v="1"/>
    <x v="1"/>
    <n v="12.5"/>
    <n v="20"/>
    <n v="0"/>
    <n v="250"/>
    <n v="31.794520547945204"/>
    <n v="12.5"/>
  </r>
  <r>
    <s v="ORD-1842"/>
    <d v="2025-06-18T00:00:00"/>
    <x v="2"/>
    <x v="2"/>
    <n v="35"/>
    <n v="5"/>
    <n v="0.1"/>
    <n v="157.5"/>
    <n v="30.438356164383563"/>
    <n v="35"/>
  </r>
  <r>
    <s v="ORD-1843"/>
    <d v="2025-06-18T00:00:00"/>
    <x v="3"/>
    <x v="3"/>
    <n v="120"/>
    <n v="34"/>
    <n v="0.1"/>
    <n v="3672"/>
    <n v="30.473972602739725"/>
    <n v="120"/>
  </r>
  <r>
    <s v="ORD-1844"/>
    <d v="2025-06-18T00:00:00"/>
    <x v="4"/>
    <x v="4"/>
    <n v="25"/>
    <n v="30"/>
    <n v="0"/>
    <n v="750"/>
    <n v="29.463013698630139"/>
    <n v="25"/>
  </r>
  <r>
    <s v="ORD-1845"/>
    <d v="2025-06-19T00:00:00"/>
    <x v="0"/>
    <x v="0"/>
    <n v="45"/>
    <n v="46"/>
    <n v="0"/>
    <n v="2070"/>
    <n v="31.479452054794521"/>
    <n v="45"/>
  </r>
  <r>
    <s v="ORD-1846"/>
    <d v="2025-06-19T00:00:00"/>
    <x v="1"/>
    <x v="1"/>
    <n v="12.5"/>
    <n v="36"/>
    <n v="0.1"/>
    <n v="405"/>
    <n v="31.794520547945204"/>
    <n v="12.5"/>
  </r>
  <r>
    <s v="ORD-1847"/>
    <d v="2025-06-19T00:00:00"/>
    <x v="2"/>
    <x v="2"/>
    <n v="35"/>
    <n v="34"/>
    <n v="0"/>
    <n v="1190"/>
    <n v="30.438356164383563"/>
    <n v="35"/>
  </r>
  <r>
    <s v="ORD-1848"/>
    <d v="2025-06-19T00:00:00"/>
    <x v="3"/>
    <x v="3"/>
    <n v="120"/>
    <n v="13"/>
    <n v="0.1"/>
    <n v="1404"/>
    <n v="30.473972602739725"/>
    <n v="120"/>
  </r>
  <r>
    <s v="ORD-1849"/>
    <d v="2025-06-19T00:00:00"/>
    <x v="4"/>
    <x v="4"/>
    <n v="25"/>
    <n v="26"/>
    <n v="0.1"/>
    <n v="585"/>
    <n v="29.463013698630139"/>
    <n v="25"/>
  </r>
  <r>
    <s v="ORD-1850"/>
    <d v="2025-06-20T00:00:00"/>
    <x v="0"/>
    <x v="0"/>
    <n v="45"/>
    <n v="9"/>
    <n v="0.1"/>
    <n v="364.5"/>
    <n v="31.479452054794521"/>
    <n v="45"/>
  </r>
  <r>
    <s v="ORD-1851"/>
    <d v="2025-06-20T00:00:00"/>
    <x v="1"/>
    <x v="1"/>
    <n v="12.5"/>
    <n v="23"/>
    <n v="0"/>
    <n v="287.5"/>
    <n v="31.794520547945204"/>
    <n v="12.5"/>
  </r>
  <r>
    <s v="ORD-1852"/>
    <d v="2025-06-20T00:00:00"/>
    <x v="2"/>
    <x v="2"/>
    <n v="35"/>
    <n v="30"/>
    <n v="0"/>
    <n v="1050"/>
    <n v="30.438356164383563"/>
    <n v="35"/>
  </r>
  <r>
    <s v="ORD-1853"/>
    <d v="2025-06-20T00:00:00"/>
    <x v="3"/>
    <x v="3"/>
    <n v="120"/>
    <n v="25"/>
    <n v="0"/>
    <n v="3000"/>
    <n v="30.473972602739725"/>
    <n v="120"/>
  </r>
  <r>
    <s v="ORD-1854"/>
    <d v="2025-06-20T00:00:00"/>
    <x v="4"/>
    <x v="4"/>
    <n v="25"/>
    <n v="39"/>
    <n v="0.2"/>
    <n v="780"/>
    <n v="29.463013698630139"/>
    <n v="25"/>
  </r>
  <r>
    <s v="ORD-1855"/>
    <d v="2025-06-21T00:00:00"/>
    <x v="0"/>
    <x v="0"/>
    <n v="45"/>
    <n v="66"/>
    <n v="0"/>
    <n v="2970"/>
    <n v="31.479452054794521"/>
    <n v="45"/>
  </r>
  <r>
    <s v="ORD-1856"/>
    <d v="2025-06-21T00:00:00"/>
    <x v="1"/>
    <x v="1"/>
    <n v="12.5"/>
    <n v="7"/>
    <n v="0"/>
    <n v="87.5"/>
    <n v="31.794520547945204"/>
    <n v="12.5"/>
  </r>
  <r>
    <s v="ORD-1857"/>
    <d v="2025-06-21T00:00:00"/>
    <x v="2"/>
    <x v="2"/>
    <n v="35"/>
    <n v="31"/>
    <n v="0"/>
    <n v="1085"/>
    <n v="30.438356164383563"/>
    <n v="35"/>
  </r>
  <r>
    <s v="ORD-1858"/>
    <d v="2025-06-21T00:00:00"/>
    <x v="3"/>
    <x v="3"/>
    <n v="120"/>
    <n v="64"/>
    <n v="0"/>
    <n v="7680"/>
    <n v="30.473972602739725"/>
    <n v="120"/>
  </r>
  <r>
    <s v="ORD-1859"/>
    <d v="2025-06-21T00:00:00"/>
    <x v="4"/>
    <x v="4"/>
    <n v="25"/>
    <n v="19"/>
    <n v="0.1"/>
    <n v="427.5"/>
    <n v="29.463013698630139"/>
    <n v="25"/>
  </r>
  <r>
    <s v="ORD-1860"/>
    <d v="2025-06-22T00:00:00"/>
    <x v="0"/>
    <x v="0"/>
    <n v="45"/>
    <n v="36"/>
    <n v="0.1"/>
    <n v="1458"/>
    <n v="31.479452054794521"/>
    <n v="45"/>
  </r>
  <r>
    <s v="ORD-1861"/>
    <d v="2025-06-22T00:00:00"/>
    <x v="1"/>
    <x v="1"/>
    <n v="12.5"/>
    <n v="37"/>
    <n v="0.1"/>
    <n v="416.25"/>
    <n v="31.794520547945204"/>
    <n v="12.5"/>
  </r>
  <r>
    <s v="ORD-1862"/>
    <d v="2025-06-22T00:00:00"/>
    <x v="2"/>
    <x v="2"/>
    <n v="35"/>
    <n v="70"/>
    <n v="0"/>
    <n v="2450"/>
    <n v="30.438356164383563"/>
    <n v="35"/>
  </r>
  <r>
    <s v="ORD-1863"/>
    <d v="2025-06-22T00:00:00"/>
    <x v="3"/>
    <x v="3"/>
    <n v="120"/>
    <n v="67"/>
    <n v="0"/>
    <n v="8040"/>
    <n v="30.473972602739725"/>
    <n v="120"/>
  </r>
  <r>
    <s v="ORD-1864"/>
    <d v="2025-06-22T00:00:00"/>
    <x v="4"/>
    <x v="4"/>
    <n v="25"/>
    <n v="22"/>
    <n v="0"/>
    <n v="550"/>
    <n v="29.463013698630139"/>
    <n v="25"/>
  </r>
  <r>
    <s v="ORD-1865"/>
    <d v="2025-06-23T00:00:00"/>
    <x v="0"/>
    <x v="0"/>
    <n v="45"/>
    <n v="33"/>
    <n v="0"/>
    <n v="1485"/>
    <n v="31.479452054794521"/>
    <n v="45"/>
  </r>
  <r>
    <s v="ORD-1866"/>
    <d v="2025-06-23T00:00:00"/>
    <x v="1"/>
    <x v="1"/>
    <n v="12.5"/>
    <n v="36"/>
    <n v="0"/>
    <n v="450"/>
    <n v="31.794520547945204"/>
    <n v="12.5"/>
  </r>
  <r>
    <s v="ORD-1867"/>
    <d v="2025-06-23T00:00:00"/>
    <x v="2"/>
    <x v="2"/>
    <n v="35"/>
    <n v="5"/>
    <n v="0.2"/>
    <n v="140"/>
    <n v="30.438356164383563"/>
    <n v="35"/>
  </r>
  <r>
    <s v="ORD-1868"/>
    <d v="2025-06-23T00:00:00"/>
    <x v="3"/>
    <x v="3"/>
    <n v="120"/>
    <n v="40"/>
    <n v="0"/>
    <n v="4800"/>
    <n v="30.473972602739725"/>
    <n v="120"/>
  </r>
  <r>
    <s v="ORD-1869"/>
    <d v="2025-06-23T00:00:00"/>
    <x v="4"/>
    <x v="4"/>
    <n v="25"/>
    <n v="47"/>
    <n v="0"/>
    <n v="1175"/>
    <n v="29.463013698630139"/>
    <n v="25"/>
  </r>
  <r>
    <s v="ORD-1870"/>
    <d v="2025-06-24T00:00:00"/>
    <x v="0"/>
    <x v="0"/>
    <n v="45"/>
    <n v="23"/>
    <n v="0"/>
    <n v="1035"/>
    <n v="31.479452054794521"/>
    <n v="45"/>
  </r>
  <r>
    <s v="ORD-1871"/>
    <d v="2025-06-24T00:00:00"/>
    <x v="1"/>
    <x v="1"/>
    <n v="12.5"/>
    <n v="26"/>
    <n v="0"/>
    <n v="325"/>
    <n v="31.794520547945204"/>
    <n v="12.5"/>
  </r>
  <r>
    <s v="ORD-1872"/>
    <d v="2025-06-24T00:00:00"/>
    <x v="2"/>
    <x v="2"/>
    <n v="35"/>
    <n v="21"/>
    <n v="0"/>
    <n v="735"/>
    <n v="30.438356164383563"/>
    <n v="35"/>
  </r>
  <r>
    <s v="ORD-1873"/>
    <d v="2025-06-24T00:00:00"/>
    <x v="3"/>
    <x v="3"/>
    <n v="120"/>
    <n v="40"/>
    <n v="0"/>
    <n v="4800"/>
    <n v="30.473972602739725"/>
    <n v="120"/>
  </r>
  <r>
    <s v="ORD-1874"/>
    <d v="2025-06-24T00:00:00"/>
    <x v="4"/>
    <x v="4"/>
    <n v="25"/>
    <n v="15"/>
    <n v="0"/>
    <n v="375"/>
    <n v="29.463013698630139"/>
    <n v="25"/>
  </r>
  <r>
    <s v="ORD-1875"/>
    <d v="2025-06-25T00:00:00"/>
    <x v="0"/>
    <x v="0"/>
    <n v="45"/>
    <n v="48"/>
    <n v="0"/>
    <n v="2160"/>
    <n v="31.479452054794521"/>
    <n v="45"/>
  </r>
  <r>
    <s v="ORD-1876"/>
    <d v="2025-06-25T00:00:00"/>
    <x v="1"/>
    <x v="1"/>
    <n v="12.5"/>
    <n v="11"/>
    <n v="0"/>
    <n v="137.5"/>
    <n v="31.794520547945204"/>
    <n v="12.5"/>
  </r>
  <r>
    <s v="ORD-1877"/>
    <d v="2025-06-25T00:00:00"/>
    <x v="2"/>
    <x v="2"/>
    <n v="35"/>
    <n v="20"/>
    <n v="0.2"/>
    <n v="560"/>
    <n v="30.438356164383563"/>
    <n v="35"/>
  </r>
  <r>
    <s v="ORD-1878"/>
    <d v="2025-06-25T00:00:00"/>
    <x v="3"/>
    <x v="3"/>
    <n v="120"/>
    <n v="47"/>
    <n v="0"/>
    <n v="5640"/>
    <n v="30.473972602739725"/>
    <n v="120"/>
  </r>
  <r>
    <s v="ORD-1879"/>
    <d v="2025-06-25T00:00:00"/>
    <x v="4"/>
    <x v="4"/>
    <n v="25"/>
    <n v="27"/>
    <n v="0.1"/>
    <n v="607.5"/>
    <n v="29.463013698630139"/>
    <n v="25"/>
  </r>
  <r>
    <s v="ORD-1880"/>
    <d v="2025-06-26T00:00:00"/>
    <x v="0"/>
    <x v="0"/>
    <n v="45"/>
    <n v="40"/>
    <n v="0.1"/>
    <n v="1620"/>
    <n v="31.479452054794521"/>
    <n v="45"/>
  </r>
  <r>
    <s v="ORD-1881"/>
    <d v="2025-06-26T00:00:00"/>
    <x v="1"/>
    <x v="1"/>
    <n v="12.5"/>
    <n v="8"/>
    <n v="0"/>
    <n v="100"/>
    <n v="31.794520547945204"/>
    <n v="12.5"/>
  </r>
  <r>
    <s v="ORD-1882"/>
    <d v="2025-06-26T00:00:00"/>
    <x v="2"/>
    <x v="2"/>
    <n v="35"/>
    <n v="31"/>
    <n v="0.1"/>
    <n v="976.5"/>
    <n v="30.438356164383563"/>
    <n v="35"/>
  </r>
  <r>
    <s v="ORD-1883"/>
    <d v="2025-06-26T00:00:00"/>
    <x v="3"/>
    <x v="3"/>
    <n v="120"/>
    <n v="28"/>
    <n v="0"/>
    <n v="3360"/>
    <n v="30.473972602739725"/>
    <n v="120"/>
  </r>
  <r>
    <s v="ORD-1884"/>
    <d v="2025-06-26T00:00:00"/>
    <x v="4"/>
    <x v="4"/>
    <n v="25"/>
    <n v="16"/>
    <n v="0.1"/>
    <n v="360"/>
    <n v="29.463013698630139"/>
    <n v="25"/>
  </r>
  <r>
    <s v="ORD-1885"/>
    <d v="2025-06-27T00:00:00"/>
    <x v="0"/>
    <x v="0"/>
    <n v="45"/>
    <n v="34"/>
    <n v="0"/>
    <n v="1530"/>
    <n v="31.479452054794521"/>
    <n v="45"/>
  </r>
  <r>
    <s v="ORD-1886"/>
    <d v="2025-06-27T00:00:00"/>
    <x v="1"/>
    <x v="1"/>
    <n v="12.5"/>
    <n v="35"/>
    <n v="0.1"/>
    <n v="393.75"/>
    <n v="31.794520547945204"/>
    <n v="12.5"/>
  </r>
  <r>
    <s v="ORD-1887"/>
    <d v="2025-06-27T00:00:00"/>
    <x v="2"/>
    <x v="2"/>
    <n v="35"/>
    <n v="23"/>
    <n v="0.1"/>
    <n v="724.5"/>
    <n v="30.438356164383563"/>
    <n v="35"/>
  </r>
  <r>
    <s v="ORD-1888"/>
    <d v="2025-06-27T00:00:00"/>
    <x v="3"/>
    <x v="3"/>
    <n v="120"/>
    <n v="16"/>
    <n v="0.1"/>
    <n v="1728"/>
    <n v="30.473972602739725"/>
    <n v="120"/>
  </r>
  <r>
    <s v="ORD-1889"/>
    <d v="2025-06-27T00:00:00"/>
    <x v="4"/>
    <x v="4"/>
    <n v="25"/>
    <n v="12"/>
    <n v="0"/>
    <n v="300"/>
    <n v="29.463013698630139"/>
    <n v="25"/>
  </r>
  <r>
    <s v="ORD-1890"/>
    <d v="2025-06-28T00:00:00"/>
    <x v="0"/>
    <x v="0"/>
    <n v="45"/>
    <n v="37"/>
    <n v="0"/>
    <n v="1665"/>
    <n v="31.479452054794521"/>
    <n v="45"/>
  </r>
  <r>
    <s v="ORD-1891"/>
    <d v="2025-06-28T00:00:00"/>
    <x v="1"/>
    <x v="1"/>
    <n v="12.5"/>
    <n v="18"/>
    <n v="0"/>
    <n v="225"/>
    <n v="31.794520547945204"/>
    <n v="12.5"/>
  </r>
  <r>
    <s v="ORD-1892"/>
    <d v="2025-06-28T00:00:00"/>
    <x v="2"/>
    <x v="2"/>
    <n v="35"/>
    <n v="40"/>
    <n v="0.2"/>
    <n v="1120"/>
    <n v="30.438356164383563"/>
    <n v="35"/>
  </r>
  <r>
    <s v="ORD-1893"/>
    <d v="2025-06-28T00:00:00"/>
    <x v="3"/>
    <x v="3"/>
    <n v="120"/>
    <n v="37"/>
    <n v="0"/>
    <n v="4440"/>
    <n v="30.473972602739725"/>
    <n v="120"/>
  </r>
  <r>
    <s v="ORD-1894"/>
    <d v="2025-06-28T00:00:00"/>
    <x v="4"/>
    <x v="4"/>
    <n v="25"/>
    <n v="60"/>
    <n v="0"/>
    <n v="1500"/>
    <n v="29.463013698630139"/>
    <n v="25"/>
  </r>
  <r>
    <s v="ORD-1895"/>
    <d v="2025-06-29T00:00:00"/>
    <x v="0"/>
    <x v="0"/>
    <n v="45"/>
    <n v="70"/>
    <n v="0.2"/>
    <n v="2520"/>
    <n v="31.479452054794521"/>
    <n v="45"/>
  </r>
  <r>
    <s v="ORD-1896"/>
    <d v="2025-06-29T00:00:00"/>
    <x v="1"/>
    <x v="1"/>
    <n v="12.5"/>
    <n v="54"/>
    <n v="0.1"/>
    <n v="607.5"/>
    <n v="31.794520547945204"/>
    <n v="12.5"/>
  </r>
  <r>
    <s v="ORD-1897"/>
    <d v="2025-06-29T00:00:00"/>
    <x v="2"/>
    <x v="2"/>
    <n v="35"/>
    <n v="69"/>
    <n v="0.1"/>
    <n v="2173.5"/>
    <n v="30.438356164383563"/>
    <n v="35"/>
  </r>
  <r>
    <s v="ORD-1898"/>
    <d v="2025-06-29T00:00:00"/>
    <x v="3"/>
    <x v="3"/>
    <n v="120"/>
    <n v="33"/>
    <n v="0"/>
    <n v="3960"/>
    <n v="30.473972602739725"/>
    <n v="120"/>
  </r>
  <r>
    <s v="ORD-1899"/>
    <d v="2025-06-29T00:00:00"/>
    <x v="4"/>
    <x v="4"/>
    <n v="25"/>
    <n v="73"/>
    <n v="0"/>
    <n v="1825"/>
    <n v="29.463013698630139"/>
    <n v="25"/>
  </r>
  <r>
    <s v="ORD-1900"/>
    <d v="2025-06-30T00:00:00"/>
    <x v="0"/>
    <x v="0"/>
    <n v="45"/>
    <n v="8"/>
    <n v="0"/>
    <n v="360"/>
    <n v="31.479452054794521"/>
    <n v="45"/>
  </r>
  <r>
    <s v="ORD-1901"/>
    <d v="2025-06-30T00:00:00"/>
    <x v="1"/>
    <x v="1"/>
    <n v="12.5"/>
    <n v="42"/>
    <n v="0.1"/>
    <n v="472.5"/>
    <n v="31.794520547945204"/>
    <n v="12.5"/>
  </r>
  <r>
    <s v="ORD-1902"/>
    <d v="2025-06-30T00:00:00"/>
    <x v="2"/>
    <x v="2"/>
    <n v="35"/>
    <n v="47"/>
    <n v="0.1"/>
    <n v="1480.5"/>
    <n v="30.438356164383563"/>
    <n v="35"/>
  </r>
  <r>
    <s v="ORD-1903"/>
    <d v="2025-06-30T00:00:00"/>
    <x v="3"/>
    <x v="3"/>
    <n v="120"/>
    <n v="40"/>
    <n v="0"/>
    <n v="4800"/>
    <n v="30.473972602739725"/>
    <n v="120"/>
  </r>
  <r>
    <s v="ORD-1904"/>
    <d v="2025-06-30T00:00:00"/>
    <x v="4"/>
    <x v="4"/>
    <n v="25"/>
    <n v="39"/>
    <n v="0.1"/>
    <n v="877.5"/>
    <n v="29.463013698630139"/>
    <n v="25"/>
  </r>
  <r>
    <s v="ORD-1905"/>
    <d v="2025-07-01T00:00:00"/>
    <x v="0"/>
    <x v="0"/>
    <n v="45"/>
    <n v="18"/>
    <n v="0.1"/>
    <n v="729"/>
    <n v="31.479452054794521"/>
    <n v="45"/>
  </r>
  <r>
    <s v="ORD-1906"/>
    <d v="2025-07-01T00:00:00"/>
    <x v="1"/>
    <x v="1"/>
    <n v="12.5"/>
    <n v="47"/>
    <n v="0"/>
    <n v="587.5"/>
    <n v="31.794520547945204"/>
    <n v="12.5"/>
  </r>
  <r>
    <s v="ORD-1907"/>
    <d v="2025-07-01T00:00:00"/>
    <x v="2"/>
    <x v="2"/>
    <n v="35"/>
    <n v="15"/>
    <n v="0"/>
    <n v="525"/>
    <n v="30.438356164383563"/>
    <n v="35"/>
  </r>
  <r>
    <s v="ORD-1908"/>
    <d v="2025-07-01T00:00:00"/>
    <x v="3"/>
    <x v="3"/>
    <n v="120"/>
    <n v="46"/>
    <n v="0"/>
    <n v="5520"/>
    <n v="30.473972602739725"/>
    <n v="120"/>
  </r>
  <r>
    <s v="ORD-1909"/>
    <d v="2025-07-01T00:00:00"/>
    <x v="4"/>
    <x v="4"/>
    <n v="25"/>
    <n v="32"/>
    <n v="0"/>
    <n v="800"/>
    <n v="29.463013698630139"/>
    <n v="25"/>
  </r>
  <r>
    <s v="ORD-1910"/>
    <d v="2025-07-02T00:00:00"/>
    <x v="0"/>
    <x v="0"/>
    <n v="45"/>
    <n v="19"/>
    <n v="0.1"/>
    <n v="769.5"/>
    <n v="31.479452054794521"/>
    <n v="45"/>
  </r>
  <r>
    <s v="ORD-1911"/>
    <d v="2025-07-02T00:00:00"/>
    <x v="1"/>
    <x v="1"/>
    <n v="12.5"/>
    <n v="47"/>
    <n v="0"/>
    <n v="587.5"/>
    <n v="31.794520547945204"/>
    <n v="12.5"/>
  </r>
  <r>
    <s v="ORD-1912"/>
    <d v="2025-07-02T00:00:00"/>
    <x v="2"/>
    <x v="2"/>
    <n v="35"/>
    <n v="24"/>
    <n v="0.1"/>
    <n v="756"/>
    <n v="30.438356164383563"/>
    <n v="35"/>
  </r>
  <r>
    <s v="ORD-1913"/>
    <d v="2025-07-02T00:00:00"/>
    <x v="3"/>
    <x v="3"/>
    <n v="120"/>
    <n v="17"/>
    <n v="0.1"/>
    <n v="1836"/>
    <n v="30.473972602739725"/>
    <n v="120"/>
  </r>
  <r>
    <s v="ORD-1914"/>
    <d v="2025-07-02T00:00:00"/>
    <x v="4"/>
    <x v="4"/>
    <n v="25"/>
    <n v="20"/>
    <n v="0"/>
    <n v="500"/>
    <n v="29.463013698630139"/>
    <n v="25"/>
  </r>
  <r>
    <s v="ORD-1915"/>
    <d v="2025-07-03T00:00:00"/>
    <x v="0"/>
    <x v="0"/>
    <n v="45"/>
    <n v="11"/>
    <n v="0"/>
    <n v="495"/>
    <n v="31.479452054794521"/>
    <n v="45"/>
  </r>
  <r>
    <s v="ORD-1916"/>
    <d v="2025-07-03T00:00:00"/>
    <x v="1"/>
    <x v="1"/>
    <n v="12.5"/>
    <n v="26"/>
    <n v="0"/>
    <n v="325"/>
    <n v="31.794520547945204"/>
    <n v="12.5"/>
  </r>
  <r>
    <s v="ORD-1917"/>
    <d v="2025-07-03T00:00:00"/>
    <x v="2"/>
    <x v="2"/>
    <n v="35"/>
    <n v="31"/>
    <n v="0"/>
    <n v="1085"/>
    <n v="30.438356164383563"/>
    <n v="35"/>
  </r>
  <r>
    <s v="ORD-1918"/>
    <d v="2025-07-03T00:00:00"/>
    <x v="3"/>
    <x v="3"/>
    <n v="120"/>
    <n v="36"/>
    <n v="0.1"/>
    <n v="3888"/>
    <n v="30.473972602739725"/>
    <n v="120"/>
  </r>
  <r>
    <s v="ORD-1919"/>
    <d v="2025-07-03T00:00:00"/>
    <x v="4"/>
    <x v="4"/>
    <n v="25"/>
    <n v="11"/>
    <n v="0"/>
    <n v="275"/>
    <n v="29.463013698630139"/>
    <n v="25"/>
  </r>
  <r>
    <s v="ORD-1920"/>
    <d v="2025-07-04T00:00:00"/>
    <x v="0"/>
    <x v="0"/>
    <n v="45"/>
    <n v="10"/>
    <n v="0"/>
    <n v="450"/>
    <n v="31.479452054794521"/>
    <n v="45"/>
  </r>
  <r>
    <s v="ORD-1921"/>
    <d v="2025-07-04T00:00:00"/>
    <x v="1"/>
    <x v="1"/>
    <n v="12.5"/>
    <n v="43"/>
    <n v="0"/>
    <n v="537.5"/>
    <n v="31.794520547945204"/>
    <n v="12.5"/>
  </r>
  <r>
    <s v="ORD-1922"/>
    <d v="2025-07-04T00:00:00"/>
    <x v="2"/>
    <x v="2"/>
    <n v="35"/>
    <n v="18"/>
    <n v="0"/>
    <n v="630"/>
    <n v="30.438356164383563"/>
    <n v="35"/>
  </r>
  <r>
    <s v="ORD-1923"/>
    <d v="2025-07-04T00:00:00"/>
    <x v="3"/>
    <x v="3"/>
    <n v="120"/>
    <n v="9"/>
    <n v="0"/>
    <n v="1080"/>
    <n v="30.473972602739725"/>
    <n v="120"/>
  </r>
  <r>
    <s v="ORD-1924"/>
    <d v="2025-07-04T00:00:00"/>
    <x v="4"/>
    <x v="4"/>
    <n v="25"/>
    <n v="35"/>
    <n v="0"/>
    <n v="875"/>
    <n v="29.463013698630139"/>
    <n v="25"/>
  </r>
  <r>
    <s v="ORD-1925"/>
    <d v="2025-07-05T00:00:00"/>
    <x v="0"/>
    <x v="0"/>
    <n v="45"/>
    <n v="15"/>
    <n v="0"/>
    <n v="675"/>
    <n v="31.479452054794521"/>
    <n v="45"/>
  </r>
  <r>
    <s v="ORD-1926"/>
    <d v="2025-07-05T00:00:00"/>
    <x v="1"/>
    <x v="1"/>
    <n v="12.5"/>
    <n v="15"/>
    <n v="0"/>
    <n v="187.5"/>
    <n v="31.794520547945204"/>
    <n v="12.5"/>
  </r>
  <r>
    <s v="ORD-1927"/>
    <d v="2025-07-05T00:00:00"/>
    <x v="2"/>
    <x v="2"/>
    <n v="35"/>
    <n v="31"/>
    <n v="0.2"/>
    <n v="868"/>
    <n v="30.438356164383563"/>
    <n v="35"/>
  </r>
  <r>
    <s v="ORD-1928"/>
    <d v="2025-07-05T00:00:00"/>
    <x v="3"/>
    <x v="3"/>
    <n v="120"/>
    <n v="69"/>
    <n v="0"/>
    <n v="8280"/>
    <n v="30.473972602739725"/>
    <n v="120"/>
  </r>
  <r>
    <s v="ORD-1929"/>
    <d v="2025-07-05T00:00:00"/>
    <x v="4"/>
    <x v="4"/>
    <n v="25"/>
    <n v="52"/>
    <n v="0.1"/>
    <n v="1170"/>
    <n v="29.463013698630139"/>
    <n v="25"/>
  </r>
  <r>
    <s v="ORD-1930"/>
    <d v="2025-07-06T00:00:00"/>
    <x v="0"/>
    <x v="0"/>
    <n v="45"/>
    <n v="16"/>
    <n v="0.2"/>
    <n v="576"/>
    <n v="31.479452054794521"/>
    <n v="45"/>
  </r>
  <r>
    <s v="ORD-1931"/>
    <d v="2025-07-06T00:00:00"/>
    <x v="1"/>
    <x v="1"/>
    <n v="12.5"/>
    <n v="61"/>
    <n v="0"/>
    <n v="762.5"/>
    <n v="31.794520547945204"/>
    <n v="12.5"/>
  </r>
  <r>
    <s v="ORD-1932"/>
    <d v="2025-07-06T00:00:00"/>
    <x v="2"/>
    <x v="2"/>
    <n v="35"/>
    <n v="70"/>
    <n v="0.2"/>
    <n v="1960"/>
    <n v="30.438356164383563"/>
    <n v="35"/>
  </r>
  <r>
    <s v="ORD-1933"/>
    <d v="2025-07-06T00:00:00"/>
    <x v="3"/>
    <x v="3"/>
    <n v="120"/>
    <n v="36"/>
    <n v="0"/>
    <n v="4320"/>
    <n v="30.473972602739725"/>
    <n v="120"/>
  </r>
  <r>
    <s v="ORD-1934"/>
    <d v="2025-07-06T00:00:00"/>
    <x v="4"/>
    <x v="4"/>
    <n v="25"/>
    <n v="45"/>
    <n v="0"/>
    <n v="1125"/>
    <n v="29.463013698630139"/>
    <n v="25"/>
  </r>
  <r>
    <s v="ORD-1935"/>
    <d v="2025-07-07T00:00:00"/>
    <x v="0"/>
    <x v="0"/>
    <n v="45"/>
    <n v="22"/>
    <n v="0"/>
    <n v="990"/>
    <n v="31.479452054794521"/>
    <n v="45"/>
  </r>
  <r>
    <s v="ORD-1936"/>
    <d v="2025-07-07T00:00:00"/>
    <x v="1"/>
    <x v="1"/>
    <n v="12.5"/>
    <n v="16"/>
    <n v="0"/>
    <n v="200"/>
    <n v="31.794520547945204"/>
    <n v="12.5"/>
  </r>
  <r>
    <s v="ORD-1937"/>
    <d v="2025-07-07T00:00:00"/>
    <x v="2"/>
    <x v="2"/>
    <n v="35"/>
    <n v="21"/>
    <n v="0"/>
    <n v="735"/>
    <n v="30.438356164383563"/>
    <n v="35"/>
  </r>
  <r>
    <s v="ORD-1938"/>
    <d v="2025-07-07T00:00:00"/>
    <x v="3"/>
    <x v="3"/>
    <n v="120"/>
    <n v="40"/>
    <n v="0"/>
    <n v="4800"/>
    <n v="30.473972602739725"/>
    <n v="120"/>
  </r>
  <r>
    <s v="ORD-1939"/>
    <d v="2025-07-07T00:00:00"/>
    <x v="4"/>
    <x v="4"/>
    <n v="25"/>
    <n v="48"/>
    <n v="0"/>
    <n v="1200"/>
    <n v="29.463013698630139"/>
    <n v="25"/>
  </r>
  <r>
    <s v="ORD-1940"/>
    <d v="2025-07-08T00:00:00"/>
    <x v="0"/>
    <x v="0"/>
    <n v="45"/>
    <n v="14"/>
    <n v="0"/>
    <n v="630"/>
    <n v="31.479452054794521"/>
    <n v="45"/>
  </r>
  <r>
    <s v="ORD-1941"/>
    <d v="2025-07-08T00:00:00"/>
    <x v="1"/>
    <x v="1"/>
    <n v="12.5"/>
    <n v="20"/>
    <n v="0.2"/>
    <n v="200"/>
    <n v="31.794520547945204"/>
    <n v="12.5"/>
  </r>
  <r>
    <s v="ORD-1942"/>
    <d v="2025-07-08T00:00:00"/>
    <x v="2"/>
    <x v="2"/>
    <n v="35"/>
    <n v="45"/>
    <n v="0"/>
    <n v="1575"/>
    <n v="30.438356164383563"/>
    <n v="35"/>
  </r>
  <r>
    <s v="ORD-1943"/>
    <d v="2025-07-08T00:00:00"/>
    <x v="3"/>
    <x v="3"/>
    <n v="120"/>
    <n v="34"/>
    <n v="0.1"/>
    <n v="3672"/>
    <n v="30.473972602739725"/>
    <n v="120"/>
  </r>
  <r>
    <s v="ORD-1944"/>
    <d v="2025-07-08T00:00:00"/>
    <x v="4"/>
    <x v="4"/>
    <n v="25"/>
    <n v="41"/>
    <n v="0"/>
    <n v="1025"/>
    <n v="29.463013698630139"/>
    <n v="25"/>
  </r>
  <r>
    <s v="ORD-1945"/>
    <d v="2025-07-09T00:00:00"/>
    <x v="0"/>
    <x v="0"/>
    <n v="45"/>
    <n v="37"/>
    <n v="0"/>
    <n v="1665"/>
    <n v="31.479452054794521"/>
    <n v="45"/>
  </r>
  <r>
    <s v="ORD-1946"/>
    <d v="2025-07-09T00:00:00"/>
    <x v="1"/>
    <x v="1"/>
    <n v="12.5"/>
    <n v="30"/>
    <n v="0"/>
    <n v="375"/>
    <n v="31.794520547945204"/>
    <n v="12.5"/>
  </r>
  <r>
    <s v="ORD-1947"/>
    <d v="2025-07-09T00:00:00"/>
    <x v="2"/>
    <x v="2"/>
    <n v="35"/>
    <n v="43"/>
    <n v="0.1"/>
    <n v="1354.5"/>
    <n v="30.438356164383563"/>
    <n v="35"/>
  </r>
  <r>
    <s v="ORD-1948"/>
    <d v="2025-07-09T00:00:00"/>
    <x v="3"/>
    <x v="3"/>
    <n v="120"/>
    <n v="33"/>
    <n v="0.1"/>
    <n v="3564"/>
    <n v="30.473972602739725"/>
    <n v="120"/>
  </r>
  <r>
    <s v="ORD-1949"/>
    <d v="2025-07-09T00:00:00"/>
    <x v="4"/>
    <x v="4"/>
    <n v="25"/>
    <n v="49"/>
    <n v="0"/>
    <n v="1225"/>
    <n v="29.463013698630139"/>
    <n v="25"/>
  </r>
  <r>
    <s v="ORD-1950"/>
    <d v="2025-07-10T00:00:00"/>
    <x v="0"/>
    <x v="0"/>
    <n v="45"/>
    <n v="46"/>
    <n v="0"/>
    <n v="2070"/>
    <n v="31.479452054794521"/>
    <n v="45"/>
  </r>
  <r>
    <s v="ORD-1951"/>
    <d v="2025-07-10T00:00:00"/>
    <x v="1"/>
    <x v="1"/>
    <n v="12.5"/>
    <n v="41"/>
    <n v="0.1"/>
    <n v="461.25"/>
    <n v="31.794520547945204"/>
    <n v="12.5"/>
  </r>
  <r>
    <s v="ORD-1952"/>
    <d v="2025-07-10T00:00:00"/>
    <x v="2"/>
    <x v="2"/>
    <n v="35"/>
    <n v="46"/>
    <n v="0.2"/>
    <n v="1288"/>
    <n v="30.438356164383563"/>
    <n v="35"/>
  </r>
  <r>
    <s v="ORD-1953"/>
    <d v="2025-07-10T00:00:00"/>
    <x v="3"/>
    <x v="3"/>
    <n v="120"/>
    <n v="38"/>
    <n v="0"/>
    <n v="4560"/>
    <n v="30.473972602739725"/>
    <n v="120"/>
  </r>
  <r>
    <s v="ORD-1954"/>
    <d v="2025-07-10T00:00:00"/>
    <x v="4"/>
    <x v="4"/>
    <n v="25"/>
    <n v="25"/>
    <n v="0"/>
    <n v="625"/>
    <n v="29.463013698630139"/>
    <n v="25"/>
  </r>
  <r>
    <s v="ORD-1955"/>
    <d v="2025-07-11T00:00:00"/>
    <x v="0"/>
    <x v="0"/>
    <n v="45"/>
    <n v="42"/>
    <n v="0"/>
    <n v="1890"/>
    <n v="31.479452054794521"/>
    <n v="45"/>
  </r>
  <r>
    <s v="ORD-1956"/>
    <d v="2025-07-11T00:00:00"/>
    <x v="1"/>
    <x v="1"/>
    <n v="12.5"/>
    <n v="18"/>
    <n v="0.2"/>
    <n v="180"/>
    <n v="31.794520547945204"/>
    <n v="12.5"/>
  </r>
  <r>
    <s v="ORD-1957"/>
    <d v="2025-07-11T00:00:00"/>
    <x v="2"/>
    <x v="2"/>
    <n v="35"/>
    <n v="28"/>
    <n v="0.2"/>
    <n v="784"/>
    <n v="30.438356164383563"/>
    <n v="35"/>
  </r>
  <r>
    <s v="ORD-1958"/>
    <d v="2025-07-11T00:00:00"/>
    <x v="3"/>
    <x v="3"/>
    <n v="120"/>
    <n v="38"/>
    <n v="0.1"/>
    <n v="4104"/>
    <n v="30.473972602739725"/>
    <n v="120"/>
  </r>
  <r>
    <s v="ORD-1959"/>
    <d v="2025-07-11T00:00:00"/>
    <x v="4"/>
    <x v="4"/>
    <n v="25"/>
    <n v="49"/>
    <n v="0.1"/>
    <n v="1102.5"/>
    <n v="29.463013698630139"/>
    <n v="25"/>
  </r>
  <r>
    <s v="ORD-1960"/>
    <d v="2025-07-12T00:00:00"/>
    <x v="0"/>
    <x v="0"/>
    <n v="45"/>
    <n v="64"/>
    <n v="0"/>
    <n v="2880"/>
    <n v="31.479452054794521"/>
    <n v="45"/>
  </r>
  <r>
    <s v="ORD-1961"/>
    <d v="2025-07-12T00:00:00"/>
    <x v="1"/>
    <x v="1"/>
    <n v="12.5"/>
    <n v="21"/>
    <n v="0"/>
    <n v="262.5"/>
    <n v="31.794520547945204"/>
    <n v="12.5"/>
  </r>
  <r>
    <s v="ORD-1962"/>
    <d v="2025-07-12T00:00:00"/>
    <x v="2"/>
    <x v="2"/>
    <n v="35"/>
    <n v="45"/>
    <n v="0"/>
    <n v="1575"/>
    <n v="30.438356164383563"/>
    <n v="35"/>
  </r>
  <r>
    <s v="ORD-1963"/>
    <d v="2025-07-12T00:00:00"/>
    <x v="3"/>
    <x v="3"/>
    <n v="120"/>
    <n v="58"/>
    <n v="0.1"/>
    <n v="6264"/>
    <n v="30.473972602739725"/>
    <n v="120"/>
  </r>
  <r>
    <s v="ORD-1964"/>
    <d v="2025-07-12T00:00:00"/>
    <x v="4"/>
    <x v="4"/>
    <n v="25"/>
    <n v="21"/>
    <n v="0"/>
    <n v="525"/>
    <n v="29.463013698630139"/>
    <n v="25"/>
  </r>
  <r>
    <s v="ORD-1965"/>
    <d v="2025-07-13T00:00:00"/>
    <x v="0"/>
    <x v="0"/>
    <n v="45"/>
    <n v="24"/>
    <n v="0"/>
    <n v="1080"/>
    <n v="31.479452054794521"/>
    <n v="45"/>
  </r>
  <r>
    <s v="ORD-1966"/>
    <d v="2025-07-13T00:00:00"/>
    <x v="1"/>
    <x v="1"/>
    <n v="12.5"/>
    <n v="67"/>
    <n v="0"/>
    <n v="837.5"/>
    <n v="31.794520547945204"/>
    <n v="12.5"/>
  </r>
  <r>
    <s v="ORD-1967"/>
    <d v="2025-07-13T00:00:00"/>
    <x v="2"/>
    <x v="2"/>
    <n v="35"/>
    <n v="16"/>
    <n v="0"/>
    <n v="560"/>
    <n v="30.438356164383563"/>
    <n v="35"/>
  </r>
  <r>
    <s v="ORD-1968"/>
    <d v="2025-07-13T00:00:00"/>
    <x v="3"/>
    <x v="3"/>
    <n v="120"/>
    <n v="42"/>
    <n v="0"/>
    <n v="5040"/>
    <n v="30.473972602739725"/>
    <n v="120"/>
  </r>
  <r>
    <s v="ORD-1969"/>
    <d v="2025-07-13T00:00:00"/>
    <x v="4"/>
    <x v="4"/>
    <n v="25"/>
    <n v="72"/>
    <n v="0.1"/>
    <n v="1620"/>
    <n v="29.463013698630139"/>
    <n v="25"/>
  </r>
  <r>
    <s v="ORD-1970"/>
    <d v="2025-07-14T00:00:00"/>
    <x v="0"/>
    <x v="0"/>
    <n v="45"/>
    <n v="48"/>
    <n v="0"/>
    <n v="2160"/>
    <n v="31.479452054794521"/>
    <n v="45"/>
  </r>
  <r>
    <s v="ORD-1971"/>
    <d v="2025-07-14T00:00:00"/>
    <x v="1"/>
    <x v="1"/>
    <n v="12.5"/>
    <n v="38"/>
    <n v="0"/>
    <n v="475"/>
    <n v="31.794520547945204"/>
    <n v="12.5"/>
  </r>
  <r>
    <s v="ORD-1972"/>
    <d v="2025-07-14T00:00:00"/>
    <x v="2"/>
    <x v="2"/>
    <n v="35"/>
    <n v="17"/>
    <n v="0"/>
    <n v="595"/>
    <n v="30.438356164383563"/>
    <n v="35"/>
  </r>
  <r>
    <s v="ORD-1973"/>
    <d v="2025-07-14T00:00:00"/>
    <x v="3"/>
    <x v="3"/>
    <n v="120"/>
    <n v="25"/>
    <n v="0"/>
    <n v="3000"/>
    <n v="30.473972602739725"/>
    <n v="120"/>
  </r>
  <r>
    <s v="ORD-1974"/>
    <d v="2025-07-14T00:00:00"/>
    <x v="4"/>
    <x v="4"/>
    <n v="25"/>
    <n v="47"/>
    <n v="0"/>
    <n v="1175"/>
    <n v="29.463013698630139"/>
    <n v="25"/>
  </r>
  <r>
    <s v="ORD-1975"/>
    <d v="2025-07-15T00:00:00"/>
    <x v="0"/>
    <x v="0"/>
    <n v="45"/>
    <n v="21"/>
    <n v="0"/>
    <n v="945"/>
    <n v="31.479452054794521"/>
    <n v="45"/>
  </r>
  <r>
    <s v="ORD-1976"/>
    <d v="2025-07-15T00:00:00"/>
    <x v="1"/>
    <x v="1"/>
    <n v="12.5"/>
    <n v="28"/>
    <n v="0.1"/>
    <n v="315"/>
    <n v="31.794520547945204"/>
    <n v="12.5"/>
  </r>
  <r>
    <s v="ORD-1977"/>
    <d v="2025-07-15T00:00:00"/>
    <x v="2"/>
    <x v="2"/>
    <n v="35"/>
    <n v="40"/>
    <n v="0.1"/>
    <n v="1260"/>
    <n v="30.438356164383563"/>
    <n v="35"/>
  </r>
  <r>
    <s v="ORD-1978"/>
    <d v="2025-07-15T00:00:00"/>
    <x v="3"/>
    <x v="3"/>
    <n v="120"/>
    <n v="8"/>
    <n v="0"/>
    <n v="960"/>
    <n v="30.473972602739725"/>
    <n v="120"/>
  </r>
  <r>
    <s v="ORD-1979"/>
    <d v="2025-07-15T00:00:00"/>
    <x v="4"/>
    <x v="4"/>
    <n v="25"/>
    <n v="24"/>
    <n v="0"/>
    <n v="600"/>
    <n v="29.463013698630139"/>
    <n v="25"/>
  </r>
  <r>
    <s v="ORD-1980"/>
    <d v="2025-07-16T00:00:00"/>
    <x v="0"/>
    <x v="0"/>
    <n v="45"/>
    <n v="32"/>
    <n v="0"/>
    <n v="1440"/>
    <n v="31.479452054794521"/>
    <n v="45"/>
  </r>
  <r>
    <s v="ORD-1981"/>
    <d v="2025-07-16T00:00:00"/>
    <x v="1"/>
    <x v="1"/>
    <n v="12.5"/>
    <n v="41"/>
    <n v="0"/>
    <n v="512.5"/>
    <n v="31.794520547945204"/>
    <n v="12.5"/>
  </r>
  <r>
    <s v="ORD-1982"/>
    <d v="2025-07-16T00:00:00"/>
    <x v="2"/>
    <x v="2"/>
    <n v="35"/>
    <n v="49"/>
    <n v="0"/>
    <n v="1715"/>
    <n v="30.438356164383563"/>
    <n v="35"/>
  </r>
  <r>
    <s v="ORD-1983"/>
    <d v="2025-07-16T00:00:00"/>
    <x v="3"/>
    <x v="3"/>
    <n v="120"/>
    <n v="41"/>
    <n v="0.1"/>
    <n v="4428"/>
    <n v="30.473972602739725"/>
    <n v="120"/>
  </r>
  <r>
    <s v="ORD-1984"/>
    <d v="2025-07-16T00:00:00"/>
    <x v="4"/>
    <x v="4"/>
    <n v="25"/>
    <n v="15"/>
    <n v="0"/>
    <n v="375"/>
    <n v="29.463013698630139"/>
    <n v="25"/>
  </r>
  <r>
    <s v="ORD-1985"/>
    <d v="2025-07-17T00:00:00"/>
    <x v="0"/>
    <x v="0"/>
    <n v="45"/>
    <n v="11"/>
    <n v="0"/>
    <n v="495"/>
    <n v="31.479452054794521"/>
    <n v="45"/>
  </r>
  <r>
    <s v="ORD-1986"/>
    <d v="2025-07-17T00:00:00"/>
    <x v="1"/>
    <x v="1"/>
    <n v="12.5"/>
    <n v="10"/>
    <n v="0"/>
    <n v="125"/>
    <n v="31.794520547945204"/>
    <n v="12.5"/>
  </r>
  <r>
    <s v="ORD-1987"/>
    <d v="2025-07-17T00:00:00"/>
    <x v="2"/>
    <x v="2"/>
    <n v="35"/>
    <n v="41"/>
    <n v="0"/>
    <n v="1435"/>
    <n v="30.438356164383563"/>
    <n v="35"/>
  </r>
  <r>
    <s v="ORD-1988"/>
    <d v="2025-07-17T00:00:00"/>
    <x v="3"/>
    <x v="3"/>
    <n v="120"/>
    <n v="9"/>
    <n v="0"/>
    <n v="1080"/>
    <n v="30.473972602739725"/>
    <n v="120"/>
  </r>
  <r>
    <s v="ORD-1989"/>
    <d v="2025-07-17T00:00:00"/>
    <x v="4"/>
    <x v="4"/>
    <n v="25"/>
    <n v="23"/>
    <n v="0.1"/>
    <n v="517.5"/>
    <n v="29.463013698630139"/>
    <n v="25"/>
  </r>
  <r>
    <s v="ORD-1990"/>
    <d v="2025-07-18T00:00:00"/>
    <x v="0"/>
    <x v="0"/>
    <n v="45"/>
    <n v="15"/>
    <n v="0"/>
    <n v="675"/>
    <n v="31.479452054794521"/>
    <n v="45"/>
  </r>
  <r>
    <s v="ORD-1991"/>
    <d v="2025-07-18T00:00:00"/>
    <x v="1"/>
    <x v="1"/>
    <n v="12.5"/>
    <n v="10"/>
    <n v="0.2"/>
    <n v="100"/>
    <n v="31.794520547945204"/>
    <n v="12.5"/>
  </r>
  <r>
    <s v="ORD-1992"/>
    <d v="2025-07-18T00:00:00"/>
    <x v="2"/>
    <x v="2"/>
    <n v="35"/>
    <n v="7"/>
    <n v="0"/>
    <n v="245"/>
    <n v="30.438356164383563"/>
    <n v="35"/>
  </r>
  <r>
    <s v="ORD-1993"/>
    <d v="2025-07-18T00:00:00"/>
    <x v="3"/>
    <x v="3"/>
    <n v="120"/>
    <n v="44"/>
    <n v="0"/>
    <n v="5280"/>
    <n v="30.473972602739725"/>
    <n v="120"/>
  </r>
  <r>
    <s v="ORD-1994"/>
    <d v="2025-07-18T00:00:00"/>
    <x v="4"/>
    <x v="4"/>
    <n v="25"/>
    <n v="30"/>
    <n v="0"/>
    <n v="750"/>
    <n v="29.463013698630139"/>
    <n v="25"/>
  </r>
  <r>
    <s v="ORD-1995"/>
    <d v="2025-07-19T00:00:00"/>
    <x v="0"/>
    <x v="0"/>
    <n v="45"/>
    <n v="49"/>
    <n v="0"/>
    <n v="2205"/>
    <n v="31.479452054794521"/>
    <n v="45"/>
  </r>
  <r>
    <s v="ORD-1996"/>
    <d v="2025-07-19T00:00:00"/>
    <x v="1"/>
    <x v="1"/>
    <n v="12.5"/>
    <n v="42"/>
    <n v="0.2"/>
    <n v="420"/>
    <n v="31.794520547945204"/>
    <n v="12.5"/>
  </r>
  <r>
    <s v="ORD-1997"/>
    <d v="2025-07-19T00:00:00"/>
    <x v="2"/>
    <x v="2"/>
    <n v="35"/>
    <n v="58"/>
    <n v="0.2"/>
    <n v="1624"/>
    <n v="30.438356164383563"/>
    <n v="35"/>
  </r>
  <r>
    <s v="ORD-1998"/>
    <d v="2025-07-19T00:00:00"/>
    <x v="3"/>
    <x v="3"/>
    <n v="120"/>
    <n v="12"/>
    <n v="0"/>
    <n v="1440"/>
    <n v="30.473972602739725"/>
    <n v="120"/>
  </r>
  <r>
    <s v="ORD-1999"/>
    <d v="2025-07-19T00:00:00"/>
    <x v="4"/>
    <x v="4"/>
    <n v="25"/>
    <n v="70"/>
    <n v="0"/>
    <n v="1750"/>
    <n v="29.463013698630139"/>
    <n v="25"/>
  </r>
  <r>
    <s v="ORD-2000"/>
    <d v="2025-07-20T00:00:00"/>
    <x v="0"/>
    <x v="0"/>
    <n v="45"/>
    <n v="69"/>
    <n v="0.2"/>
    <n v="2484"/>
    <n v="31.479452054794521"/>
    <n v="45"/>
  </r>
  <r>
    <s v="ORD-2001"/>
    <d v="2025-07-20T00:00:00"/>
    <x v="1"/>
    <x v="1"/>
    <n v="12.5"/>
    <n v="66"/>
    <n v="0"/>
    <n v="825"/>
    <n v="31.794520547945204"/>
    <n v="12.5"/>
  </r>
  <r>
    <s v="ORD-2002"/>
    <d v="2025-07-20T00:00:00"/>
    <x v="2"/>
    <x v="2"/>
    <n v="35"/>
    <n v="52"/>
    <n v="0.1"/>
    <n v="1638"/>
    <n v="30.438356164383563"/>
    <n v="35"/>
  </r>
  <r>
    <s v="ORD-2003"/>
    <d v="2025-07-20T00:00:00"/>
    <x v="3"/>
    <x v="3"/>
    <n v="120"/>
    <n v="36"/>
    <n v="0"/>
    <n v="4320"/>
    <n v="30.473972602739725"/>
    <n v="120"/>
  </r>
  <r>
    <s v="ORD-2004"/>
    <d v="2025-07-20T00:00:00"/>
    <x v="4"/>
    <x v="4"/>
    <n v="25"/>
    <n v="37"/>
    <n v="0"/>
    <n v="925"/>
    <n v="29.463013698630139"/>
    <n v="25"/>
  </r>
  <r>
    <s v="ORD-2005"/>
    <d v="2025-07-21T00:00:00"/>
    <x v="0"/>
    <x v="0"/>
    <n v="45"/>
    <n v="20"/>
    <n v="0.1"/>
    <n v="810"/>
    <n v="31.479452054794521"/>
    <n v="45"/>
  </r>
  <r>
    <s v="ORD-2006"/>
    <d v="2025-07-21T00:00:00"/>
    <x v="1"/>
    <x v="1"/>
    <n v="12.5"/>
    <n v="42"/>
    <n v="0"/>
    <n v="525"/>
    <n v="31.794520547945204"/>
    <n v="12.5"/>
  </r>
  <r>
    <s v="ORD-2007"/>
    <d v="2025-07-21T00:00:00"/>
    <x v="2"/>
    <x v="2"/>
    <n v="35"/>
    <n v="31"/>
    <n v="0"/>
    <n v="1085"/>
    <n v="30.438356164383563"/>
    <n v="35"/>
  </r>
  <r>
    <s v="ORD-2008"/>
    <d v="2025-07-21T00:00:00"/>
    <x v="3"/>
    <x v="3"/>
    <n v="120"/>
    <n v="42"/>
    <n v="0.1"/>
    <n v="4536"/>
    <n v="30.473972602739725"/>
    <n v="120"/>
  </r>
  <r>
    <s v="ORD-2009"/>
    <d v="2025-07-21T00:00:00"/>
    <x v="4"/>
    <x v="4"/>
    <n v="25"/>
    <n v="10"/>
    <n v="0"/>
    <n v="250"/>
    <n v="29.463013698630139"/>
    <n v="25"/>
  </r>
  <r>
    <s v="ORD-2010"/>
    <d v="2025-07-22T00:00:00"/>
    <x v="0"/>
    <x v="0"/>
    <n v="45"/>
    <n v="41"/>
    <n v="0"/>
    <n v="1845"/>
    <n v="31.479452054794521"/>
    <n v="45"/>
  </r>
  <r>
    <s v="ORD-2011"/>
    <d v="2025-07-22T00:00:00"/>
    <x v="1"/>
    <x v="1"/>
    <n v="12.5"/>
    <n v="12"/>
    <n v="0"/>
    <n v="150"/>
    <n v="31.794520547945204"/>
    <n v="12.5"/>
  </r>
  <r>
    <s v="ORD-2012"/>
    <d v="2025-07-22T00:00:00"/>
    <x v="2"/>
    <x v="2"/>
    <n v="35"/>
    <n v="27"/>
    <n v="0.1"/>
    <n v="850.5"/>
    <n v="30.438356164383563"/>
    <n v="35"/>
  </r>
  <r>
    <s v="ORD-2013"/>
    <d v="2025-07-22T00:00:00"/>
    <x v="3"/>
    <x v="3"/>
    <n v="120"/>
    <n v="21"/>
    <n v="0"/>
    <n v="2520"/>
    <n v="30.473972602739725"/>
    <n v="120"/>
  </r>
  <r>
    <s v="ORD-2014"/>
    <d v="2025-07-22T00:00:00"/>
    <x v="4"/>
    <x v="4"/>
    <n v="25"/>
    <n v="29"/>
    <n v="0.1"/>
    <n v="652.5"/>
    <n v="29.463013698630139"/>
    <n v="25"/>
  </r>
  <r>
    <s v="ORD-2015"/>
    <d v="2025-07-23T00:00:00"/>
    <x v="0"/>
    <x v="0"/>
    <n v="45"/>
    <n v="35"/>
    <n v="0.2"/>
    <n v="1260"/>
    <n v="31.479452054794521"/>
    <n v="45"/>
  </r>
  <r>
    <s v="ORD-2016"/>
    <d v="2025-07-23T00:00:00"/>
    <x v="1"/>
    <x v="1"/>
    <n v="12.5"/>
    <n v="8"/>
    <n v="0"/>
    <n v="100"/>
    <n v="31.794520547945204"/>
    <n v="12.5"/>
  </r>
  <r>
    <s v="ORD-2017"/>
    <d v="2025-07-23T00:00:00"/>
    <x v="2"/>
    <x v="2"/>
    <n v="35"/>
    <n v="26"/>
    <n v="0"/>
    <n v="910"/>
    <n v="30.438356164383563"/>
    <n v="35"/>
  </r>
  <r>
    <s v="ORD-2018"/>
    <d v="2025-07-23T00:00:00"/>
    <x v="3"/>
    <x v="3"/>
    <n v="120"/>
    <n v="27"/>
    <n v="0"/>
    <n v="3240"/>
    <n v="30.473972602739725"/>
    <n v="120"/>
  </r>
  <r>
    <s v="ORD-2019"/>
    <d v="2025-07-23T00:00:00"/>
    <x v="4"/>
    <x v="4"/>
    <n v="25"/>
    <n v="22"/>
    <n v="0.1"/>
    <n v="495"/>
    <n v="29.463013698630139"/>
    <n v="25"/>
  </r>
  <r>
    <s v="ORD-2020"/>
    <d v="2025-07-24T00:00:00"/>
    <x v="0"/>
    <x v="0"/>
    <n v="45"/>
    <n v="22"/>
    <n v="0.1"/>
    <n v="891"/>
    <n v="31.479452054794521"/>
    <n v="45"/>
  </r>
  <r>
    <s v="ORD-2021"/>
    <d v="2025-07-24T00:00:00"/>
    <x v="1"/>
    <x v="1"/>
    <n v="12.5"/>
    <n v="41"/>
    <n v="0"/>
    <n v="512.5"/>
    <n v="31.794520547945204"/>
    <n v="12.5"/>
  </r>
  <r>
    <s v="ORD-2022"/>
    <d v="2025-07-24T00:00:00"/>
    <x v="2"/>
    <x v="2"/>
    <n v="35"/>
    <n v="14"/>
    <n v="0"/>
    <n v="490"/>
    <n v="30.438356164383563"/>
    <n v="35"/>
  </r>
  <r>
    <s v="ORD-2023"/>
    <d v="2025-07-24T00:00:00"/>
    <x v="3"/>
    <x v="3"/>
    <n v="120"/>
    <n v="49"/>
    <n v="0"/>
    <n v="5880"/>
    <n v="30.473972602739725"/>
    <n v="120"/>
  </r>
  <r>
    <s v="ORD-2024"/>
    <d v="2025-07-24T00:00:00"/>
    <x v="4"/>
    <x v="4"/>
    <n v="25"/>
    <n v="42"/>
    <n v="0"/>
    <n v="1050"/>
    <n v="29.463013698630139"/>
    <n v="25"/>
  </r>
  <r>
    <s v="ORD-2025"/>
    <d v="2025-07-25T00:00:00"/>
    <x v="0"/>
    <x v="0"/>
    <n v="45"/>
    <n v="35"/>
    <n v="0"/>
    <n v="1575"/>
    <n v="31.479452054794521"/>
    <n v="45"/>
  </r>
  <r>
    <s v="ORD-2026"/>
    <d v="2025-07-25T00:00:00"/>
    <x v="1"/>
    <x v="1"/>
    <n v="12.5"/>
    <n v="20"/>
    <n v="0"/>
    <n v="250"/>
    <n v="31.794520547945204"/>
    <n v="12.5"/>
  </r>
  <r>
    <s v="ORD-2027"/>
    <d v="2025-07-25T00:00:00"/>
    <x v="2"/>
    <x v="2"/>
    <n v="35"/>
    <n v="45"/>
    <n v="0.1"/>
    <n v="1417.5"/>
    <n v="30.438356164383563"/>
    <n v="35"/>
  </r>
  <r>
    <s v="ORD-2028"/>
    <d v="2025-07-25T00:00:00"/>
    <x v="3"/>
    <x v="3"/>
    <n v="120"/>
    <n v="11"/>
    <n v="0.1"/>
    <n v="1188"/>
    <n v="30.473972602739725"/>
    <n v="120"/>
  </r>
  <r>
    <s v="ORD-2029"/>
    <d v="2025-07-25T00:00:00"/>
    <x v="4"/>
    <x v="4"/>
    <n v="25"/>
    <n v="24"/>
    <n v="0"/>
    <n v="600"/>
    <n v="29.463013698630139"/>
    <n v="25"/>
  </r>
  <r>
    <s v="ORD-2030"/>
    <d v="2025-07-26T00:00:00"/>
    <x v="0"/>
    <x v="0"/>
    <n v="45"/>
    <n v="7"/>
    <n v="0"/>
    <n v="315"/>
    <n v="31.479452054794521"/>
    <n v="45"/>
  </r>
  <r>
    <s v="ORD-2031"/>
    <d v="2025-07-26T00:00:00"/>
    <x v="1"/>
    <x v="1"/>
    <n v="12.5"/>
    <n v="43"/>
    <n v="0.2"/>
    <n v="430"/>
    <n v="31.794520547945204"/>
    <n v="12.5"/>
  </r>
  <r>
    <s v="ORD-2032"/>
    <d v="2025-07-26T00:00:00"/>
    <x v="2"/>
    <x v="2"/>
    <n v="35"/>
    <n v="73"/>
    <n v="0"/>
    <n v="2555"/>
    <n v="30.438356164383563"/>
    <n v="35"/>
  </r>
  <r>
    <s v="ORD-2033"/>
    <d v="2025-07-26T00:00:00"/>
    <x v="3"/>
    <x v="3"/>
    <n v="120"/>
    <n v="16"/>
    <n v="0.2"/>
    <n v="1536"/>
    <n v="30.473972602739725"/>
    <n v="120"/>
  </r>
  <r>
    <s v="ORD-2034"/>
    <d v="2025-07-26T00:00:00"/>
    <x v="4"/>
    <x v="4"/>
    <n v="25"/>
    <n v="67"/>
    <n v="0"/>
    <n v="1675"/>
    <n v="29.463013698630139"/>
    <n v="25"/>
  </r>
  <r>
    <s v="ORD-2035"/>
    <d v="2025-07-27T00:00:00"/>
    <x v="0"/>
    <x v="0"/>
    <n v="45"/>
    <n v="19"/>
    <n v="0"/>
    <n v="855"/>
    <n v="31.479452054794521"/>
    <n v="45"/>
  </r>
  <r>
    <s v="ORD-2036"/>
    <d v="2025-07-27T00:00:00"/>
    <x v="1"/>
    <x v="1"/>
    <n v="12.5"/>
    <n v="42"/>
    <n v="0"/>
    <n v="525"/>
    <n v="31.794520547945204"/>
    <n v="12.5"/>
  </r>
  <r>
    <s v="ORD-2037"/>
    <d v="2025-07-27T00:00:00"/>
    <x v="2"/>
    <x v="2"/>
    <n v="35"/>
    <n v="49"/>
    <n v="0"/>
    <n v="1715"/>
    <n v="30.438356164383563"/>
    <n v="35"/>
  </r>
  <r>
    <s v="ORD-2038"/>
    <d v="2025-07-27T00:00:00"/>
    <x v="3"/>
    <x v="3"/>
    <n v="120"/>
    <n v="28"/>
    <n v="0"/>
    <n v="3360"/>
    <n v="30.473972602739725"/>
    <n v="120"/>
  </r>
  <r>
    <s v="ORD-2039"/>
    <d v="2025-07-27T00:00:00"/>
    <x v="4"/>
    <x v="4"/>
    <n v="25"/>
    <n v="25"/>
    <n v="0"/>
    <n v="625"/>
    <n v="29.463013698630139"/>
    <n v="25"/>
  </r>
  <r>
    <s v="ORD-2040"/>
    <d v="2025-07-28T00:00:00"/>
    <x v="0"/>
    <x v="0"/>
    <n v="45"/>
    <n v="37"/>
    <n v="0"/>
    <n v="1665"/>
    <n v="31.479452054794521"/>
    <n v="45"/>
  </r>
  <r>
    <s v="ORD-2041"/>
    <d v="2025-07-28T00:00:00"/>
    <x v="1"/>
    <x v="1"/>
    <n v="12.5"/>
    <n v="45"/>
    <n v="0"/>
    <n v="562.5"/>
    <n v="31.794520547945204"/>
    <n v="12.5"/>
  </r>
  <r>
    <s v="ORD-2042"/>
    <d v="2025-07-28T00:00:00"/>
    <x v="2"/>
    <x v="2"/>
    <n v="35"/>
    <n v="36"/>
    <n v="0"/>
    <n v="1260"/>
    <n v="30.438356164383563"/>
    <n v="35"/>
  </r>
  <r>
    <s v="ORD-2043"/>
    <d v="2025-07-28T00:00:00"/>
    <x v="3"/>
    <x v="3"/>
    <n v="120"/>
    <n v="8"/>
    <n v="0.2"/>
    <n v="768"/>
    <n v="30.473972602739725"/>
    <n v="120"/>
  </r>
  <r>
    <s v="ORD-2044"/>
    <d v="2025-07-28T00:00:00"/>
    <x v="4"/>
    <x v="4"/>
    <n v="25"/>
    <n v="46"/>
    <n v="0"/>
    <n v="1150"/>
    <n v="29.463013698630139"/>
    <n v="25"/>
  </r>
  <r>
    <s v="ORD-2045"/>
    <d v="2025-07-29T00:00:00"/>
    <x v="0"/>
    <x v="0"/>
    <n v="45"/>
    <n v="25"/>
    <n v="0"/>
    <n v="1125"/>
    <n v="31.479452054794521"/>
    <n v="45"/>
  </r>
  <r>
    <s v="ORD-2046"/>
    <d v="2025-07-29T00:00:00"/>
    <x v="1"/>
    <x v="1"/>
    <n v="12.5"/>
    <n v="7"/>
    <n v="0"/>
    <n v="87.5"/>
    <n v="31.794520547945204"/>
    <n v="12.5"/>
  </r>
  <r>
    <s v="ORD-2047"/>
    <d v="2025-07-29T00:00:00"/>
    <x v="2"/>
    <x v="2"/>
    <n v="35"/>
    <n v="39"/>
    <n v="0.1"/>
    <n v="1228.5"/>
    <n v="30.438356164383563"/>
    <n v="35"/>
  </r>
  <r>
    <s v="ORD-2048"/>
    <d v="2025-07-29T00:00:00"/>
    <x v="3"/>
    <x v="3"/>
    <n v="120"/>
    <n v="11"/>
    <n v="0.1"/>
    <n v="1188"/>
    <n v="30.473972602739725"/>
    <n v="120"/>
  </r>
  <r>
    <s v="ORD-2049"/>
    <d v="2025-07-29T00:00:00"/>
    <x v="4"/>
    <x v="4"/>
    <n v="25"/>
    <n v="28"/>
    <n v="0"/>
    <n v="700"/>
    <n v="29.463013698630139"/>
    <n v="25"/>
  </r>
  <r>
    <s v="ORD-2050"/>
    <d v="2025-07-30T00:00:00"/>
    <x v="0"/>
    <x v="0"/>
    <n v="45"/>
    <n v="12"/>
    <n v="0.2"/>
    <n v="432"/>
    <n v="31.479452054794521"/>
    <n v="45"/>
  </r>
  <r>
    <s v="ORD-2051"/>
    <d v="2025-07-30T00:00:00"/>
    <x v="1"/>
    <x v="1"/>
    <n v="12.5"/>
    <n v="48"/>
    <n v="0"/>
    <n v="600"/>
    <n v="31.794520547945204"/>
    <n v="12.5"/>
  </r>
  <r>
    <s v="ORD-2052"/>
    <d v="2025-07-30T00:00:00"/>
    <x v="2"/>
    <x v="2"/>
    <n v="35"/>
    <n v="44"/>
    <n v="0"/>
    <n v="1540"/>
    <n v="30.438356164383563"/>
    <n v="35"/>
  </r>
  <r>
    <s v="ORD-2053"/>
    <d v="2025-07-30T00:00:00"/>
    <x v="3"/>
    <x v="3"/>
    <n v="120"/>
    <n v="24"/>
    <n v="0.1"/>
    <n v="2592"/>
    <n v="30.473972602739725"/>
    <n v="120"/>
  </r>
  <r>
    <s v="ORD-2054"/>
    <d v="2025-07-30T00:00:00"/>
    <x v="4"/>
    <x v="4"/>
    <n v="25"/>
    <n v="31"/>
    <n v="0"/>
    <n v="775"/>
    <n v="29.463013698630139"/>
    <n v="25"/>
  </r>
  <r>
    <s v="ORD-2055"/>
    <d v="2025-07-31T00:00:00"/>
    <x v="0"/>
    <x v="0"/>
    <n v="45"/>
    <n v="41"/>
    <n v="0"/>
    <n v="1845"/>
    <n v="31.479452054794521"/>
    <n v="45"/>
  </r>
  <r>
    <s v="ORD-2056"/>
    <d v="2025-07-31T00:00:00"/>
    <x v="1"/>
    <x v="1"/>
    <n v="12.5"/>
    <n v="47"/>
    <n v="0.1"/>
    <n v="528.75"/>
    <n v="31.794520547945204"/>
    <n v="12.5"/>
  </r>
  <r>
    <s v="ORD-2057"/>
    <d v="2025-07-31T00:00:00"/>
    <x v="2"/>
    <x v="2"/>
    <n v="35"/>
    <n v="23"/>
    <n v="0"/>
    <n v="805"/>
    <n v="30.438356164383563"/>
    <n v="35"/>
  </r>
  <r>
    <s v="ORD-2058"/>
    <d v="2025-07-31T00:00:00"/>
    <x v="3"/>
    <x v="3"/>
    <n v="120"/>
    <n v="47"/>
    <n v="0"/>
    <n v="5640"/>
    <n v="30.473972602739725"/>
    <n v="120"/>
  </r>
  <r>
    <s v="ORD-2059"/>
    <d v="2025-07-31T00:00:00"/>
    <x v="4"/>
    <x v="4"/>
    <n v="25"/>
    <n v="23"/>
    <n v="0"/>
    <n v="575"/>
    <n v="29.463013698630139"/>
    <n v="25"/>
  </r>
  <r>
    <s v="ORD-2060"/>
    <d v="2025-08-01T00:00:00"/>
    <x v="0"/>
    <x v="0"/>
    <n v="45"/>
    <n v="49"/>
    <n v="0"/>
    <n v="2205"/>
    <n v="31.479452054794521"/>
    <n v="45"/>
  </r>
  <r>
    <s v="ORD-2061"/>
    <d v="2025-08-01T00:00:00"/>
    <x v="1"/>
    <x v="1"/>
    <n v="12.5"/>
    <n v="43"/>
    <n v="0"/>
    <n v="537.5"/>
    <n v="31.794520547945204"/>
    <n v="12.5"/>
  </r>
  <r>
    <s v="ORD-2062"/>
    <d v="2025-08-01T00:00:00"/>
    <x v="2"/>
    <x v="2"/>
    <n v="35"/>
    <n v="19"/>
    <n v="0"/>
    <n v="665"/>
    <n v="30.438356164383563"/>
    <n v="35"/>
  </r>
  <r>
    <s v="ORD-2063"/>
    <d v="2025-08-01T00:00:00"/>
    <x v="3"/>
    <x v="3"/>
    <n v="120"/>
    <n v="27"/>
    <n v="0"/>
    <n v="3240"/>
    <n v="30.473972602739725"/>
    <n v="120"/>
  </r>
  <r>
    <s v="ORD-2064"/>
    <d v="2025-08-01T00:00:00"/>
    <x v="4"/>
    <x v="4"/>
    <n v="25"/>
    <n v="33"/>
    <n v="0.1"/>
    <n v="742.5"/>
    <n v="29.463013698630139"/>
    <n v="25"/>
  </r>
  <r>
    <s v="ORD-2065"/>
    <d v="2025-08-02T00:00:00"/>
    <x v="0"/>
    <x v="0"/>
    <n v="45"/>
    <n v="42"/>
    <n v="0"/>
    <n v="1890"/>
    <n v="31.479452054794521"/>
    <n v="45"/>
  </r>
  <r>
    <s v="ORD-2066"/>
    <d v="2025-08-02T00:00:00"/>
    <x v="1"/>
    <x v="1"/>
    <n v="12.5"/>
    <n v="69"/>
    <n v="0.1"/>
    <n v="776.25"/>
    <n v="31.794520547945204"/>
    <n v="12.5"/>
  </r>
  <r>
    <s v="ORD-2067"/>
    <d v="2025-08-02T00:00:00"/>
    <x v="2"/>
    <x v="2"/>
    <n v="35"/>
    <n v="51"/>
    <n v="0"/>
    <n v="1785"/>
    <n v="30.438356164383563"/>
    <n v="35"/>
  </r>
  <r>
    <s v="ORD-2068"/>
    <d v="2025-08-02T00:00:00"/>
    <x v="3"/>
    <x v="3"/>
    <n v="120"/>
    <n v="57"/>
    <n v="0"/>
    <n v="6840"/>
    <n v="30.473972602739725"/>
    <n v="120"/>
  </r>
  <r>
    <s v="ORD-2069"/>
    <d v="2025-08-02T00:00:00"/>
    <x v="4"/>
    <x v="4"/>
    <n v="25"/>
    <n v="9"/>
    <n v="0"/>
    <n v="225"/>
    <n v="29.463013698630139"/>
    <n v="25"/>
  </r>
  <r>
    <s v="ORD-2070"/>
    <d v="2025-08-03T00:00:00"/>
    <x v="0"/>
    <x v="0"/>
    <n v="45"/>
    <n v="45"/>
    <n v="0.2"/>
    <n v="1620"/>
    <n v="31.479452054794521"/>
    <n v="45"/>
  </r>
  <r>
    <s v="ORD-2071"/>
    <d v="2025-08-03T00:00:00"/>
    <x v="1"/>
    <x v="1"/>
    <n v="12.5"/>
    <n v="48"/>
    <n v="0"/>
    <n v="600"/>
    <n v="31.794520547945204"/>
    <n v="12.5"/>
  </r>
  <r>
    <s v="ORD-2072"/>
    <d v="2025-08-03T00:00:00"/>
    <x v="2"/>
    <x v="2"/>
    <n v="35"/>
    <n v="40"/>
    <n v="0.1"/>
    <n v="1260"/>
    <n v="30.438356164383563"/>
    <n v="35"/>
  </r>
  <r>
    <s v="ORD-2073"/>
    <d v="2025-08-03T00:00:00"/>
    <x v="3"/>
    <x v="3"/>
    <n v="120"/>
    <n v="27"/>
    <n v="0"/>
    <n v="3240"/>
    <n v="30.473972602739725"/>
    <n v="120"/>
  </r>
  <r>
    <s v="ORD-2074"/>
    <d v="2025-08-03T00:00:00"/>
    <x v="4"/>
    <x v="4"/>
    <n v="25"/>
    <n v="21"/>
    <n v="0"/>
    <n v="525"/>
    <n v="29.463013698630139"/>
    <n v="25"/>
  </r>
  <r>
    <s v="ORD-2075"/>
    <d v="2025-08-04T00:00:00"/>
    <x v="0"/>
    <x v="0"/>
    <n v="45"/>
    <n v="19"/>
    <n v="0"/>
    <n v="855"/>
    <n v="31.479452054794521"/>
    <n v="45"/>
  </r>
  <r>
    <s v="ORD-2076"/>
    <d v="2025-08-04T00:00:00"/>
    <x v="1"/>
    <x v="1"/>
    <n v="12.5"/>
    <n v="28"/>
    <n v="0"/>
    <n v="350"/>
    <n v="31.794520547945204"/>
    <n v="12.5"/>
  </r>
  <r>
    <s v="ORD-2077"/>
    <d v="2025-08-04T00:00:00"/>
    <x v="2"/>
    <x v="2"/>
    <n v="35"/>
    <n v="34"/>
    <n v="0.2"/>
    <n v="952"/>
    <n v="30.438356164383563"/>
    <n v="35"/>
  </r>
  <r>
    <s v="ORD-2078"/>
    <d v="2025-08-04T00:00:00"/>
    <x v="3"/>
    <x v="3"/>
    <n v="120"/>
    <n v="28"/>
    <n v="0"/>
    <n v="3360"/>
    <n v="30.473972602739725"/>
    <n v="120"/>
  </r>
  <r>
    <s v="ORD-2079"/>
    <d v="2025-08-04T00:00:00"/>
    <x v="4"/>
    <x v="4"/>
    <n v="25"/>
    <n v="41"/>
    <n v="0"/>
    <n v="1025"/>
    <n v="29.463013698630139"/>
    <n v="25"/>
  </r>
  <r>
    <s v="ORD-2080"/>
    <d v="2025-08-05T00:00:00"/>
    <x v="0"/>
    <x v="0"/>
    <n v="45"/>
    <n v="25"/>
    <n v="0.1"/>
    <n v="1012.5"/>
    <n v="31.479452054794521"/>
    <n v="45"/>
  </r>
  <r>
    <s v="ORD-2081"/>
    <d v="2025-08-05T00:00:00"/>
    <x v="1"/>
    <x v="1"/>
    <n v="12.5"/>
    <n v="30"/>
    <n v="0"/>
    <n v="375"/>
    <n v="31.794520547945204"/>
    <n v="12.5"/>
  </r>
  <r>
    <s v="ORD-2082"/>
    <d v="2025-08-05T00:00:00"/>
    <x v="2"/>
    <x v="2"/>
    <n v="35"/>
    <n v="13"/>
    <n v="0"/>
    <n v="455"/>
    <n v="30.438356164383563"/>
    <n v="35"/>
  </r>
  <r>
    <s v="ORD-2083"/>
    <d v="2025-08-05T00:00:00"/>
    <x v="3"/>
    <x v="3"/>
    <n v="120"/>
    <n v="9"/>
    <n v="0"/>
    <n v="1080"/>
    <n v="30.473972602739725"/>
    <n v="120"/>
  </r>
  <r>
    <s v="ORD-2084"/>
    <d v="2025-08-05T00:00:00"/>
    <x v="4"/>
    <x v="4"/>
    <n v="25"/>
    <n v="15"/>
    <n v="0.1"/>
    <n v="337.5"/>
    <n v="29.463013698630139"/>
    <n v="25"/>
  </r>
  <r>
    <s v="ORD-2085"/>
    <d v="2025-08-06T00:00:00"/>
    <x v="0"/>
    <x v="0"/>
    <n v="45"/>
    <n v="43"/>
    <n v="0"/>
    <n v="1935"/>
    <n v="31.479452054794521"/>
    <n v="45"/>
  </r>
  <r>
    <s v="ORD-2086"/>
    <d v="2025-08-06T00:00:00"/>
    <x v="1"/>
    <x v="1"/>
    <n v="12.5"/>
    <n v="10"/>
    <n v="0.1"/>
    <n v="112.5"/>
    <n v="31.794520547945204"/>
    <n v="12.5"/>
  </r>
  <r>
    <s v="ORD-2087"/>
    <d v="2025-08-06T00:00:00"/>
    <x v="2"/>
    <x v="2"/>
    <n v="35"/>
    <n v="37"/>
    <n v="0"/>
    <n v="1295"/>
    <n v="30.438356164383563"/>
    <n v="35"/>
  </r>
  <r>
    <s v="ORD-2088"/>
    <d v="2025-08-06T00:00:00"/>
    <x v="3"/>
    <x v="3"/>
    <n v="120"/>
    <n v="44"/>
    <n v="0.2"/>
    <n v="4224"/>
    <n v="30.473972602739725"/>
    <n v="120"/>
  </r>
  <r>
    <s v="ORD-2089"/>
    <d v="2025-08-06T00:00:00"/>
    <x v="4"/>
    <x v="4"/>
    <n v="25"/>
    <n v="24"/>
    <n v="0"/>
    <n v="600"/>
    <n v="29.463013698630139"/>
    <n v="25"/>
  </r>
  <r>
    <s v="ORD-2090"/>
    <d v="2025-08-07T00:00:00"/>
    <x v="0"/>
    <x v="0"/>
    <n v="45"/>
    <n v="31"/>
    <n v="0"/>
    <n v="1395"/>
    <n v="31.479452054794521"/>
    <n v="45"/>
  </r>
  <r>
    <s v="ORD-2091"/>
    <d v="2025-08-07T00:00:00"/>
    <x v="1"/>
    <x v="1"/>
    <n v="12.5"/>
    <n v="9"/>
    <n v="0"/>
    <n v="112.5"/>
    <n v="31.794520547945204"/>
    <n v="12.5"/>
  </r>
  <r>
    <s v="ORD-2092"/>
    <d v="2025-08-07T00:00:00"/>
    <x v="2"/>
    <x v="2"/>
    <n v="35"/>
    <n v="23"/>
    <n v="0"/>
    <n v="805"/>
    <n v="30.438356164383563"/>
    <n v="35"/>
  </r>
  <r>
    <s v="ORD-2093"/>
    <d v="2025-08-07T00:00:00"/>
    <x v="3"/>
    <x v="3"/>
    <n v="120"/>
    <n v="25"/>
    <n v="0.1"/>
    <n v="2700"/>
    <n v="30.473972602739725"/>
    <n v="120"/>
  </r>
  <r>
    <s v="ORD-2094"/>
    <d v="2025-08-07T00:00:00"/>
    <x v="4"/>
    <x v="4"/>
    <n v="25"/>
    <n v="39"/>
    <n v="0"/>
    <n v="975"/>
    <n v="29.463013698630139"/>
    <n v="25"/>
  </r>
  <r>
    <s v="ORD-2095"/>
    <d v="2025-08-08T00:00:00"/>
    <x v="0"/>
    <x v="0"/>
    <n v="45"/>
    <n v="44"/>
    <n v="0"/>
    <n v="1980"/>
    <n v="31.479452054794521"/>
    <n v="45"/>
  </r>
  <r>
    <s v="ORD-2096"/>
    <d v="2025-08-08T00:00:00"/>
    <x v="1"/>
    <x v="1"/>
    <n v="12.5"/>
    <n v="24"/>
    <n v="0.1"/>
    <n v="270"/>
    <n v="31.794520547945204"/>
    <n v="12.5"/>
  </r>
  <r>
    <s v="ORD-2097"/>
    <d v="2025-08-08T00:00:00"/>
    <x v="2"/>
    <x v="2"/>
    <n v="35"/>
    <n v="47"/>
    <n v="0"/>
    <n v="1645"/>
    <n v="30.438356164383563"/>
    <n v="35"/>
  </r>
  <r>
    <s v="ORD-2098"/>
    <d v="2025-08-08T00:00:00"/>
    <x v="3"/>
    <x v="3"/>
    <n v="120"/>
    <n v="40"/>
    <n v="0"/>
    <n v="4800"/>
    <n v="30.473972602739725"/>
    <n v="120"/>
  </r>
  <r>
    <s v="ORD-2099"/>
    <d v="2025-08-08T00:00:00"/>
    <x v="4"/>
    <x v="4"/>
    <n v="25"/>
    <n v="41"/>
    <n v="0"/>
    <n v="1025"/>
    <n v="29.463013698630139"/>
    <n v="25"/>
  </r>
  <r>
    <s v="ORD-2100"/>
    <d v="2025-08-09T00:00:00"/>
    <x v="0"/>
    <x v="0"/>
    <n v="45"/>
    <n v="73"/>
    <n v="0"/>
    <n v="3285"/>
    <n v="31.479452054794521"/>
    <n v="45"/>
  </r>
  <r>
    <s v="ORD-2101"/>
    <d v="2025-08-09T00:00:00"/>
    <x v="1"/>
    <x v="1"/>
    <n v="12.5"/>
    <n v="18"/>
    <n v="0"/>
    <n v="225"/>
    <n v="31.794520547945204"/>
    <n v="12.5"/>
  </r>
  <r>
    <s v="ORD-2102"/>
    <d v="2025-08-09T00:00:00"/>
    <x v="2"/>
    <x v="2"/>
    <n v="35"/>
    <n v="46"/>
    <n v="0"/>
    <n v="1610"/>
    <n v="30.438356164383563"/>
    <n v="35"/>
  </r>
  <r>
    <s v="ORD-2103"/>
    <d v="2025-08-09T00:00:00"/>
    <x v="3"/>
    <x v="3"/>
    <n v="120"/>
    <n v="19"/>
    <n v="0"/>
    <n v="2280"/>
    <n v="30.473972602739725"/>
    <n v="120"/>
  </r>
  <r>
    <s v="ORD-2104"/>
    <d v="2025-08-09T00:00:00"/>
    <x v="4"/>
    <x v="4"/>
    <n v="25"/>
    <n v="16"/>
    <n v="0"/>
    <n v="400"/>
    <n v="29.463013698630139"/>
    <n v="25"/>
  </r>
  <r>
    <s v="ORD-2105"/>
    <d v="2025-08-10T00:00:00"/>
    <x v="0"/>
    <x v="0"/>
    <n v="45"/>
    <n v="33"/>
    <n v="0"/>
    <n v="1485"/>
    <n v="31.479452054794521"/>
    <n v="45"/>
  </r>
  <r>
    <s v="ORD-2106"/>
    <d v="2025-08-10T00:00:00"/>
    <x v="1"/>
    <x v="1"/>
    <n v="12.5"/>
    <n v="28"/>
    <n v="0.2"/>
    <n v="280"/>
    <n v="31.794520547945204"/>
    <n v="12.5"/>
  </r>
  <r>
    <s v="ORD-2107"/>
    <d v="2025-08-10T00:00:00"/>
    <x v="2"/>
    <x v="2"/>
    <n v="35"/>
    <n v="70"/>
    <n v="0"/>
    <n v="2450"/>
    <n v="30.438356164383563"/>
    <n v="35"/>
  </r>
  <r>
    <s v="ORD-2108"/>
    <d v="2025-08-10T00:00:00"/>
    <x v="3"/>
    <x v="3"/>
    <n v="120"/>
    <n v="19"/>
    <n v="0"/>
    <n v="2280"/>
    <n v="30.473972602739725"/>
    <n v="120"/>
  </r>
  <r>
    <s v="ORD-2109"/>
    <d v="2025-08-10T00:00:00"/>
    <x v="4"/>
    <x v="4"/>
    <n v="25"/>
    <n v="31"/>
    <n v="0"/>
    <n v="775"/>
    <n v="29.463013698630139"/>
    <n v="25"/>
  </r>
  <r>
    <s v="ORD-2110"/>
    <d v="2025-08-11T00:00:00"/>
    <x v="0"/>
    <x v="0"/>
    <n v="45"/>
    <n v="49"/>
    <n v="0"/>
    <n v="2205"/>
    <n v="31.479452054794521"/>
    <n v="45"/>
  </r>
  <r>
    <s v="ORD-2111"/>
    <d v="2025-08-11T00:00:00"/>
    <x v="1"/>
    <x v="1"/>
    <n v="12.5"/>
    <n v="38"/>
    <n v="0"/>
    <n v="475"/>
    <n v="31.794520547945204"/>
    <n v="12.5"/>
  </r>
  <r>
    <s v="ORD-2112"/>
    <d v="2025-08-11T00:00:00"/>
    <x v="2"/>
    <x v="2"/>
    <n v="35"/>
    <n v="26"/>
    <n v="0"/>
    <n v="910"/>
    <n v="30.438356164383563"/>
    <n v="35"/>
  </r>
  <r>
    <s v="ORD-2113"/>
    <d v="2025-08-11T00:00:00"/>
    <x v="3"/>
    <x v="3"/>
    <n v="120"/>
    <n v="46"/>
    <n v="0"/>
    <n v="5520"/>
    <n v="30.473972602739725"/>
    <n v="120"/>
  </r>
  <r>
    <s v="ORD-2114"/>
    <d v="2025-08-11T00:00:00"/>
    <x v="4"/>
    <x v="4"/>
    <n v="25"/>
    <n v="21"/>
    <n v="0"/>
    <n v="525"/>
    <n v="29.463013698630139"/>
    <n v="25"/>
  </r>
  <r>
    <s v="ORD-2115"/>
    <d v="2025-08-12T00:00:00"/>
    <x v="0"/>
    <x v="0"/>
    <n v="45"/>
    <n v="44"/>
    <n v="0"/>
    <n v="1980"/>
    <n v="31.479452054794521"/>
    <n v="45"/>
  </r>
  <r>
    <s v="ORD-2116"/>
    <d v="2025-08-12T00:00:00"/>
    <x v="1"/>
    <x v="1"/>
    <n v="12.5"/>
    <n v="34"/>
    <n v="0"/>
    <n v="425"/>
    <n v="31.794520547945204"/>
    <n v="12.5"/>
  </r>
  <r>
    <s v="ORD-2117"/>
    <d v="2025-08-12T00:00:00"/>
    <x v="2"/>
    <x v="2"/>
    <n v="35"/>
    <n v="27"/>
    <n v="0"/>
    <n v="945"/>
    <n v="30.438356164383563"/>
    <n v="35"/>
  </r>
  <r>
    <s v="ORD-2118"/>
    <d v="2025-08-12T00:00:00"/>
    <x v="3"/>
    <x v="3"/>
    <n v="120"/>
    <n v="27"/>
    <n v="0"/>
    <n v="3240"/>
    <n v="30.473972602739725"/>
    <n v="120"/>
  </r>
  <r>
    <s v="ORD-2119"/>
    <d v="2025-08-12T00:00:00"/>
    <x v="4"/>
    <x v="4"/>
    <n v="25"/>
    <n v="23"/>
    <n v="0.1"/>
    <n v="517.5"/>
    <n v="29.463013698630139"/>
    <n v="25"/>
  </r>
  <r>
    <s v="ORD-2120"/>
    <d v="2025-08-13T00:00:00"/>
    <x v="0"/>
    <x v="0"/>
    <n v="45"/>
    <n v="46"/>
    <n v="0"/>
    <n v="2070"/>
    <n v="31.479452054794521"/>
    <n v="45"/>
  </r>
  <r>
    <s v="ORD-2121"/>
    <d v="2025-08-13T00:00:00"/>
    <x v="1"/>
    <x v="1"/>
    <n v="12.5"/>
    <n v="11"/>
    <n v="0.1"/>
    <n v="123.75"/>
    <n v="31.794520547945204"/>
    <n v="12.5"/>
  </r>
  <r>
    <s v="ORD-2122"/>
    <d v="2025-08-13T00:00:00"/>
    <x v="2"/>
    <x v="2"/>
    <n v="35"/>
    <n v="47"/>
    <n v="0"/>
    <n v="1645"/>
    <n v="30.438356164383563"/>
    <n v="35"/>
  </r>
  <r>
    <s v="ORD-2123"/>
    <d v="2025-08-13T00:00:00"/>
    <x v="3"/>
    <x v="3"/>
    <n v="120"/>
    <n v="15"/>
    <n v="0"/>
    <n v="1800"/>
    <n v="30.473972602739725"/>
    <n v="120"/>
  </r>
  <r>
    <s v="ORD-2124"/>
    <d v="2025-08-13T00:00:00"/>
    <x v="4"/>
    <x v="4"/>
    <n v="25"/>
    <n v="35"/>
    <n v="0.2"/>
    <n v="700"/>
    <n v="29.463013698630139"/>
    <n v="25"/>
  </r>
  <r>
    <s v="ORD-2125"/>
    <d v="2025-08-14T00:00:00"/>
    <x v="0"/>
    <x v="0"/>
    <n v="45"/>
    <n v="30"/>
    <n v="0.1"/>
    <n v="1215"/>
    <n v="31.479452054794521"/>
    <n v="45"/>
  </r>
  <r>
    <s v="ORD-2126"/>
    <d v="2025-08-14T00:00:00"/>
    <x v="1"/>
    <x v="1"/>
    <n v="12.5"/>
    <n v="8"/>
    <n v="0"/>
    <n v="100"/>
    <n v="31.794520547945204"/>
    <n v="12.5"/>
  </r>
  <r>
    <s v="ORD-2127"/>
    <d v="2025-08-14T00:00:00"/>
    <x v="2"/>
    <x v="2"/>
    <n v="35"/>
    <n v="49"/>
    <n v="0"/>
    <n v="1715"/>
    <n v="30.438356164383563"/>
    <n v="35"/>
  </r>
  <r>
    <s v="ORD-2128"/>
    <d v="2025-08-14T00:00:00"/>
    <x v="3"/>
    <x v="3"/>
    <n v="120"/>
    <n v="19"/>
    <n v="0"/>
    <n v="2280"/>
    <n v="30.473972602739725"/>
    <n v="120"/>
  </r>
  <r>
    <s v="ORD-2129"/>
    <d v="2025-08-14T00:00:00"/>
    <x v="4"/>
    <x v="4"/>
    <n v="25"/>
    <n v="49"/>
    <n v="0"/>
    <n v="1225"/>
    <n v="29.463013698630139"/>
    <n v="25"/>
  </r>
  <r>
    <s v="ORD-2130"/>
    <d v="2025-08-15T00:00:00"/>
    <x v="0"/>
    <x v="0"/>
    <n v="45"/>
    <n v="16"/>
    <n v="0.1"/>
    <n v="648"/>
    <n v="31.479452054794521"/>
    <n v="45"/>
  </r>
  <r>
    <s v="ORD-2131"/>
    <d v="2025-08-15T00:00:00"/>
    <x v="1"/>
    <x v="1"/>
    <n v="12.5"/>
    <n v="17"/>
    <n v="0"/>
    <n v="212.5"/>
    <n v="31.794520547945204"/>
    <n v="12.5"/>
  </r>
  <r>
    <s v="ORD-2132"/>
    <d v="2025-08-15T00:00:00"/>
    <x v="2"/>
    <x v="2"/>
    <n v="35"/>
    <n v="35"/>
    <n v="0"/>
    <n v="1225"/>
    <n v="30.438356164383563"/>
    <n v="35"/>
  </r>
  <r>
    <s v="ORD-2133"/>
    <d v="2025-08-15T00:00:00"/>
    <x v="3"/>
    <x v="3"/>
    <n v="120"/>
    <n v="14"/>
    <n v="0"/>
    <n v="1680"/>
    <n v="30.473972602739725"/>
    <n v="120"/>
  </r>
  <r>
    <s v="ORD-2134"/>
    <d v="2025-08-15T00:00:00"/>
    <x v="4"/>
    <x v="4"/>
    <n v="25"/>
    <n v="44"/>
    <n v="0"/>
    <n v="1100"/>
    <n v="29.463013698630139"/>
    <n v="25"/>
  </r>
  <r>
    <s v="ORD-2135"/>
    <d v="2025-08-16T00:00:00"/>
    <x v="0"/>
    <x v="0"/>
    <n v="45"/>
    <n v="46"/>
    <n v="0.1"/>
    <n v="1863"/>
    <n v="31.479452054794521"/>
    <n v="45"/>
  </r>
  <r>
    <s v="ORD-2136"/>
    <d v="2025-08-16T00:00:00"/>
    <x v="1"/>
    <x v="1"/>
    <n v="12.5"/>
    <n v="73"/>
    <n v="0"/>
    <n v="912.5"/>
    <n v="31.794520547945204"/>
    <n v="12.5"/>
  </r>
  <r>
    <s v="ORD-2137"/>
    <d v="2025-08-16T00:00:00"/>
    <x v="2"/>
    <x v="2"/>
    <n v="35"/>
    <n v="9"/>
    <n v="0"/>
    <n v="315"/>
    <n v="30.438356164383563"/>
    <n v="35"/>
  </r>
  <r>
    <s v="ORD-2138"/>
    <d v="2025-08-16T00:00:00"/>
    <x v="3"/>
    <x v="3"/>
    <n v="120"/>
    <n v="70"/>
    <n v="0"/>
    <n v="8400"/>
    <n v="30.473972602739725"/>
    <n v="120"/>
  </r>
  <r>
    <s v="ORD-2139"/>
    <d v="2025-08-16T00:00:00"/>
    <x v="4"/>
    <x v="4"/>
    <n v="25"/>
    <n v="34"/>
    <n v="0"/>
    <n v="850"/>
    <n v="29.463013698630139"/>
    <n v="25"/>
  </r>
  <r>
    <s v="ORD-2140"/>
    <d v="2025-08-17T00:00:00"/>
    <x v="0"/>
    <x v="0"/>
    <n v="45"/>
    <n v="10"/>
    <n v="0.1"/>
    <n v="405"/>
    <n v="31.479452054794521"/>
    <n v="45"/>
  </r>
  <r>
    <s v="ORD-2141"/>
    <d v="2025-08-17T00:00:00"/>
    <x v="1"/>
    <x v="1"/>
    <n v="12.5"/>
    <n v="36"/>
    <n v="0.1"/>
    <n v="405"/>
    <n v="31.794520547945204"/>
    <n v="12.5"/>
  </r>
  <r>
    <s v="ORD-2142"/>
    <d v="2025-08-17T00:00:00"/>
    <x v="2"/>
    <x v="2"/>
    <n v="35"/>
    <n v="36"/>
    <n v="0"/>
    <n v="1260"/>
    <n v="30.438356164383563"/>
    <n v="35"/>
  </r>
  <r>
    <s v="ORD-2143"/>
    <d v="2025-08-17T00:00:00"/>
    <x v="3"/>
    <x v="3"/>
    <n v="120"/>
    <n v="60"/>
    <n v="0"/>
    <n v="7200"/>
    <n v="30.473972602739725"/>
    <n v="120"/>
  </r>
  <r>
    <s v="ORD-2144"/>
    <d v="2025-08-17T00:00:00"/>
    <x v="4"/>
    <x v="4"/>
    <n v="25"/>
    <n v="30"/>
    <n v="0.2"/>
    <n v="600"/>
    <n v="29.463013698630139"/>
    <n v="25"/>
  </r>
  <r>
    <s v="ORD-2145"/>
    <d v="2025-08-18T00:00:00"/>
    <x v="0"/>
    <x v="0"/>
    <n v="45"/>
    <n v="37"/>
    <n v="0"/>
    <n v="1665"/>
    <n v="31.479452054794521"/>
    <n v="45"/>
  </r>
  <r>
    <s v="ORD-2146"/>
    <d v="2025-08-18T00:00:00"/>
    <x v="1"/>
    <x v="1"/>
    <n v="12.5"/>
    <n v="33"/>
    <n v="0.2"/>
    <n v="330"/>
    <n v="31.794520547945204"/>
    <n v="12.5"/>
  </r>
  <r>
    <s v="ORD-2147"/>
    <d v="2025-08-18T00:00:00"/>
    <x v="2"/>
    <x v="2"/>
    <n v="35"/>
    <n v="30"/>
    <n v="0"/>
    <n v="1050"/>
    <n v="30.438356164383563"/>
    <n v="35"/>
  </r>
  <r>
    <s v="ORD-2148"/>
    <d v="2025-08-18T00:00:00"/>
    <x v="3"/>
    <x v="3"/>
    <n v="120"/>
    <n v="7"/>
    <n v="0"/>
    <n v="840"/>
    <n v="30.473972602739725"/>
    <n v="120"/>
  </r>
  <r>
    <s v="ORD-2149"/>
    <d v="2025-08-18T00:00:00"/>
    <x v="4"/>
    <x v="4"/>
    <n v="25"/>
    <n v="8"/>
    <n v="0"/>
    <n v="200"/>
    <n v="29.463013698630139"/>
    <n v="25"/>
  </r>
  <r>
    <s v="ORD-2150"/>
    <d v="2025-08-19T00:00:00"/>
    <x v="0"/>
    <x v="0"/>
    <n v="45"/>
    <n v="47"/>
    <n v="0"/>
    <n v="2115"/>
    <n v="31.479452054794521"/>
    <n v="45"/>
  </r>
  <r>
    <s v="ORD-2151"/>
    <d v="2025-08-19T00:00:00"/>
    <x v="1"/>
    <x v="1"/>
    <n v="12.5"/>
    <n v="25"/>
    <n v="0.1"/>
    <n v="281.25"/>
    <n v="31.794520547945204"/>
    <n v="12.5"/>
  </r>
  <r>
    <s v="ORD-2152"/>
    <d v="2025-08-19T00:00:00"/>
    <x v="2"/>
    <x v="2"/>
    <n v="35"/>
    <n v="25"/>
    <n v="0"/>
    <n v="875"/>
    <n v="30.438356164383563"/>
    <n v="35"/>
  </r>
  <r>
    <s v="ORD-2153"/>
    <d v="2025-08-19T00:00:00"/>
    <x v="3"/>
    <x v="3"/>
    <n v="120"/>
    <n v="27"/>
    <n v="0"/>
    <n v="3240"/>
    <n v="30.473972602739725"/>
    <n v="120"/>
  </r>
  <r>
    <s v="ORD-2154"/>
    <d v="2025-08-19T00:00:00"/>
    <x v="4"/>
    <x v="4"/>
    <n v="25"/>
    <n v="37"/>
    <n v="0"/>
    <n v="925"/>
    <n v="29.463013698630139"/>
    <n v="25"/>
  </r>
  <r>
    <s v="ORD-2155"/>
    <d v="2025-08-20T00:00:00"/>
    <x v="0"/>
    <x v="0"/>
    <n v="45"/>
    <n v="36"/>
    <n v="0"/>
    <n v="1620"/>
    <n v="31.479452054794521"/>
    <n v="45"/>
  </r>
  <r>
    <s v="ORD-2156"/>
    <d v="2025-08-20T00:00:00"/>
    <x v="1"/>
    <x v="1"/>
    <n v="12.5"/>
    <n v="11"/>
    <n v="0"/>
    <n v="137.5"/>
    <n v="31.794520547945204"/>
    <n v="12.5"/>
  </r>
  <r>
    <s v="ORD-2157"/>
    <d v="2025-08-20T00:00:00"/>
    <x v="2"/>
    <x v="2"/>
    <n v="35"/>
    <n v="41"/>
    <n v="0.2"/>
    <n v="1148"/>
    <n v="30.438356164383563"/>
    <n v="35"/>
  </r>
  <r>
    <s v="ORD-2158"/>
    <d v="2025-08-20T00:00:00"/>
    <x v="3"/>
    <x v="3"/>
    <n v="120"/>
    <n v="24"/>
    <n v="0.1"/>
    <n v="2592"/>
    <n v="30.473972602739725"/>
    <n v="120"/>
  </r>
  <r>
    <s v="ORD-2159"/>
    <d v="2025-08-20T00:00:00"/>
    <x v="4"/>
    <x v="4"/>
    <n v="25"/>
    <n v="41"/>
    <n v="0.1"/>
    <n v="922.5"/>
    <n v="29.463013698630139"/>
    <n v="25"/>
  </r>
  <r>
    <s v="ORD-2160"/>
    <d v="2025-08-21T00:00:00"/>
    <x v="0"/>
    <x v="0"/>
    <n v="45"/>
    <n v="28"/>
    <n v="0"/>
    <n v="1260"/>
    <n v="31.479452054794521"/>
    <n v="45"/>
  </r>
  <r>
    <s v="ORD-2161"/>
    <d v="2025-08-21T00:00:00"/>
    <x v="1"/>
    <x v="1"/>
    <n v="12.5"/>
    <n v="31"/>
    <n v="0.1"/>
    <n v="348.75"/>
    <n v="31.794520547945204"/>
    <n v="12.5"/>
  </r>
  <r>
    <s v="ORD-2162"/>
    <d v="2025-08-21T00:00:00"/>
    <x v="2"/>
    <x v="2"/>
    <n v="35"/>
    <n v="31"/>
    <n v="0"/>
    <n v="1085"/>
    <n v="30.438356164383563"/>
    <n v="35"/>
  </r>
  <r>
    <s v="ORD-2163"/>
    <d v="2025-08-21T00:00:00"/>
    <x v="3"/>
    <x v="3"/>
    <n v="120"/>
    <n v="13"/>
    <n v="0.1"/>
    <n v="1404"/>
    <n v="30.473972602739725"/>
    <n v="120"/>
  </r>
  <r>
    <s v="ORD-2164"/>
    <d v="2025-08-21T00:00:00"/>
    <x v="4"/>
    <x v="4"/>
    <n v="25"/>
    <n v="36"/>
    <n v="0.1"/>
    <n v="810"/>
    <n v="29.463013698630139"/>
    <n v="25"/>
  </r>
  <r>
    <s v="ORD-2165"/>
    <d v="2025-08-22T00:00:00"/>
    <x v="0"/>
    <x v="0"/>
    <n v="45"/>
    <n v="15"/>
    <n v="0.1"/>
    <n v="607.5"/>
    <n v="31.479452054794521"/>
    <n v="45"/>
  </r>
  <r>
    <s v="ORD-2166"/>
    <d v="2025-08-22T00:00:00"/>
    <x v="1"/>
    <x v="1"/>
    <n v="12.5"/>
    <n v="41"/>
    <n v="0.1"/>
    <n v="461.25"/>
    <n v="31.794520547945204"/>
    <n v="12.5"/>
  </r>
  <r>
    <s v="ORD-2167"/>
    <d v="2025-08-22T00:00:00"/>
    <x v="2"/>
    <x v="2"/>
    <n v="35"/>
    <n v="35"/>
    <n v="0.1"/>
    <n v="1102.5"/>
    <n v="30.438356164383563"/>
    <n v="35"/>
  </r>
  <r>
    <s v="ORD-2168"/>
    <d v="2025-08-22T00:00:00"/>
    <x v="3"/>
    <x v="3"/>
    <n v="120"/>
    <n v="33"/>
    <n v="0"/>
    <n v="3960"/>
    <n v="30.473972602739725"/>
    <n v="120"/>
  </r>
  <r>
    <s v="ORD-2169"/>
    <d v="2025-08-22T00:00:00"/>
    <x v="4"/>
    <x v="4"/>
    <n v="25"/>
    <n v="25"/>
    <n v="0"/>
    <n v="625"/>
    <n v="29.463013698630139"/>
    <n v="25"/>
  </r>
  <r>
    <s v="ORD-2170"/>
    <d v="2025-08-23T00:00:00"/>
    <x v="0"/>
    <x v="0"/>
    <n v="45"/>
    <n v="48"/>
    <n v="0.2"/>
    <n v="1728"/>
    <n v="31.479452054794521"/>
    <n v="45"/>
  </r>
  <r>
    <s v="ORD-2171"/>
    <d v="2025-08-23T00:00:00"/>
    <x v="1"/>
    <x v="1"/>
    <n v="12.5"/>
    <n v="49"/>
    <n v="0.1"/>
    <n v="551.25"/>
    <n v="31.794520547945204"/>
    <n v="12.5"/>
  </r>
  <r>
    <s v="ORD-2172"/>
    <d v="2025-08-23T00:00:00"/>
    <x v="2"/>
    <x v="2"/>
    <n v="35"/>
    <n v="7"/>
    <n v="0"/>
    <n v="245"/>
    <n v="30.438356164383563"/>
    <n v="35"/>
  </r>
  <r>
    <s v="ORD-2173"/>
    <d v="2025-08-23T00:00:00"/>
    <x v="3"/>
    <x v="3"/>
    <n v="120"/>
    <n v="16"/>
    <n v="0"/>
    <n v="1920"/>
    <n v="30.473972602739725"/>
    <n v="120"/>
  </r>
  <r>
    <s v="ORD-2174"/>
    <d v="2025-08-23T00:00:00"/>
    <x v="4"/>
    <x v="4"/>
    <n v="25"/>
    <n v="55"/>
    <n v="0"/>
    <n v="1375"/>
    <n v="29.463013698630139"/>
    <n v="25"/>
  </r>
  <r>
    <s v="ORD-2175"/>
    <d v="2025-08-24T00:00:00"/>
    <x v="0"/>
    <x v="0"/>
    <n v="45"/>
    <n v="42"/>
    <n v="0.1"/>
    <n v="1701"/>
    <n v="31.479452054794521"/>
    <n v="45"/>
  </r>
  <r>
    <s v="ORD-2176"/>
    <d v="2025-08-24T00:00:00"/>
    <x v="1"/>
    <x v="1"/>
    <n v="12.5"/>
    <n v="52"/>
    <n v="0"/>
    <n v="650"/>
    <n v="31.794520547945204"/>
    <n v="12.5"/>
  </r>
  <r>
    <s v="ORD-2177"/>
    <d v="2025-08-24T00:00:00"/>
    <x v="2"/>
    <x v="2"/>
    <n v="35"/>
    <n v="60"/>
    <n v="0.1"/>
    <n v="1890"/>
    <n v="30.438356164383563"/>
    <n v="35"/>
  </r>
  <r>
    <s v="ORD-2178"/>
    <d v="2025-08-24T00:00:00"/>
    <x v="3"/>
    <x v="3"/>
    <n v="120"/>
    <n v="66"/>
    <n v="0"/>
    <n v="7920"/>
    <n v="30.473972602739725"/>
    <n v="120"/>
  </r>
  <r>
    <s v="ORD-2179"/>
    <d v="2025-08-24T00:00:00"/>
    <x v="4"/>
    <x v="4"/>
    <n v="25"/>
    <n v="13"/>
    <n v="0"/>
    <n v="325"/>
    <n v="29.463013698630139"/>
    <n v="25"/>
  </r>
  <r>
    <s v="ORD-2180"/>
    <d v="2025-08-25T00:00:00"/>
    <x v="0"/>
    <x v="0"/>
    <n v="45"/>
    <n v="31"/>
    <n v="0.1"/>
    <n v="1255.5"/>
    <n v="31.479452054794521"/>
    <n v="45"/>
  </r>
  <r>
    <s v="ORD-2181"/>
    <d v="2025-08-25T00:00:00"/>
    <x v="1"/>
    <x v="1"/>
    <n v="12.5"/>
    <n v="32"/>
    <n v="0.1"/>
    <n v="360"/>
    <n v="31.794520547945204"/>
    <n v="12.5"/>
  </r>
  <r>
    <s v="ORD-2182"/>
    <d v="2025-08-25T00:00:00"/>
    <x v="2"/>
    <x v="2"/>
    <n v="35"/>
    <n v="6"/>
    <n v="0.2"/>
    <n v="168"/>
    <n v="30.438356164383563"/>
    <n v="35"/>
  </r>
  <r>
    <s v="ORD-2183"/>
    <d v="2025-08-25T00:00:00"/>
    <x v="3"/>
    <x v="3"/>
    <n v="120"/>
    <n v="27"/>
    <n v="0.1"/>
    <n v="2916"/>
    <n v="30.473972602739725"/>
    <n v="120"/>
  </r>
  <r>
    <s v="ORD-2184"/>
    <d v="2025-08-25T00:00:00"/>
    <x v="4"/>
    <x v="4"/>
    <n v="25"/>
    <n v="7"/>
    <n v="0"/>
    <n v="175"/>
    <n v="29.463013698630139"/>
    <n v="25"/>
  </r>
  <r>
    <s v="ORD-2185"/>
    <d v="2025-08-26T00:00:00"/>
    <x v="0"/>
    <x v="0"/>
    <n v="45"/>
    <n v="42"/>
    <n v="0"/>
    <n v="1890"/>
    <n v="31.479452054794521"/>
    <n v="45"/>
  </r>
  <r>
    <s v="ORD-2186"/>
    <d v="2025-08-26T00:00:00"/>
    <x v="1"/>
    <x v="1"/>
    <n v="12.5"/>
    <n v="9"/>
    <n v="0"/>
    <n v="112.5"/>
    <n v="31.794520547945204"/>
    <n v="12.5"/>
  </r>
  <r>
    <s v="ORD-2187"/>
    <d v="2025-08-26T00:00:00"/>
    <x v="2"/>
    <x v="2"/>
    <n v="35"/>
    <n v="35"/>
    <n v="0.2"/>
    <n v="980"/>
    <n v="30.438356164383563"/>
    <n v="35"/>
  </r>
  <r>
    <s v="ORD-2188"/>
    <d v="2025-08-26T00:00:00"/>
    <x v="3"/>
    <x v="3"/>
    <n v="120"/>
    <n v="31"/>
    <n v="0"/>
    <n v="3720"/>
    <n v="30.473972602739725"/>
    <n v="120"/>
  </r>
  <r>
    <s v="ORD-2189"/>
    <d v="2025-08-26T00:00:00"/>
    <x v="4"/>
    <x v="4"/>
    <n v="25"/>
    <n v="33"/>
    <n v="0"/>
    <n v="825"/>
    <n v="29.463013698630139"/>
    <n v="25"/>
  </r>
  <r>
    <s v="ORD-2190"/>
    <d v="2025-08-27T00:00:00"/>
    <x v="0"/>
    <x v="0"/>
    <n v="45"/>
    <n v="10"/>
    <n v="0"/>
    <n v="450"/>
    <n v="31.479452054794521"/>
    <n v="45"/>
  </r>
  <r>
    <s v="ORD-2191"/>
    <d v="2025-08-27T00:00:00"/>
    <x v="1"/>
    <x v="1"/>
    <n v="12.5"/>
    <n v="17"/>
    <n v="0"/>
    <n v="212.5"/>
    <n v="31.794520547945204"/>
    <n v="12.5"/>
  </r>
  <r>
    <s v="ORD-2192"/>
    <d v="2025-08-27T00:00:00"/>
    <x v="2"/>
    <x v="2"/>
    <n v="35"/>
    <n v="48"/>
    <n v="0"/>
    <n v="1680"/>
    <n v="30.438356164383563"/>
    <n v="35"/>
  </r>
  <r>
    <s v="ORD-2193"/>
    <d v="2025-08-27T00:00:00"/>
    <x v="3"/>
    <x v="3"/>
    <n v="120"/>
    <n v="46"/>
    <n v="0"/>
    <n v="5520"/>
    <n v="30.473972602739725"/>
    <n v="120"/>
  </r>
  <r>
    <s v="ORD-2194"/>
    <d v="2025-08-27T00:00:00"/>
    <x v="4"/>
    <x v="4"/>
    <n v="25"/>
    <n v="17"/>
    <n v="0"/>
    <n v="425"/>
    <n v="29.463013698630139"/>
    <n v="25"/>
  </r>
  <r>
    <s v="ORD-2195"/>
    <d v="2025-08-28T00:00:00"/>
    <x v="0"/>
    <x v="0"/>
    <n v="45"/>
    <n v="25"/>
    <n v="0"/>
    <n v="1125"/>
    <n v="31.479452054794521"/>
    <n v="45"/>
  </r>
  <r>
    <s v="ORD-2196"/>
    <d v="2025-08-28T00:00:00"/>
    <x v="1"/>
    <x v="1"/>
    <n v="12.5"/>
    <n v="47"/>
    <n v="0"/>
    <n v="587.5"/>
    <n v="31.794520547945204"/>
    <n v="12.5"/>
  </r>
  <r>
    <s v="ORD-2197"/>
    <d v="2025-08-28T00:00:00"/>
    <x v="2"/>
    <x v="2"/>
    <n v="35"/>
    <n v="29"/>
    <n v="0.2"/>
    <n v="812"/>
    <n v="30.438356164383563"/>
    <n v="35"/>
  </r>
  <r>
    <s v="ORD-2198"/>
    <d v="2025-08-28T00:00:00"/>
    <x v="3"/>
    <x v="3"/>
    <n v="120"/>
    <n v="43"/>
    <n v="0.2"/>
    <n v="4128"/>
    <n v="30.473972602739725"/>
    <n v="120"/>
  </r>
  <r>
    <s v="ORD-2199"/>
    <d v="2025-08-28T00:00:00"/>
    <x v="4"/>
    <x v="4"/>
    <n v="25"/>
    <n v="11"/>
    <n v="0.1"/>
    <n v="247.5"/>
    <n v="29.463013698630139"/>
    <n v="25"/>
  </r>
  <r>
    <s v="ORD-2200"/>
    <d v="2025-08-29T00:00:00"/>
    <x v="0"/>
    <x v="0"/>
    <n v="45"/>
    <n v="46"/>
    <n v="0"/>
    <n v="2070"/>
    <n v="31.479452054794521"/>
    <n v="45"/>
  </r>
  <r>
    <s v="ORD-2201"/>
    <d v="2025-08-29T00:00:00"/>
    <x v="1"/>
    <x v="1"/>
    <n v="12.5"/>
    <n v="19"/>
    <n v="0"/>
    <n v="237.5"/>
    <n v="31.794520547945204"/>
    <n v="12.5"/>
  </r>
  <r>
    <s v="ORD-2202"/>
    <d v="2025-08-29T00:00:00"/>
    <x v="2"/>
    <x v="2"/>
    <n v="35"/>
    <n v="31"/>
    <n v="0"/>
    <n v="1085"/>
    <n v="30.438356164383563"/>
    <n v="35"/>
  </r>
  <r>
    <s v="ORD-2203"/>
    <d v="2025-08-29T00:00:00"/>
    <x v="3"/>
    <x v="3"/>
    <n v="120"/>
    <n v="34"/>
    <n v="0"/>
    <n v="4080"/>
    <n v="30.473972602739725"/>
    <n v="120"/>
  </r>
  <r>
    <s v="ORD-2204"/>
    <d v="2025-08-29T00:00:00"/>
    <x v="4"/>
    <x v="4"/>
    <n v="25"/>
    <n v="32"/>
    <n v="0.1"/>
    <n v="720"/>
    <n v="29.463013698630139"/>
    <n v="25"/>
  </r>
  <r>
    <s v="ORD-2205"/>
    <d v="2025-08-30T00:00:00"/>
    <x v="0"/>
    <x v="0"/>
    <n v="45"/>
    <n v="30"/>
    <n v="0"/>
    <n v="1350"/>
    <n v="31.479452054794521"/>
    <n v="45"/>
  </r>
  <r>
    <s v="ORD-2206"/>
    <d v="2025-08-30T00:00:00"/>
    <x v="1"/>
    <x v="1"/>
    <n v="12.5"/>
    <n v="73"/>
    <n v="0"/>
    <n v="912.5"/>
    <n v="31.794520547945204"/>
    <n v="12.5"/>
  </r>
  <r>
    <s v="ORD-2207"/>
    <d v="2025-08-30T00:00:00"/>
    <x v="2"/>
    <x v="2"/>
    <n v="35"/>
    <n v="34"/>
    <n v="0"/>
    <n v="1190"/>
    <n v="30.438356164383563"/>
    <n v="35"/>
  </r>
  <r>
    <s v="ORD-2208"/>
    <d v="2025-08-30T00:00:00"/>
    <x v="3"/>
    <x v="3"/>
    <n v="120"/>
    <n v="61"/>
    <n v="0"/>
    <n v="7320"/>
    <n v="30.473972602739725"/>
    <n v="120"/>
  </r>
  <r>
    <s v="ORD-2209"/>
    <d v="2025-08-30T00:00:00"/>
    <x v="4"/>
    <x v="4"/>
    <n v="25"/>
    <n v="13"/>
    <n v="0"/>
    <n v="325"/>
    <n v="29.463013698630139"/>
    <n v="25"/>
  </r>
  <r>
    <s v="ORD-2210"/>
    <d v="2025-08-31T00:00:00"/>
    <x v="0"/>
    <x v="0"/>
    <n v="45"/>
    <n v="67"/>
    <n v="0"/>
    <n v="3015"/>
    <n v="31.479452054794521"/>
    <n v="45"/>
  </r>
  <r>
    <s v="ORD-2211"/>
    <d v="2025-08-31T00:00:00"/>
    <x v="1"/>
    <x v="1"/>
    <n v="12.5"/>
    <n v="27"/>
    <n v="0"/>
    <n v="337.5"/>
    <n v="31.794520547945204"/>
    <n v="12.5"/>
  </r>
  <r>
    <s v="ORD-2212"/>
    <d v="2025-08-31T00:00:00"/>
    <x v="2"/>
    <x v="2"/>
    <n v="35"/>
    <n v="30"/>
    <n v="0"/>
    <n v="1050"/>
    <n v="30.438356164383563"/>
    <n v="35"/>
  </r>
  <r>
    <s v="ORD-2213"/>
    <d v="2025-08-31T00:00:00"/>
    <x v="3"/>
    <x v="3"/>
    <n v="120"/>
    <n v="18"/>
    <n v="0"/>
    <n v="2160"/>
    <n v="30.473972602739725"/>
    <n v="120"/>
  </r>
  <r>
    <s v="ORD-2214"/>
    <d v="2025-08-31T00:00:00"/>
    <x v="4"/>
    <x v="4"/>
    <n v="25"/>
    <n v="54"/>
    <n v="0"/>
    <n v="1350"/>
    <n v="29.463013698630139"/>
    <n v="25"/>
  </r>
  <r>
    <s v="ORD-2215"/>
    <d v="2025-09-01T00:00:00"/>
    <x v="0"/>
    <x v="0"/>
    <n v="45"/>
    <n v="19"/>
    <n v="0"/>
    <n v="855"/>
    <n v="31.479452054794521"/>
    <n v="45"/>
  </r>
  <r>
    <s v="ORD-2216"/>
    <d v="2025-09-01T00:00:00"/>
    <x v="1"/>
    <x v="1"/>
    <n v="12.5"/>
    <n v="9"/>
    <n v="0"/>
    <n v="112.5"/>
    <n v="31.794520547945204"/>
    <n v="12.5"/>
  </r>
  <r>
    <s v="ORD-2217"/>
    <d v="2025-09-01T00:00:00"/>
    <x v="2"/>
    <x v="2"/>
    <n v="35"/>
    <n v="49"/>
    <n v="0"/>
    <n v="1715"/>
    <n v="30.438356164383563"/>
    <n v="35"/>
  </r>
  <r>
    <s v="ORD-2218"/>
    <d v="2025-09-01T00:00:00"/>
    <x v="3"/>
    <x v="3"/>
    <n v="120"/>
    <n v="45"/>
    <n v="0.2"/>
    <n v="4320"/>
    <n v="30.473972602739725"/>
    <n v="120"/>
  </r>
  <r>
    <s v="ORD-2219"/>
    <d v="2025-09-01T00:00:00"/>
    <x v="4"/>
    <x v="4"/>
    <n v="25"/>
    <n v="22"/>
    <n v="0"/>
    <n v="550"/>
    <n v="29.463013698630139"/>
    <n v="25"/>
  </r>
  <r>
    <s v="ORD-2220"/>
    <d v="2025-09-02T00:00:00"/>
    <x v="0"/>
    <x v="0"/>
    <n v="45"/>
    <n v="16"/>
    <n v="0"/>
    <n v="720"/>
    <n v="31.479452054794521"/>
    <n v="45"/>
  </r>
  <r>
    <s v="ORD-2221"/>
    <d v="2025-09-02T00:00:00"/>
    <x v="1"/>
    <x v="1"/>
    <n v="12.5"/>
    <n v="9"/>
    <n v="0"/>
    <n v="112.5"/>
    <n v="31.794520547945204"/>
    <n v="12.5"/>
  </r>
  <r>
    <s v="ORD-2222"/>
    <d v="2025-09-02T00:00:00"/>
    <x v="2"/>
    <x v="2"/>
    <n v="35"/>
    <n v="8"/>
    <n v="0"/>
    <n v="280"/>
    <n v="30.438356164383563"/>
    <n v="35"/>
  </r>
  <r>
    <s v="ORD-2223"/>
    <d v="2025-09-02T00:00:00"/>
    <x v="3"/>
    <x v="3"/>
    <n v="120"/>
    <n v="29"/>
    <n v="0"/>
    <n v="3480"/>
    <n v="30.473972602739725"/>
    <n v="120"/>
  </r>
  <r>
    <s v="ORD-2224"/>
    <d v="2025-09-02T00:00:00"/>
    <x v="4"/>
    <x v="4"/>
    <n v="25"/>
    <n v="10"/>
    <n v="0"/>
    <n v="250"/>
    <n v="29.463013698630139"/>
    <n v="25"/>
  </r>
  <r>
    <s v="ORD-2225"/>
    <d v="2025-09-03T00:00:00"/>
    <x v="0"/>
    <x v="0"/>
    <n v="45"/>
    <n v="41"/>
    <n v="0"/>
    <n v="1845"/>
    <n v="31.479452054794521"/>
    <n v="45"/>
  </r>
  <r>
    <s v="ORD-2226"/>
    <d v="2025-09-03T00:00:00"/>
    <x v="1"/>
    <x v="1"/>
    <n v="12.5"/>
    <n v="7"/>
    <n v="0"/>
    <n v="87.5"/>
    <n v="31.794520547945204"/>
    <n v="12.5"/>
  </r>
  <r>
    <s v="ORD-2227"/>
    <d v="2025-09-03T00:00:00"/>
    <x v="2"/>
    <x v="2"/>
    <n v="35"/>
    <n v="9"/>
    <n v="0"/>
    <n v="315"/>
    <n v="30.438356164383563"/>
    <n v="35"/>
  </r>
  <r>
    <s v="ORD-2228"/>
    <d v="2025-09-03T00:00:00"/>
    <x v="3"/>
    <x v="3"/>
    <n v="120"/>
    <n v="32"/>
    <n v="0"/>
    <n v="3840"/>
    <n v="30.473972602739725"/>
    <n v="120"/>
  </r>
  <r>
    <s v="ORD-2229"/>
    <d v="2025-09-03T00:00:00"/>
    <x v="4"/>
    <x v="4"/>
    <n v="25"/>
    <n v="25"/>
    <n v="0"/>
    <n v="625"/>
    <n v="29.463013698630139"/>
    <n v="25"/>
  </r>
  <r>
    <s v="ORD-2230"/>
    <d v="2025-09-04T00:00:00"/>
    <x v="0"/>
    <x v="0"/>
    <n v="45"/>
    <n v="30"/>
    <n v="0.1"/>
    <n v="1215"/>
    <n v="31.479452054794521"/>
    <n v="45"/>
  </r>
  <r>
    <s v="ORD-2231"/>
    <d v="2025-09-04T00:00:00"/>
    <x v="1"/>
    <x v="1"/>
    <n v="12.5"/>
    <n v="27"/>
    <n v="0.2"/>
    <n v="270"/>
    <n v="31.794520547945204"/>
    <n v="12.5"/>
  </r>
  <r>
    <s v="ORD-2232"/>
    <d v="2025-09-04T00:00:00"/>
    <x v="2"/>
    <x v="2"/>
    <n v="35"/>
    <n v="15"/>
    <n v="0.2"/>
    <n v="420"/>
    <n v="30.438356164383563"/>
    <n v="35"/>
  </r>
  <r>
    <s v="ORD-2233"/>
    <d v="2025-09-04T00:00:00"/>
    <x v="3"/>
    <x v="3"/>
    <n v="120"/>
    <n v="29"/>
    <n v="0"/>
    <n v="3480"/>
    <n v="30.473972602739725"/>
    <n v="120"/>
  </r>
  <r>
    <s v="ORD-2234"/>
    <d v="2025-09-04T00:00:00"/>
    <x v="4"/>
    <x v="4"/>
    <n v="25"/>
    <n v="36"/>
    <n v="0"/>
    <n v="900"/>
    <n v="29.463013698630139"/>
    <n v="25"/>
  </r>
  <r>
    <s v="ORD-2235"/>
    <d v="2025-09-05T00:00:00"/>
    <x v="0"/>
    <x v="0"/>
    <n v="45"/>
    <n v="26"/>
    <n v="0"/>
    <n v="1170"/>
    <n v="31.479452054794521"/>
    <n v="45"/>
  </r>
  <r>
    <s v="ORD-2236"/>
    <d v="2025-09-05T00:00:00"/>
    <x v="1"/>
    <x v="1"/>
    <n v="12.5"/>
    <n v="21"/>
    <n v="0.1"/>
    <n v="236.25"/>
    <n v="31.794520547945204"/>
    <n v="12.5"/>
  </r>
  <r>
    <s v="ORD-2237"/>
    <d v="2025-09-05T00:00:00"/>
    <x v="2"/>
    <x v="2"/>
    <n v="35"/>
    <n v="6"/>
    <n v="0"/>
    <n v="210"/>
    <n v="30.438356164383563"/>
    <n v="35"/>
  </r>
  <r>
    <s v="ORD-2238"/>
    <d v="2025-09-05T00:00:00"/>
    <x v="3"/>
    <x v="3"/>
    <n v="120"/>
    <n v="8"/>
    <n v="0"/>
    <n v="960"/>
    <n v="30.473972602739725"/>
    <n v="120"/>
  </r>
  <r>
    <s v="ORD-2239"/>
    <d v="2025-09-05T00:00:00"/>
    <x v="4"/>
    <x v="4"/>
    <n v="25"/>
    <n v="7"/>
    <n v="0"/>
    <n v="175"/>
    <n v="29.463013698630139"/>
    <n v="25"/>
  </r>
  <r>
    <s v="ORD-2240"/>
    <d v="2025-09-06T00:00:00"/>
    <x v="0"/>
    <x v="0"/>
    <n v="45"/>
    <n v="55"/>
    <n v="0"/>
    <n v="2475"/>
    <n v="31.479452054794521"/>
    <n v="45"/>
  </r>
  <r>
    <s v="ORD-2241"/>
    <d v="2025-09-06T00:00:00"/>
    <x v="1"/>
    <x v="1"/>
    <n v="12.5"/>
    <n v="70"/>
    <n v="0"/>
    <n v="875"/>
    <n v="31.794520547945204"/>
    <n v="12.5"/>
  </r>
  <r>
    <s v="ORD-2242"/>
    <d v="2025-09-06T00:00:00"/>
    <x v="2"/>
    <x v="2"/>
    <n v="35"/>
    <n v="42"/>
    <n v="0.2"/>
    <n v="1176"/>
    <n v="30.438356164383563"/>
    <n v="35"/>
  </r>
  <r>
    <s v="ORD-2243"/>
    <d v="2025-09-06T00:00:00"/>
    <x v="3"/>
    <x v="3"/>
    <n v="120"/>
    <n v="19"/>
    <n v="0.1"/>
    <n v="2052"/>
    <n v="30.473972602739725"/>
    <n v="120"/>
  </r>
  <r>
    <s v="ORD-2244"/>
    <d v="2025-09-06T00:00:00"/>
    <x v="4"/>
    <x v="4"/>
    <n v="25"/>
    <n v="15"/>
    <n v="0"/>
    <n v="375"/>
    <n v="29.463013698630139"/>
    <n v="25"/>
  </r>
  <r>
    <s v="ORD-2245"/>
    <d v="2025-09-07T00:00:00"/>
    <x v="0"/>
    <x v="0"/>
    <n v="45"/>
    <n v="63"/>
    <n v="0"/>
    <n v="2835"/>
    <n v="31.479452054794521"/>
    <n v="45"/>
  </r>
  <r>
    <s v="ORD-2246"/>
    <d v="2025-09-07T00:00:00"/>
    <x v="1"/>
    <x v="1"/>
    <n v="12.5"/>
    <n v="25"/>
    <n v="0"/>
    <n v="312.5"/>
    <n v="31.794520547945204"/>
    <n v="12.5"/>
  </r>
  <r>
    <s v="ORD-2247"/>
    <d v="2025-09-07T00:00:00"/>
    <x v="2"/>
    <x v="2"/>
    <n v="35"/>
    <n v="52"/>
    <n v="0"/>
    <n v="1820"/>
    <n v="30.438356164383563"/>
    <n v="35"/>
  </r>
  <r>
    <s v="ORD-2248"/>
    <d v="2025-09-07T00:00:00"/>
    <x v="3"/>
    <x v="3"/>
    <n v="120"/>
    <n v="42"/>
    <n v="0"/>
    <n v="5040"/>
    <n v="30.473972602739725"/>
    <n v="120"/>
  </r>
  <r>
    <s v="ORD-2249"/>
    <d v="2025-09-07T00:00:00"/>
    <x v="4"/>
    <x v="4"/>
    <n v="25"/>
    <n v="36"/>
    <n v="0"/>
    <n v="900"/>
    <n v="29.463013698630139"/>
    <n v="25"/>
  </r>
  <r>
    <s v="ORD-2250"/>
    <d v="2025-09-08T00:00:00"/>
    <x v="0"/>
    <x v="0"/>
    <n v="45"/>
    <n v="35"/>
    <n v="0"/>
    <n v="1575"/>
    <n v="31.479452054794521"/>
    <n v="45"/>
  </r>
  <r>
    <s v="ORD-2251"/>
    <d v="2025-09-08T00:00:00"/>
    <x v="1"/>
    <x v="1"/>
    <n v="12.5"/>
    <n v="26"/>
    <n v="0"/>
    <n v="325"/>
    <n v="31.794520547945204"/>
    <n v="12.5"/>
  </r>
  <r>
    <s v="ORD-2252"/>
    <d v="2025-09-08T00:00:00"/>
    <x v="2"/>
    <x v="2"/>
    <n v="35"/>
    <n v="23"/>
    <n v="0"/>
    <n v="805"/>
    <n v="30.438356164383563"/>
    <n v="35"/>
  </r>
  <r>
    <s v="ORD-2253"/>
    <d v="2025-09-08T00:00:00"/>
    <x v="3"/>
    <x v="3"/>
    <n v="120"/>
    <n v="10"/>
    <n v="0"/>
    <n v="1200"/>
    <n v="30.473972602739725"/>
    <n v="120"/>
  </r>
  <r>
    <s v="ORD-2254"/>
    <d v="2025-09-08T00:00:00"/>
    <x v="4"/>
    <x v="4"/>
    <n v="25"/>
    <n v="16"/>
    <n v="0"/>
    <n v="400"/>
    <n v="29.463013698630139"/>
    <n v="25"/>
  </r>
  <r>
    <s v="ORD-2255"/>
    <d v="2025-09-09T00:00:00"/>
    <x v="0"/>
    <x v="0"/>
    <n v="45"/>
    <n v="37"/>
    <n v="0"/>
    <n v="1665"/>
    <n v="31.479452054794521"/>
    <n v="45"/>
  </r>
  <r>
    <s v="ORD-2256"/>
    <d v="2025-09-09T00:00:00"/>
    <x v="1"/>
    <x v="1"/>
    <n v="12.5"/>
    <n v="5"/>
    <n v="0"/>
    <n v="62.5"/>
    <n v="31.794520547945204"/>
    <n v="12.5"/>
  </r>
  <r>
    <s v="ORD-2257"/>
    <d v="2025-09-09T00:00:00"/>
    <x v="2"/>
    <x v="2"/>
    <n v="35"/>
    <n v="6"/>
    <n v="0"/>
    <n v="210"/>
    <n v="30.438356164383563"/>
    <n v="35"/>
  </r>
  <r>
    <s v="ORD-2258"/>
    <d v="2025-09-09T00:00:00"/>
    <x v="3"/>
    <x v="3"/>
    <n v="120"/>
    <n v="36"/>
    <n v="0"/>
    <n v="4320"/>
    <n v="30.473972602739725"/>
    <n v="120"/>
  </r>
  <r>
    <s v="ORD-2259"/>
    <d v="2025-09-09T00:00:00"/>
    <x v="4"/>
    <x v="4"/>
    <n v="25"/>
    <n v="25"/>
    <n v="0"/>
    <n v="625"/>
    <n v="29.463013698630139"/>
    <n v="25"/>
  </r>
  <r>
    <s v="ORD-2260"/>
    <d v="2025-09-10T00:00:00"/>
    <x v="0"/>
    <x v="0"/>
    <n v="45"/>
    <n v="7"/>
    <n v="0"/>
    <n v="315"/>
    <n v="31.479452054794521"/>
    <n v="45"/>
  </r>
  <r>
    <s v="ORD-2261"/>
    <d v="2025-09-10T00:00:00"/>
    <x v="1"/>
    <x v="1"/>
    <n v="12.5"/>
    <n v="15"/>
    <n v="0.1"/>
    <n v="168.75"/>
    <n v="31.794520547945204"/>
    <n v="12.5"/>
  </r>
  <r>
    <s v="ORD-2262"/>
    <d v="2025-09-10T00:00:00"/>
    <x v="2"/>
    <x v="2"/>
    <n v="35"/>
    <n v="42"/>
    <n v="0.2"/>
    <n v="1176"/>
    <n v="30.438356164383563"/>
    <n v="35"/>
  </r>
  <r>
    <s v="ORD-2263"/>
    <d v="2025-09-10T00:00:00"/>
    <x v="3"/>
    <x v="3"/>
    <n v="120"/>
    <n v="24"/>
    <n v="0"/>
    <n v="2880"/>
    <n v="30.473972602739725"/>
    <n v="120"/>
  </r>
  <r>
    <s v="ORD-2264"/>
    <d v="2025-09-10T00:00:00"/>
    <x v="4"/>
    <x v="4"/>
    <n v="25"/>
    <n v="23"/>
    <n v="0"/>
    <n v="575"/>
    <n v="29.463013698630139"/>
    <n v="25"/>
  </r>
  <r>
    <s v="ORD-2265"/>
    <d v="2025-09-11T00:00:00"/>
    <x v="0"/>
    <x v="0"/>
    <n v="45"/>
    <n v="44"/>
    <n v="0"/>
    <n v="1980"/>
    <n v="31.479452054794521"/>
    <n v="45"/>
  </r>
  <r>
    <s v="ORD-2266"/>
    <d v="2025-09-11T00:00:00"/>
    <x v="1"/>
    <x v="1"/>
    <n v="12.5"/>
    <n v="36"/>
    <n v="0.2"/>
    <n v="360"/>
    <n v="31.794520547945204"/>
    <n v="12.5"/>
  </r>
  <r>
    <s v="ORD-2267"/>
    <d v="2025-09-11T00:00:00"/>
    <x v="2"/>
    <x v="2"/>
    <n v="35"/>
    <n v="41"/>
    <n v="0"/>
    <n v="1435"/>
    <n v="30.438356164383563"/>
    <n v="35"/>
  </r>
  <r>
    <s v="ORD-2268"/>
    <d v="2025-09-11T00:00:00"/>
    <x v="3"/>
    <x v="3"/>
    <n v="120"/>
    <n v="12"/>
    <n v="0.1"/>
    <n v="1296"/>
    <n v="30.473972602739725"/>
    <n v="120"/>
  </r>
  <r>
    <s v="ORD-2269"/>
    <d v="2025-09-11T00:00:00"/>
    <x v="4"/>
    <x v="4"/>
    <n v="25"/>
    <n v="22"/>
    <n v="0"/>
    <n v="550"/>
    <n v="29.463013698630139"/>
    <n v="25"/>
  </r>
  <r>
    <s v="ORD-2270"/>
    <d v="2025-09-12T00:00:00"/>
    <x v="0"/>
    <x v="0"/>
    <n v="45"/>
    <n v="20"/>
    <n v="0"/>
    <n v="900"/>
    <n v="31.479452054794521"/>
    <n v="45"/>
  </r>
  <r>
    <s v="ORD-2271"/>
    <d v="2025-09-12T00:00:00"/>
    <x v="1"/>
    <x v="1"/>
    <n v="12.5"/>
    <n v="15"/>
    <n v="0.1"/>
    <n v="168.75"/>
    <n v="31.794520547945204"/>
    <n v="12.5"/>
  </r>
  <r>
    <s v="ORD-2272"/>
    <d v="2025-09-12T00:00:00"/>
    <x v="2"/>
    <x v="2"/>
    <n v="35"/>
    <n v="7"/>
    <n v="0.1"/>
    <n v="220.5"/>
    <n v="30.438356164383563"/>
    <n v="35"/>
  </r>
  <r>
    <s v="ORD-2273"/>
    <d v="2025-09-12T00:00:00"/>
    <x v="3"/>
    <x v="3"/>
    <n v="120"/>
    <n v="39"/>
    <n v="0.2"/>
    <n v="3744"/>
    <n v="30.473972602739725"/>
    <n v="120"/>
  </r>
  <r>
    <s v="ORD-2274"/>
    <d v="2025-09-12T00:00:00"/>
    <x v="4"/>
    <x v="4"/>
    <n v="25"/>
    <n v="41"/>
    <n v="0.2"/>
    <n v="820"/>
    <n v="29.463013698630139"/>
    <n v="25"/>
  </r>
  <r>
    <s v="ORD-2275"/>
    <d v="2025-09-13T00:00:00"/>
    <x v="0"/>
    <x v="0"/>
    <n v="45"/>
    <n v="42"/>
    <n v="0"/>
    <n v="1890"/>
    <n v="31.479452054794521"/>
    <n v="45"/>
  </r>
  <r>
    <s v="ORD-2276"/>
    <d v="2025-09-13T00:00:00"/>
    <x v="1"/>
    <x v="1"/>
    <n v="12.5"/>
    <n v="64"/>
    <n v="0"/>
    <n v="800"/>
    <n v="31.794520547945204"/>
    <n v="12.5"/>
  </r>
  <r>
    <s v="ORD-2277"/>
    <d v="2025-09-13T00:00:00"/>
    <x v="2"/>
    <x v="2"/>
    <n v="35"/>
    <n v="12"/>
    <n v="0.2"/>
    <n v="336"/>
    <n v="30.438356164383563"/>
    <n v="35"/>
  </r>
  <r>
    <s v="ORD-2278"/>
    <d v="2025-09-13T00:00:00"/>
    <x v="3"/>
    <x v="3"/>
    <n v="120"/>
    <n v="9"/>
    <n v="0"/>
    <n v="1080"/>
    <n v="30.473972602739725"/>
    <n v="120"/>
  </r>
  <r>
    <s v="ORD-2279"/>
    <d v="2025-09-13T00:00:00"/>
    <x v="4"/>
    <x v="4"/>
    <n v="25"/>
    <n v="69"/>
    <n v="0"/>
    <n v="1725"/>
    <n v="29.463013698630139"/>
    <n v="25"/>
  </r>
  <r>
    <s v="ORD-2280"/>
    <d v="2025-09-14T00:00:00"/>
    <x v="0"/>
    <x v="0"/>
    <n v="45"/>
    <n v="43"/>
    <n v="0"/>
    <n v="1935"/>
    <n v="31.479452054794521"/>
    <n v="45"/>
  </r>
  <r>
    <s v="ORD-2281"/>
    <d v="2025-09-14T00:00:00"/>
    <x v="1"/>
    <x v="1"/>
    <n v="12.5"/>
    <n v="70"/>
    <n v="0"/>
    <n v="875"/>
    <n v="31.794520547945204"/>
    <n v="12.5"/>
  </r>
  <r>
    <s v="ORD-2282"/>
    <d v="2025-09-14T00:00:00"/>
    <x v="2"/>
    <x v="2"/>
    <n v="35"/>
    <n v="48"/>
    <n v="0"/>
    <n v="1680"/>
    <n v="30.438356164383563"/>
    <n v="35"/>
  </r>
  <r>
    <s v="ORD-2283"/>
    <d v="2025-09-14T00:00:00"/>
    <x v="3"/>
    <x v="3"/>
    <n v="120"/>
    <n v="70"/>
    <n v="0"/>
    <n v="8400"/>
    <n v="30.473972602739725"/>
    <n v="120"/>
  </r>
  <r>
    <s v="ORD-2284"/>
    <d v="2025-09-14T00:00:00"/>
    <x v="4"/>
    <x v="4"/>
    <n v="25"/>
    <n v="21"/>
    <n v="0.2"/>
    <n v="420"/>
    <n v="29.463013698630139"/>
    <n v="25"/>
  </r>
  <r>
    <s v="ORD-2285"/>
    <d v="2025-09-15T00:00:00"/>
    <x v="0"/>
    <x v="0"/>
    <n v="45"/>
    <n v="36"/>
    <n v="0"/>
    <n v="1620"/>
    <n v="31.479452054794521"/>
    <n v="45"/>
  </r>
  <r>
    <s v="ORD-2286"/>
    <d v="2025-09-15T00:00:00"/>
    <x v="1"/>
    <x v="1"/>
    <n v="12.5"/>
    <n v="25"/>
    <n v="0"/>
    <n v="312.5"/>
    <n v="31.794520547945204"/>
    <n v="12.5"/>
  </r>
  <r>
    <s v="ORD-2287"/>
    <d v="2025-09-15T00:00:00"/>
    <x v="2"/>
    <x v="2"/>
    <n v="35"/>
    <n v="35"/>
    <n v="0.2"/>
    <n v="980"/>
    <n v="30.438356164383563"/>
    <n v="35"/>
  </r>
  <r>
    <s v="ORD-2288"/>
    <d v="2025-09-15T00:00:00"/>
    <x v="3"/>
    <x v="3"/>
    <n v="120"/>
    <n v="15"/>
    <n v="0"/>
    <n v="1800"/>
    <n v="30.473972602739725"/>
    <n v="120"/>
  </r>
  <r>
    <s v="ORD-2289"/>
    <d v="2025-09-15T00:00:00"/>
    <x v="4"/>
    <x v="4"/>
    <n v="25"/>
    <n v="34"/>
    <n v="0"/>
    <n v="850"/>
    <n v="29.463013698630139"/>
    <n v="25"/>
  </r>
  <r>
    <s v="ORD-2290"/>
    <d v="2025-09-16T00:00:00"/>
    <x v="0"/>
    <x v="0"/>
    <n v="45"/>
    <n v="44"/>
    <n v="0.1"/>
    <n v="1782"/>
    <n v="31.479452054794521"/>
    <n v="45"/>
  </r>
  <r>
    <s v="ORD-2291"/>
    <d v="2025-09-16T00:00:00"/>
    <x v="1"/>
    <x v="1"/>
    <n v="12.5"/>
    <n v="14"/>
    <n v="0.2"/>
    <n v="140"/>
    <n v="31.794520547945204"/>
    <n v="12.5"/>
  </r>
  <r>
    <s v="ORD-2292"/>
    <d v="2025-09-16T00:00:00"/>
    <x v="2"/>
    <x v="2"/>
    <n v="35"/>
    <n v="14"/>
    <n v="0"/>
    <n v="490"/>
    <n v="30.438356164383563"/>
    <n v="35"/>
  </r>
  <r>
    <s v="ORD-2293"/>
    <d v="2025-09-16T00:00:00"/>
    <x v="3"/>
    <x v="3"/>
    <n v="120"/>
    <n v="15"/>
    <n v="0"/>
    <n v="1800"/>
    <n v="30.473972602739725"/>
    <n v="120"/>
  </r>
  <r>
    <s v="ORD-2294"/>
    <d v="2025-09-16T00:00:00"/>
    <x v="4"/>
    <x v="4"/>
    <n v="25"/>
    <n v="13"/>
    <n v="0"/>
    <n v="325"/>
    <n v="29.463013698630139"/>
    <n v="25"/>
  </r>
  <r>
    <s v="ORD-2295"/>
    <d v="2025-09-17T00:00:00"/>
    <x v="0"/>
    <x v="0"/>
    <n v="45"/>
    <n v="16"/>
    <n v="0"/>
    <n v="720"/>
    <n v="31.479452054794521"/>
    <n v="45"/>
  </r>
  <r>
    <s v="ORD-2296"/>
    <d v="2025-09-17T00:00:00"/>
    <x v="1"/>
    <x v="1"/>
    <n v="12.5"/>
    <n v="48"/>
    <n v="0"/>
    <n v="600"/>
    <n v="31.794520547945204"/>
    <n v="12.5"/>
  </r>
  <r>
    <s v="ORD-2297"/>
    <d v="2025-09-17T00:00:00"/>
    <x v="2"/>
    <x v="2"/>
    <n v="35"/>
    <n v="26"/>
    <n v="0"/>
    <n v="910"/>
    <n v="30.438356164383563"/>
    <n v="35"/>
  </r>
  <r>
    <s v="ORD-2298"/>
    <d v="2025-09-17T00:00:00"/>
    <x v="3"/>
    <x v="3"/>
    <n v="120"/>
    <n v="37"/>
    <n v="0"/>
    <n v="4440"/>
    <n v="30.473972602739725"/>
    <n v="120"/>
  </r>
  <r>
    <s v="ORD-2299"/>
    <d v="2025-09-17T00:00:00"/>
    <x v="4"/>
    <x v="4"/>
    <n v="25"/>
    <n v="31"/>
    <n v="0"/>
    <n v="775"/>
    <n v="29.463013698630139"/>
    <n v="25"/>
  </r>
  <r>
    <s v="ORD-2300"/>
    <d v="2025-09-18T00:00:00"/>
    <x v="0"/>
    <x v="0"/>
    <n v="45"/>
    <n v="33"/>
    <n v="0.1"/>
    <n v="1336.5"/>
    <n v="31.479452054794521"/>
    <n v="45"/>
  </r>
  <r>
    <s v="ORD-2301"/>
    <d v="2025-09-18T00:00:00"/>
    <x v="1"/>
    <x v="1"/>
    <n v="12.5"/>
    <n v="36"/>
    <n v="0"/>
    <n v="450"/>
    <n v="31.794520547945204"/>
    <n v="12.5"/>
  </r>
  <r>
    <s v="ORD-2302"/>
    <d v="2025-09-18T00:00:00"/>
    <x v="2"/>
    <x v="2"/>
    <n v="35"/>
    <n v="25"/>
    <n v="0"/>
    <n v="875"/>
    <n v="30.438356164383563"/>
    <n v="35"/>
  </r>
  <r>
    <s v="ORD-2303"/>
    <d v="2025-09-18T00:00:00"/>
    <x v="3"/>
    <x v="3"/>
    <n v="120"/>
    <n v="31"/>
    <n v="0"/>
    <n v="3720"/>
    <n v="30.473972602739725"/>
    <n v="120"/>
  </r>
  <r>
    <s v="ORD-2304"/>
    <d v="2025-09-18T00:00:00"/>
    <x v="4"/>
    <x v="4"/>
    <n v="25"/>
    <n v="10"/>
    <n v="0.1"/>
    <n v="225"/>
    <n v="29.463013698630139"/>
    <n v="25"/>
  </r>
  <r>
    <s v="ORD-2305"/>
    <d v="2025-09-19T00:00:00"/>
    <x v="0"/>
    <x v="0"/>
    <n v="45"/>
    <n v="7"/>
    <n v="0"/>
    <n v="315"/>
    <n v="31.479452054794521"/>
    <n v="45"/>
  </r>
  <r>
    <s v="ORD-2306"/>
    <d v="2025-09-19T00:00:00"/>
    <x v="1"/>
    <x v="1"/>
    <n v="12.5"/>
    <n v="9"/>
    <n v="0.2"/>
    <n v="90"/>
    <n v="31.794520547945204"/>
    <n v="12.5"/>
  </r>
  <r>
    <s v="ORD-2307"/>
    <d v="2025-09-19T00:00:00"/>
    <x v="2"/>
    <x v="2"/>
    <n v="35"/>
    <n v="35"/>
    <n v="0"/>
    <n v="1225"/>
    <n v="30.438356164383563"/>
    <n v="35"/>
  </r>
  <r>
    <s v="ORD-2308"/>
    <d v="2025-09-19T00:00:00"/>
    <x v="3"/>
    <x v="3"/>
    <n v="120"/>
    <n v="22"/>
    <n v="0"/>
    <n v="2640"/>
    <n v="30.473972602739725"/>
    <n v="120"/>
  </r>
  <r>
    <s v="ORD-2309"/>
    <d v="2025-09-19T00:00:00"/>
    <x v="4"/>
    <x v="4"/>
    <n v="25"/>
    <n v="38"/>
    <n v="0.2"/>
    <n v="760"/>
    <n v="29.463013698630139"/>
    <n v="25"/>
  </r>
  <r>
    <s v="ORD-2310"/>
    <d v="2025-09-20T00:00:00"/>
    <x v="0"/>
    <x v="0"/>
    <n v="45"/>
    <n v="51"/>
    <n v="0"/>
    <n v="2295"/>
    <n v="31.479452054794521"/>
    <n v="45"/>
  </r>
  <r>
    <s v="ORD-2311"/>
    <d v="2025-09-20T00:00:00"/>
    <x v="1"/>
    <x v="1"/>
    <n v="12.5"/>
    <n v="13"/>
    <n v="0"/>
    <n v="162.5"/>
    <n v="31.794520547945204"/>
    <n v="12.5"/>
  </r>
  <r>
    <s v="ORD-2312"/>
    <d v="2025-09-20T00:00:00"/>
    <x v="2"/>
    <x v="2"/>
    <n v="35"/>
    <n v="51"/>
    <n v="0"/>
    <n v="1785"/>
    <n v="30.438356164383563"/>
    <n v="35"/>
  </r>
  <r>
    <s v="ORD-2313"/>
    <d v="2025-09-20T00:00:00"/>
    <x v="3"/>
    <x v="3"/>
    <n v="120"/>
    <n v="30"/>
    <n v="0"/>
    <n v="3600"/>
    <n v="30.473972602739725"/>
    <n v="120"/>
  </r>
  <r>
    <s v="ORD-2314"/>
    <d v="2025-09-20T00:00:00"/>
    <x v="4"/>
    <x v="4"/>
    <n v="25"/>
    <n v="30"/>
    <n v="0"/>
    <n v="750"/>
    <n v="29.463013698630139"/>
    <n v="25"/>
  </r>
  <r>
    <s v="ORD-2315"/>
    <d v="2025-09-21T00:00:00"/>
    <x v="0"/>
    <x v="0"/>
    <n v="45"/>
    <n v="64"/>
    <n v="0"/>
    <n v="2880"/>
    <n v="31.479452054794521"/>
    <n v="45"/>
  </r>
  <r>
    <s v="ORD-2316"/>
    <d v="2025-09-21T00:00:00"/>
    <x v="1"/>
    <x v="1"/>
    <n v="12.5"/>
    <n v="72"/>
    <n v="0.2"/>
    <n v="720"/>
    <n v="31.794520547945204"/>
    <n v="12.5"/>
  </r>
  <r>
    <s v="ORD-2317"/>
    <d v="2025-09-21T00:00:00"/>
    <x v="2"/>
    <x v="2"/>
    <n v="35"/>
    <n v="73"/>
    <n v="0.1"/>
    <n v="2299.5"/>
    <n v="30.438356164383563"/>
    <n v="35"/>
  </r>
  <r>
    <s v="ORD-2318"/>
    <d v="2025-09-21T00:00:00"/>
    <x v="3"/>
    <x v="3"/>
    <n v="120"/>
    <n v="70"/>
    <n v="0"/>
    <n v="8400"/>
    <n v="30.473972602739725"/>
    <n v="120"/>
  </r>
  <r>
    <s v="ORD-2319"/>
    <d v="2025-09-21T00:00:00"/>
    <x v="4"/>
    <x v="4"/>
    <n v="25"/>
    <n v="48"/>
    <n v="0"/>
    <n v="1200"/>
    <n v="29.463013698630139"/>
    <n v="25"/>
  </r>
  <r>
    <s v="ORD-2320"/>
    <d v="2025-09-22T00:00:00"/>
    <x v="0"/>
    <x v="0"/>
    <n v="45"/>
    <n v="22"/>
    <n v="0.1"/>
    <n v="891"/>
    <n v="31.479452054794521"/>
    <n v="45"/>
  </r>
  <r>
    <s v="ORD-2321"/>
    <d v="2025-09-22T00:00:00"/>
    <x v="1"/>
    <x v="1"/>
    <n v="12.5"/>
    <n v="19"/>
    <n v="0"/>
    <n v="237.5"/>
    <n v="31.794520547945204"/>
    <n v="12.5"/>
  </r>
  <r>
    <s v="ORD-2322"/>
    <d v="2025-09-22T00:00:00"/>
    <x v="2"/>
    <x v="2"/>
    <n v="35"/>
    <n v="13"/>
    <n v="0"/>
    <n v="455"/>
    <n v="30.438356164383563"/>
    <n v="35"/>
  </r>
  <r>
    <s v="ORD-2323"/>
    <d v="2025-09-22T00:00:00"/>
    <x v="3"/>
    <x v="3"/>
    <n v="120"/>
    <n v="25"/>
    <n v="0.1"/>
    <n v="2700"/>
    <n v="30.473972602739725"/>
    <n v="120"/>
  </r>
  <r>
    <s v="ORD-2324"/>
    <d v="2025-09-22T00:00:00"/>
    <x v="4"/>
    <x v="4"/>
    <n v="25"/>
    <n v="12"/>
    <n v="0.1"/>
    <n v="270"/>
    <n v="29.463013698630139"/>
    <n v="25"/>
  </r>
  <r>
    <s v="ORD-2325"/>
    <d v="2025-09-23T00:00:00"/>
    <x v="0"/>
    <x v="0"/>
    <n v="45"/>
    <n v="28"/>
    <n v="0.1"/>
    <n v="1134"/>
    <n v="31.479452054794521"/>
    <n v="45"/>
  </r>
  <r>
    <s v="ORD-2326"/>
    <d v="2025-09-23T00:00:00"/>
    <x v="1"/>
    <x v="1"/>
    <n v="12.5"/>
    <n v="37"/>
    <n v="0"/>
    <n v="462.5"/>
    <n v="31.794520547945204"/>
    <n v="12.5"/>
  </r>
  <r>
    <s v="ORD-2327"/>
    <d v="2025-09-23T00:00:00"/>
    <x v="2"/>
    <x v="2"/>
    <n v="35"/>
    <n v="36"/>
    <n v="0"/>
    <n v="1260"/>
    <n v="30.438356164383563"/>
    <n v="35"/>
  </r>
  <r>
    <s v="ORD-2328"/>
    <d v="2025-09-23T00:00:00"/>
    <x v="3"/>
    <x v="3"/>
    <n v="120"/>
    <n v="42"/>
    <n v="0"/>
    <n v="5040"/>
    <n v="30.473972602739725"/>
    <n v="120"/>
  </r>
  <r>
    <s v="ORD-2329"/>
    <d v="2025-09-23T00:00:00"/>
    <x v="4"/>
    <x v="4"/>
    <n v="25"/>
    <n v="12"/>
    <n v="0"/>
    <n v="300"/>
    <n v="29.463013698630139"/>
    <n v="25"/>
  </r>
  <r>
    <s v="ORD-2330"/>
    <d v="2025-09-24T00:00:00"/>
    <x v="0"/>
    <x v="0"/>
    <n v="45"/>
    <n v="11"/>
    <n v="0"/>
    <n v="495"/>
    <n v="31.479452054794521"/>
    <n v="45"/>
  </r>
  <r>
    <s v="ORD-2331"/>
    <d v="2025-09-24T00:00:00"/>
    <x v="1"/>
    <x v="1"/>
    <n v="12.5"/>
    <n v="6"/>
    <n v="0"/>
    <n v="75"/>
    <n v="31.794520547945204"/>
    <n v="12.5"/>
  </r>
  <r>
    <s v="ORD-2332"/>
    <d v="2025-09-24T00:00:00"/>
    <x v="2"/>
    <x v="2"/>
    <n v="35"/>
    <n v="20"/>
    <n v="0"/>
    <n v="700"/>
    <n v="30.438356164383563"/>
    <n v="35"/>
  </r>
  <r>
    <s v="ORD-2333"/>
    <d v="2025-09-24T00:00:00"/>
    <x v="3"/>
    <x v="3"/>
    <n v="120"/>
    <n v="42"/>
    <n v="0"/>
    <n v="5040"/>
    <n v="30.473972602739725"/>
    <n v="120"/>
  </r>
  <r>
    <s v="ORD-2334"/>
    <d v="2025-09-24T00:00:00"/>
    <x v="4"/>
    <x v="4"/>
    <n v="25"/>
    <n v="14"/>
    <n v="0"/>
    <n v="350"/>
    <n v="29.463013698630139"/>
    <n v="25"/>
  </r>
  <r>
    <s v="ORD-2335"/>
    <d v="2025-09-25T00:00:00"/>
    <x v="0"/>
    <x v="0"/>
    <n v="45"/>
    <n v="27"/>
    <n v="0"/>
    <n v="1215"/>
    <n v="31.479452054794521"/>
    <n v="45"/>
  </r>
  <r>
    <s v="ORD-2336"/>
    <d v="2025-09-25T00:00:00"/>
    <x v="1"/>
    <x v="1"/>
    <n v="12.5"/>
    <n v="15"/>
    <n v="0"/>
    <n v="187.5"/>
    <n v="31.794520547945204"/>
    <n v="12.5"/>
  </r>
  <r>
    <s v="ORD-2337"/>
    <d v="2025-09-25T00:00:00"/>
    <x v="2"/>
    <x v="2"/>
    <n v="35"/>
    <n v="44"/>
    <n v="0.1"/>
    <n v="1386"/>
    <n v="30.438356164383563"/>
    <n v="35"/>
  </r>
  <r>
    <s v="ORD-2338"/>
    <d v="2025-09-25T00:00:00"/>
    <x v="3"/>
    <x v="3"/>
    <n v="120"/>
    <n v="33"/>
    <n v="0"/>
    <n v="3960"/>
    <n v="30.473972602739725"/>
    <n v="120"/>
  </r>
  <r>
    <s v="ORD-2339"/>
    <d v="2025-09-25T00:00:00"/>
    <x v="4"/>
    <x v="4"/>
    <n v="25"/>
    <n v="11"/>
    <n v="0"/>
    <n v="275"/>
    <n v="29.463013698630139"/>
    <n v="25"/>
  </r>
  <r>
    <s v="ORD-2340"/>
    <d v="2025-09-26T00:00:00"/>
    <x v="0"/>
    <x v="0"/>
    <n v="45"/>
    <n v="32"/>
    <n v="0"/>
    <n v="1440"/>
    <n v="31.479452054794521"/>
    <n v="45"/>
  </r>
  <r>
    <s v="ORD-2341"/>
    <d v="2025-09-26T00:00:00"/>
    <x v="1"/>
    <x v="1"/>
    <n v="12.5"/>
    <n v="14"/>
    <n v="0"/>
    <n v="175"/>
    <n v="31.794520547945204"/>
    <n v="12.5"/>
  </r>
  <r>
    <s v="ORD-2342"/>
    <d v="2025-09-26T00:00:00"/>
    <x v="2"/>
    <x v="2"/>
    <n v="35"/>
    <n v="45"/>
    <n v="0"/>
    <n v="1575"/>
    <n v="30.438356164383563"/>
    <n v="35"/>
  </r>
  <r>
    <s v="ORD-2343"/>
    <d v="2025-09-26T00:00:00"/>
    <x v="3"/>
    <x v="3"/>
    <n v="120"/>
    <n v="18"/>
    <n v="0.1"/>
    <n v="1944"/>
    <n v="30.473972602739725"/>
    <n v="120"/>
  </r>
  <r>
    <s v="ORD-2344"/>
    <d v="2025-09-26T00:00:00"/>
    <x v="4"/>
    <x v="4"/>
    <n v="25"/>
    <n v="45"/>
    <n v="0"/>
    <n v="1125"/>
    <n v="29.463013698630139"/>
    <n v="25"/>
  </r>
  <r>
    <s v="ORD-2345"/>
    <d v="2025-09-27T00:00:00"/>
    <x v="0"/>
    <x v="0"/>
    <n v="45"/>
    <n v="51"/>
    <n v="0"/>
    <n v="2295"/>
    <n v="31.479452054794521"/>
    <n v="45"/>
  </r>
  <r>
    <s v="ORD-2346"/>
    <d v="2025-09-27T00:00:00"/>
    <x v="1"/>
    <x v="1"/>
    <n v="12.5"/>
    <n v="72"/>
    <n v="0"/>
    <n v="900"/>
    <n v="31.794520547945204"/>
    <n v="12.5"/>
  </r>
  <r>
    <s v="ORD-2347"/>
    <d v="2025-09-27T00:00:00"/>
    <x v="2"/>
    <x v="2"/>
    <n v="35"/>
    <n v="46"/>
    <n v="0"/>
    <n v="1610"/>
    <n v="30.438356164383563"/>
    <n v="35"/>
  </r>
  <r>
    <s v="ORD-2348"/>
    <d v="2025-09-27T00:00:00"/>
    <x v="3"/>
    <x v="3"/>
    <n v="120"/>
    <n v="45"/>
    <n v="0"/>
    <n v="5400"/>
    <n v="30.473972602739725"/>
    <n v="120"/>
  </r>
  <r>
    <s v="ORD-2349"/>
    <d v="2025-09-27T00:00:00"/>
    <x v="4"/>
    <x v="4"/>
    <n v="25"/>
    <n v="13"/>
    <n v="0"/>
    <n v="325"/>
    <n v="29.463013698630139"/>
    <n v="25"/>
  </r>
  <r>
    <s v="ORD-2350"/>
    <d v="2025-09-28T00:00:00"/>
    <x v="0"/>
    <x v="0"/>
    <n v="45"/>
    <n v="48"/>
    <n v="0"/>
    <n v="2160"/>
    <n v="31.479452054794521"/>
    <n v="45"/>
  </r>
  <r>
    <s v="ORD-2351"/>
    <d v="2025-09-28T00:00:00"/>
    <x v="1"/>
    <x v="1"/>
    <n v="12.5"/>
    <n v="7"/>
    <n v="0.1"/>
    <n v="78.75"/>
    <n v="31.794520547945204"/>
    <n v="12.5"/>
  </r>
  <r>
    <s v="ORD-2352"/>
    <d v="2025-09-28T00:00:00"/>
    <x v="2"/>
    <x v="2"/>
    <n v="35"/>
    <n v="16"/>
    <n v="0"/>
    <n v="560"/>
    <n v="30.438356164383563"/>
    <n v="35"/>
  </r>
  <r>
    <s v="ORD-2353"/>
    <d v="2025-09-28T00:00:00"/>
    <x v="3"/>
    <x v="3"/>
    <n v="120"/>
    <n v="25"/>
    <n v="0"/>
    <n v="3000"/>
    <n v="30.473972602739725"/>
    <n v="120"/>
  </r>
  <r>
    <s v="ORD-2354"/>
    <d v="2025-09-28T00:00:00"/>
    <x v="4"/>
    <x v="4"/>
    <n v="25"/>
    <n v="16"/>
    <n v="0.1"/>
    <n v="360"/>
    <n v="29.463013698630139"/>
    <n v="25"/>
  </r>
  <r>
    <s v="ORD-2355"/>
    <d v="2025-09-29T00:00:00"/>
    <x v="0"/>
    <x v="0"/>
    <n v="45"/>
    <n v="8"/>
    <n v="0.1"/>
    <n v="324"/>
    <n v="31.479452054794521"/>
    <n v="45"/>
  </r>
  <r>
    <s v="ORD-2356"/>
    <d v="2025-09-29T00:00:00"/>
    <x v="1"/>
    <x v="1"/>
    <n v="12.5"/>
    <n v="36"/>
    <n v="0"/>
    <n v="450"/>
    <n v="31.794520547945204"/>
    <n v="12.5"/>
  </r>
  <r>
    <s v="ORD-2357"/>
    <d v="2025-09-29T00:00:00"/>
    <x v="2"/>
    <x v="2"/>
    <n v="35"/>
    <n v="16"/>
    <n v="0.2"/>
    <n v="448"/>
    <n v="30.438356164383563"/>
    <n v="35"/>
  </r>
  <r>
    <s v="ORD-2358"/>
    <d v="2025-09-29T00:00:00"/>
    <x v="3"/>
    <x v="3"/>
    <n v="120"/>
    <n v="26"/>
    <n v="0"/>
    <n v="3120"/>
    <n v="30.473972602739725"/>
    <n v="120"/>
  </r>
  <r>
    <s v="ORD-2359"/>
    <d v="2025-09-29T00:00:00"/>
    <x v="4"/>
    <x v="4"/>
    <n v="25"/>
    <n v="5"/>
    <n v="0"/>
    <n v="125"/>
    <n v="29.463013698630139"/>
    <n v="25"/>
  </r>
  <r>
    <s v="ORD-2360"/>
    <d v="2025-09-30T00:00:00"/>
    <x v="0"/>
    <x v="0"/>
    <n v="45"/>
    <n v="22"/>
    <n v="0"/>
    <n v="990"/>
    <n v="31.479452054794521"/>
    <n v="45"/>
  </r>
  <r>
    <s v="ORD-2361"/>
    <d v="2025-09-30T00:00:00"/>
    <x v="1"/>
    <x v="1"/>
    <n v="12.5"/>
    <n v="39"/>
    <n v="0"/>
    <n v="487.5"/>
    <n v="31.794520547945204"/>
    <n v="12.5"/>
  </r>
  <r>
    <s v="ORD-2362"/>
    <d v="2025-09-30T00:00:00"/>
    <x v="2"/>
    <x v="2"/>
    <n v="35"/>
    <n v="11"/>
    <n v="0"/>
    <n v="385"/>
    <n v="30.438356164383563"/>
    <n v="35"/>
  </r>
  <r>
    <s v="ORD-2363"/>
    <d v="2025-09-30T00:00:00"/>
    <x v="3"/>
    <x v="3"/>
    <n v="120"/>
    <n v="45"/>
    <n v="0"/>
    <n v="5400"/>
    <n v="30.473972602739725"/>
    <n v="120"/>
  </r>
  <r>
    <s v="ORD-2364"/>
    <d v="2025-09-30T00:00:00"/>
    <x v="4"/>
    <x v="4"/>
    <n v="25"/>
    <n v="18"/>
    <n v="0"/>
    <n v="450"/>
    <n v="29.463013698630139"/>
    <n v="25"/>
  </r>
  <r>
    <s v="ORD-2365"/>
    <d v="2025-10-01T00:00:00"/>
    <x v="0"/>
    <x v="0"/>
    <n v="45"/>
    <n v="33"/>
    <n v="0"/>
    <n v="1485"/>
    <n v="31.479452054794521"/>
    <n v="45"/>
  </r>
  <r>
    <s v="ORD-2366"/>
    <d v="2025-10-01T00:00:00"/>
    <x v="1"/>
    <x v="1"/>
    <n v="12.5"/>
    <n v="22"/>
    <n v="0"/>
    <n v="275"/>
    <n v="31.794520547945204"/>
    <n v="12.5"/>
  </r>
  <r>
    <s v="ORD-2367"/>
    <d v="2025-10-01T00:00:00"/>
    <x v="2"/>
    <x v="2"/>
    <n v="35"/>
    <n v="49"/>
    <n v="0"/>
    <n v="1715"/>
    <n v="30.438356164383563"/>
    <n v="35"/>
  </r>
  <r>
    <s v="ORD-2368"/>
    <d v="2025-10-01T00:00:00"/>
    <x v="3"/>
    <x v="3"/>
    <n v="120"/>
    <n v="45"/>
    <n v="0"/>
    <n v="5400"/>
    <n v="30.473972602739725"/>
    <n v="120"/>
  </r>
  <r>
    <s v="ORD-2369"/>
    <d v="2025-10-01T00:00:00"/>
    <x v="4"/>
    <x v="4"/>
    <n v="25"/>
    <n v="30"/>
    <n v="0.1"/>
    <n v="675"/>
    <n v="29.463013698630139"/>
    <n v="25"/>
  </r>
  <r>
    <s v="ORD-2370"/>
    <d v="2025-10-02T00:00:00"/>
    <x v="0"/>
    <x v="0"/>
    <n v="45"/>
    <n v="42"/>
    <n v="0.1"/>
    <n v="1701"/>
    <n v="31.479452054794521"/>
    <n v="45"/>
  </r>
  <r>
    <s v="ORD-2371"/>
    <d v="2025-10-02T00:00:00"/>
    <x v="1"/>
    <x v="1"/>
    <n v="12.5"/>
    <n v="39"/>
    <n v="0.1"/>
    <n v="438.75"/>
    <n v="31.794520547945204"/>
    <n v="12.5"/>
  </r>
  <r>
    <s v="ORD-2372"/>
    <d v="2025-10-02T00:00:00"/>
    <x v="2"/>
    <x v="2"/>
    <n v="35"/>
    <n v="35"/>
    <n v="0"/>
    <n v="1225"/>
    <n v="30.438356164383563"/>
    <n v="35"/>
  </r>
  <r>
    <s v="ORD-2373"/>
    <d v="2025-10-02T00:00:00"/>
    <x v="3"/>
    <x v="3"/>
    <n v="120"/>
    <n v="17"/>
    <n v="0"/>
    <n v="2040"/>
    <n v="30.473972602739725"/>
    <n v="120"/>
  </r>
  <r>
    <s v="ORD-2374"/>
    <d v="2025-10-02T00:00:00"/>
    <x v="4"/>
    <x v="4"/>
    <n v="25"/>
    <n v="49"/>
    <n v="0"/>
    <n v="1225"/>
    <n v="29.463013698630139"/>
    <n v="25"/>
  </r>
  <r>
    <s v="ORD-2375"/>
    <d v="2025-10-03T00:00:00"/>
    <x v="0"/>
    <x v="0"/>
    <n v="45"/>
    <n v="11"/>
    <n v="0"/>
    <n v="495"/>
    <n v="31.479452054794521"/>
    <n v="45"/>
  </r>
  <r>
    <s v="ORD-2376"/>
    <d v="2025-10-03T00:00:00"/>
    <x v="1"/>
    <x v="1"/>
    <n v="12.5"/>
    <n v="27"/>
    <n v="0"/>
    <n v="337.5"/>
    <n v="31.794520547945204"/>
    <n v="12.5"/>
  </r>
  <r>
    <s v="ORD-2377"/>
    <d v="2025-10-03T00:00:00"/>
    <x v="2"/>
    <x v="2"/>
    <n v="35"/>
    <n v="18"/>
    <n v="0"/>
    <n v="630"/>
    <n v="30.438356164383563"/>
    <n v="35"/>
  </r>
  <r>
    <s v="ORD-2378"/>
    <d v="2025-10-03T00:00:00"/>
    <x v="3"/>
    <x v="3"/>
    <n v="120"/>
    <n v="26"/>
    <n v="0.1"/>
    <n v="2808"/>
    <n v="30.473972602739725"/>
    <n v="120"/>
  </r>
  <r>
    <s v="ORD-2379"/>
    <d v="2025-10-03T00:00:00"/>
    <x v="4"/>
    <x v="4"/>
    <n v="25"/>
    <n v="48"/>
    <n v="0"/>
    <n v="1200"/>
    <n v="29.463013698630139"/>
    <n v="25"/>
  </r>
  <r>
    <s v="ORD-2380"/>
    <d v="2025-10-04T00:00:00"/>
    <x v="0"/>
    <x v="0"/>
    <n v="45"/>
    <n v="73"/>
    <n v="0.1"/>
    <n v="2956.5"/>
    <n v="31.479452054794521"/>
    <n v="45"/>
  </r>
  <r>
    <s v="ORD-2381"/>
    <d v="2025-10-04T00:00:00"/>
    <x v="1"/>
    <x v="1"/>
    <n v="12.5"/>
    <n v="12"/>
    <n v="0"/>
    <n v="150"/>
    <n v="31.794520547945204"/>
    <n v="12.5"/>
  </r>
  <r>
    <s v="ORD-2382"/>
    <d v="2025-10-04T00:00:00"/>
    <x v="2"/>
    <x v="2"/>
    <n v="35"/>
    <n v="42"/>
    <n v="0"/>
    <n v="1470"/>
    <n v="30.438356164383563"/>
    <n v="35"/>
  </r>
  <r>
    <s v="ORD-2383"/>
    <d v="2025-10-04T00:00:00"/>
    <x v="3"/>
    <x v="3"/>
    <n v="120"/>
    <n v="12"/>
    <n v="0"/>
    <n v="1440"/>
    <n v="30.473972602739725"/>
    <n v="120"/>
  </r>
  <r>
    <s v="ORD-2384"/>
    <d v="2025-10-04T00:00:00"/>
    <x v="4"/>
    <x v="4"/>
    <n v="25"/>
    <n v="7"/>
    <n v="0.2"/>
    <n v="140"/>
    <n v="29.463013698630139"/>
    <n v="25"/>
  </r>
  <r>
    <s v="ORD-2385"/>
    <d v="2025-10-05T00:00:00"/>
    <x v="0"/>
    <x v="0"/>
    <n v="45"/>
    <n v="36"/>
    <n v="0.1"/>
    <n v="1458"/>
    <n v="31.479452054794521"/>
    <n v="45"/>
  </r>
  <r>
    <s v="ORD-2386"/>
    <d v="2025-10-05T00:00:00"/>
    <x v="1"/>
    <x v="1"/>
    <n v="12.5"/>
    <n v="39"/>
    <n v="0"/>
    <n v="487.5"/>
    <n v="31.794520547945204"/>
    <n v="12.5"/>
  </r>
  <r>
    <s v="ORD-2387"/>
    <d v="2025-10-05T00:00:00"/>
    <x v="2"/>
    <x v="2"/>
    <n v="35"/>
    <n v="69"/>
    <n v="0"/>
    <n v="2415"/>
    <n v="30.438356164383563"/>
    <n v="35"/>
  </r>
  <r>
    <s v="ORD-2388"/>
    <d v="2025-10-05T00:00:00"/>
    <x v="3"/>
    <x v="3"/>
    <n v="120"/>
    <n v="42"/>
    <n v="0"/>
    <n v="5040"/>
    <n v="30.473972602739725"/>
    <n v="120"/>
  </r>
  <r>
    <s v="ORD-2389"/>
    <d v="2025-10-05T00:00:00"/>
    <x v="4"/>
    <x v="4"/>
    <n v="25"/>
    <n v="48"/>
    <n v="0"/>
    <n v="1200"/>
    <n v="29.463013698630139"/>
    <n v="25"/>
  </r>
  <r>
    <s v="ORD-2390"/>
    <d v="2025-10-06T00:00:00"/>
    <x v="0"/>
    <x v="0"/>
    <n v="45"/>
    <n v="40"/>
    <n v="0"/>
    <n v="1800"/>
    <n v="31.479452054794521"/>
    <n v="45"/>
  </r>
  <r>
    <s v="ORD-2391"/>
    <d v="2025-10-06T00:00:00"/>
    <x v="1"/>
    <x v="1"/>
    <n v="12.5"/>
    <n v="6"/>
    <n v="0.1"/>
    <n v="67.5"/>
    <n v="31.794520547945204"/>
    <n v="12.5"/>
  </r>
  <r>
    <s v="ORD-2392"/>
    <d v="2025-10-06T00:00:00"/>
    <x v="2"/>
    <x v="2"/>
    <n v="35"/>
    <n v="43"/>
    <n v="0"/>
    <n v="1505"/>
    <n v="30.438356164383563"/>
    <n v="35"/>
  </r>
  <r>
    <s v="ORD-2393"/>
    <d v="2025-10-06T00:00:00"/>
    <x v="3"/>
    <x v="3"/>
    <n v="120"/>
    <n v="12"/>
    <n v="0"/>
    <n v="1440"/>
    <n v="30.473972602739725"/>
    <n v="120"/>
  </r>
  <r>
    <s v="ORD-2394"/>
    <d v="2025-10-06T00:00:00"/>
    <x v="4"/>
    <x v="4"/>
    <n v="25"/>
    <n v="14"/>
    <n v="0"/>
    <n v="350"/>
    <n v="29.463013698630139"/>
    <n v="25"/>
  </r>
  <r>
    <s v="ORD-2395"/>
    <d v="2025-10-07T00:00:00"/>
    <x v="0"/>
    <x v="0"/>
    <n v="45"/>
    <n v="27"/>
    <n v="0"/>
    <n v="1215"/>
    <n v="31.479452054794521"/>
    <n v="45"/>
  </r>
  <r>
    <s v="ORD-2396"/>
    <d v="2025-10-07T00:00:00"/>
    <x v="1"/>
    <x v="1"/>
    <n v="12.5"/>
    <n v="39"/>
    <n v="0.1"/>
    <n v="438.75"/>
    <n v="31.794520547945204"/>
    <n v="12.5"/>
  </r>
  <r>
    <s v="ORD-2397"/>
    <d v="2025-10-07T00:00:00"/>
    <x v="2"/>
    <x v="2"/>
    <n v="35"/>
    <n v="40"/>
    <n v="0"/>
    <n v="1400"/>
    <n v="30.438356164383563"/>
    <n v="35"/>
  </r>
  <r>
    <s v="ORD-2398"/>
    <d v="2025-10-07T00:00:00"/>
    <x v="3"/>
    <x v="3"/>
    <n v="120"/>
    <n v="18"/>
    <n v="0"/>
    <n v="2160"/>
    <n v="30.473972602739725"/>
    <n v="120"/>
  </r>
  <r>
    <s v="ORD-2399"/>
    <d v="2025-10-07T00:00:00"/>
    <x v="4"/>
    <x v="4"/>
    <n v="25"/>
    <n v="24"/>
    <n v="0"/>
    <n v="600"/>
    <n v="29.463013698630139"/>
    <n v="25"/>
  </r>
  <r>
    <s v="ORD-2400"/>
    <d v="2025-10-08T00:00:00"/>
    <x v="0"/>
    <x v="0"/>
    <n v="45"/>
    <n v="5"/>
    <n v="0"/>
    <n v="225"/>
    <n v="31.479452054794521"/>
    <n v="45"/>
  </r>
  <r>
    <s v="ORD-2401"/>
    <d v="2025-10-08T00:00:00"/>
    <x v="1"/>
    <x v="1"/>
    <n v="12.5"/>
    <n v="49"/>
    <n v="0"/>
    <n v="612.5"/>
    <n v="31.794520547945204"/>
    <n v="12.5"/>
  </r>
  <r>
    <s v="ORD-2402"/>
    <d v="2025-10-08T00:00:00"/>
    <x v="2"/>
    <x v="2"/>
    <n v="35"/>
    <n v="26"/>
    <n v="0"/>
    <n v="910"/>
    <n v="30.438356164383563"/>
    <n v="35"/>
  </r>
  <r>
    <s v="ORD-2403"/>
    <d v="2025-10-08T00:00:00"/>
    <x v="3"/>
    <x v="3"/>
    <n v="120"/>
    <n v="23"/>
    <n v="0"/>
    <n v="2760"/>
    <n v="30.473972602739725"/>
    <n v="120"/>
  </r>
  <r>
    <s v="ORD-2404"/>
    <d v="2025-10-08T00:00:00"/>
    <x v="4"/>
    <x v="4"/>
    <n v="25"/>
    <n v="36"/>
    <n v="0"/>
    <n v="900"/>
    <n v="29.463013698630139"/>
    <n v="25"/>
  </r>
  <r>
    <s v="ORD-2405"/>
    <d v="2025-10-09T00:00:00"/>
    <x v="0"/>
    <x v="0"/>
    <n v="45"/>
    <n v="24"/>
    <n v="0"/>
    <n v="1080"/>
    <n v="31.479452054794521"/>
    <n v="45"/>
  </r>
  <r>
    <s v="ORD-2406"/>
    <d v="2025-10-09T00:00:00"/>
    <x v="1"/>
    <x v="1"/>
    <n v="12.5"/>
    <n v="12"/>
    <n v="0.1"/>
    <n v="135"/>
    <n v="31.794520547945204"/>
    <n v="12.5"/>
  </r>
  <r>
    <s v="ORD-2407"/>
    <d v="2025-10-09T00:00:00"/>
    <x v="2"/>
    <x v="2"/>
    <n v="35"/>
    <n v="7"/>
    <n v="0"/>
    <n v="245"/>
    <n v="30.438356164383563"/>
    <n v="35"/>
  </r>
  <r>
    <s v="ORD-2408"/>
    <d v="2025-10-09T00:00:00"/>
    <x v="3"/>
    <x v="3"/>
    <n v="120"/>
    <n v="23"/>
    <n v="0.1"/>
    <n v="2484"/>
    <n v="30.473972602739725"/>
    <n v="120"/>
  </r>
  <r>
    <s v="ORD-2409"/>
    <d v="2025-10-09T00:00:00"/>
    <x v="4"/>
    <x v="4"/>
    <n v="25"/>
    <n v="35"/>
    <n v="0"/>
    <n v="875"/>
    <n v="29.463013698630139"/>
    <n v="25"/>
  </r>
  <r>
    <s v="ORD-2410"/>
    <d v="2025-10-10T00:00:00"/>
    <x v="0"/>
    <x v="0"/>
    <n v="45"/>
    <n v="7"/>
    <n v="0"/>
    <n v="315"/>
    <n v="31.479452054794521"/>
    <n v="45"/>
  </r>
  <r>
    <s v="ORD-2411"/>
    <d v="2025-10-10T00:00:00"/>
    <x v="1"/>
    <x v="1"/>
    <n v="12.5"/>
    <n v="35"/>
    <n v="0"/>
    <n v="437.5"/>
    <n v="31.794520547945204"/>
    <n v="12.5"/>
  </r>
  <r>
    <s v="ORD-2412"/>
    <d v="2025-10-10T00:00:00"/>
    <x v="2"/>
    <x v="2"/>
    <n v="35"/>
    <n v="10"/>
    <n v="0"/>
    <n v="350"/>
    <n v="30.438356164383563"/>
    <n v="35"/>
  </r>
  <r>
    <s v="ORD-2413"/>
    <d v="2025-10-10T00:00:00"/>
    <x v="3"/>
    <x v="3"/>
    <n v="120"/>
    <n v="20"/>
    <n v="0.1"/>
    <n v="2160"/>
    <n v="30.473972602739725"/>
    <n v="120"/>
  </r>
  <r>
    <s v="ORD-2414"/>
    <d v="2025-10-10T00:00:00"/>
    <x v="4"/>
    <x v="4"/>
    <n v="25"/>
    <n v="47"/>
    <n v="0"/>
    <n v="1175"/>
    <n v="29.463013698630139"/>
    <n v="25"/>
  </r>
  <r>
    <s v="ORD-2415"/>
    <d v="2025-10-11T00:00:00"/>
    <x v="0"/>
    <x v="0"/>
    <n v="45"/>
    <n v="34"/>
    <n v="0.1"/>
    <n v="1377"/>
    <n v="31.479452054794521"/>
    <n v="45"/>
  </r>
  <r>
    <s v="ORD-2416"/>
    <d v="2025-10-11T00:00:00"/>
    <x v="1"/>
    <x v="1"/>
    <n v="12.5"/>
    <n v="13"/>
    <n v="0"/>
    <n v="162.5"/>
    <n v="31.794520547945204"/>
    <n v="12.5"/>
  </r>
  <r>
    <s v="ORD-2417"/>
    <d v="2025-10-11T00:00:00"/>
    <x v="2"/>
    <x v="2"/>
    <n v="35"/>
    <n v="7"/>
    <n v="0"/>
    <n v="245"/>
    <n v="30.438356164383563"/>
    <n v="35"/>
  </r>
  <r>
    <s v="ORD-2418"/>
    <d v="2025-10-11T00:00:00"/>
    <x v="3"/>
    <x v="3"/>
    <n v="120"/>
    <n v="55"/>
    <n v="0"/>
    <n v="6600"/>
    <n v="30.473972602739725"/>
    <n v="120"/>
  </r>
  <r>
    <s v="ORD-2419"/>
    <d v="2025-10-11T00:00:00"/>
    <x v="4"/>
    <x v="4"/>
    <n v="25"/>
    <n v="30"/>
    <n v="0"/>
    <n v="750"/>
    <n v="29.463013698630139"/>
    <n v="25"/>
  </r>
  <r>
    <s v="ORD-2420"/>
    <d v="2025-10-12T00:00:00"/>
    <x v="0"/>
    <x v="0"/>
    <n v="45"/>
    <n v="15"/>
    <n v="0"/>
    <n v="675"/>
    <n v="31.479452054794521"/>
    <n v="45"/>
  </r>
  <r>
    <s v="ORD-2421"/>
    <d v="2025-10-12T00:00:00"/>
    <x v="1"/>
    <x v="1"/>
    <n v="12.5"/>
    <n v="34"/>
    <n v="0"/>
    <n v="425"/>
    <n v="31.794520547945204"/>
    <n v="12.5"/>
  </r>
  <r>
    <s v="ORD-2422"/>
    <d v="2025-10-12T00:00:00"/>
    <x v="2"/>
    <x v="2"/>
    <n v="35"/>
    <n v="21"/>
    <n v="0.1"/>
    <n v="661.5"/>
    <n v="30.438356164383563"/>
    <n v="35"/>
  </r>
  <r>
    <s v="ORD-2423"/>
    <d v="2025-10-12T00:00:00"/>
    <x v="3"/>
    <x v="3"/>
    <n v="120"/>
    <n v="40"/>
    <n v="0"/>
    <n v="4800"/>
    <n v="30.473972602739725"/>
    <n v="120"/>
  </r>
  <r>
    <s v="ORD-2424"/>
    <d v="2025-10-12T00:00:00"/>
    <x v="4"/>
    <x v="4"/>
    <n v="25"/>
    <n v="10"/>
    <n v="0"/>
    <n v="250"/>
    <n v="29.463013698630139"/>
    <n v="25"/>
  </r>
  <r>
    <s v="ORD-2425"/>
    <d v="2025-10-13T00:00:00"/>
    <x v="0"/>
    <x v="0"/>
    <n v="45"/>
    <n v="47"/>
    <n v="0"/>
    <n v="2115"/>
    <n v="31.479452054794521"/>
    <n v="45"/>
  </r>
  <r>
    <s v="ORD-2426"/>
    <d v="2025-10-13T00:00:00"/>
    <x v="1"/>
    <x v="1"/>
    <n v="12.5"/>
    <n v="22"/>
    <n v="0"/>
    <n v="275"/>
    <n v="31.794520547945204"/>
    <n v="12.5"/>
  </r>
  <r>
    <s v="ORD-2427"/>
    <d v="2025-10-13T00:00:00"/>
    <x v="2"/>
    <x v="2"/>
    <n v="35"/>
    <n v="12"/>
    <n v="0.1"/>
    <n v="378"/>
    <n v="30.438356164383563"/>
    <n v="35"/>
  </r>
  <r>
    <s v="ORD-2428"/>
    <d v="2025-10-13T00:00:00"/>
    <x v="3"/>
    <x v="3"/>
    <n v="120"/>
    <n v="47"/>
    <n v="0"/>
    <n v="5640"/>
    <n v="30.473972602739725"/>
    <n v="120"/>
  </r>
  <r>
    <s v="ORD-2429"/>
    <d v="2025-10-13T00:00:00"/>
    <x v="4"/>
    <x v="4"/>
    <n v="25"/>
    <n v="37"/>
    <n v="0.1"/>
    <n v="832.5"/>
    <n v="29.463013698630139"/>
    <n v="25"/>
  </r>
  <r>
    <s v="ORD-2430"/>
    <d v="2025-10-14T00:00:00"/>
    <x v="0"/>
    <x v="0"/>
    <n v="45"/>
    <n v="21"/>
    <n v="0"/>
    <n v="945"/>
    <n v="31.479452054794521"/>
    <n v="45"/>
  </r>
  <r>
    <s v="ORD-2431"/>
    <d v="2025-10-14T00:00:00"/>
    <x v="1"/>
    <x v="1"/>
    <n v="12.5"/>
    <n v="48"/>
    <n v="0"/>
    <n v="600"/>
    <n v="31.794520547945204"/>
    <n v="12.5"/>
  </r>
  <r>
    <s v="ORD-2432"/>
    <d v="2025-10-14T00:00:00"/>
    <x v="2"/>
    <x v="2"/>
    <n v="35"/>
    <n v="34"/>
    <n v="0"/>
    <n v="1190"/>
    <n v="30.438356164383563"/>
    <n v="35"/>
  </r>
  <r>
    <s v="ORD-2433"/>
    <d v="2025-10-14T00:00:00"/>
    <x v="3"/>
    <x v="3"/>
    <n v="120"/>
    <n v="10"/>
    <n v="0"/>
    <n v="1200"/>
    <n v="30.473972602739725"/>
    <n v="120"/>
  </r>
  <r>
    <s v="ORD-2434"/>
    <d v="2025-10-14T00:00:00"/>
    <x v="4"/>
    <x v="4"/>
    <n v="25"/>
    <n v="28"/>
    <n v="0.1"/>
    <n v="630"/>
    <n v="29.463013698630139"/>
    <n v="25"/>
  </r>
  <r>
    <s v="ORD-2435"/>
    <d v="2025-10-15T00:00:00"/>
    <x v="0"/>
    <x v="0"/>
    <n v="45"/>
    <n v="18"/>
    <n v="0.2"/>
    <n v="648"/>
    <n v="31.479452054794521"/>
    <n v="45"/>
  </r>
  <r>
    <s v="ORD-2436"/>
    <d v="2025-10-15T00:00:00"/>
    <x v="1"/>
    <x v="1"/>
    <n v="12.5"/>
    <n v="23"/>
    <n v="0"/>
    <n v="287.5"/>
    <n v="31.794520547945204"/>
    <n v="12.5"/>
  </r>
  <r>
    <s v="ORD-2437"/>
    <d v="2025-10-15T00:00:00"/>
    <x v="2"/>
    <x v="2"/>
    <n v="35"/>
    <n v="37"/>
    <n v="0"/>
    <n v="1295"/>
    <n v="30.438356164383563"/>
    <n v="35"/>
  </r>
  <r>
    <s v="ORD-2438"/>
    <d v="2025-10-15T00:00:00"/>
    <x v="3"/>
    <x v="3"/>
    <n v="120"/>
    <n v="11"/>
    <n v="0"/>
    <n v="1320"/>
    <n v="30.473972602739725"/>
    <n v="120"/>
  </r>
  <r>
    <s v="ORD-2439"/>
    <d v="2025-10-15T00:00:00"/>
    <x v="4"/>
    <x v="4"/>
    <n v="25"/>
    <n v="38"/>
    <n v="0"/>
    <n v="950"/>
    <n v="29.463013698630139"/>
    <n v="25"/>
  </r>
  <r>
    <s v="ORD-2440"/>
    <d v="2025-10-16T00:00:00"/>
    <x v="0"/>
    <x v="0"/>
    <n v="45"/>
    <n v="49"/>
    <n v="0"/>
    <n v="2205"/>
    <n v="31.479452054794521"/>
    <n v="45"/>
  </r>
  <r>
    <s v="ORD-2441"/>
    <d v="2025-10-16T00:00:00"/>
    <x v="1"/>
    <x v="1"/>
    <n v="12.5"/>
    <n v="19"/>
    <n v="0.1"/>
    <n v="213.75"/>
    <n v="31.794520547945204"/>
    <n v="12.5"/>
  </r>
  <r>
    <s v="ORD-2442"/>
    <d v="2025-10-16T00:00:00"/>
    <x v="2"/>
    <x v="2"/>
    <n v="35"/>
    <n v="46"/>
    <n v="0.1"/>
    <n v="1449"/>
    <n v="30.438356164383563"/>
    <n v="35"/>
  </r>
  <r>
    <s v="ORD-2443"/>
    <d v="2025-10-16T00:00:00"/>
    <x v="3"/>
    <x v="3"/>
    <n v="120"/>
    <n v="30"/>
    <n v="0"/>
    <n v="3600"/>
    <n v="30.473972602739725"/>
    <n v="120"/>
  </r>
  <r>
    <s v="ORD-2444"/>
    <d v="2025-10-16T00:00:00"/>
    <x v="4"/>
    <x v="4"/>
    <n v="25"/>
    <n v="6"/>
    <n v="0.2"/>
    <n v="120"/>
    <n v="29.463013698630139"/>
    <n v="25"/>
  </r>
  <r>
    <s v="ORD-2445"/>
    <d v="2025-10-17T00:00:00"/>
    <x v="0"/>
    <x v="0"/>
    <n v="45"/>
    <n v="41"/>
    <n v="0.1"/>
    <n v="1660.5"/>
    <n v="31.479452054794521"/>
    <n v="45"/>
  </r>
  <r>
    <s v="ORD-2446"/>
    <d v="2025-10-17T00:00:00"/>
    <x v="1"/>
    <x v="1"/>
    <n v="12.5"/>
    <n v="16"/>
    <n v="0"/>
    <n v="200"/>
    <n v="31.794520547945204"/>
    <n v="12.5"/>
  </r>
  <r>
    <s v="ORD-2447"/>
    <d v="2025-10-17T00:00:00"/>
    <x v="2"/>
    <x v="2"/>
    <n v="35"/>
    <n v="24"/>
    <n v="0"/>
    <n v="840"/>
    <n v="30.438356164383563"/>
    <n v="35"/>
  </r>
  <r>
    <s v="ORD-2448"/>
    <d v="2025-10-17T00:00:00"/>
    <x v="3"/>
    <x v="3"/>
    <n v="120"/>
    <n v="6"/>
    <n v="0.1"/>
    <n v="648"/>
    <n v="30.473972602739725"/>
    <n v="120"/>
  </r>
  <r>
    <s v="ORD-2449"/>
    <d v="2025-10-17T00:00:00"/>
    <x v="4"/>
    <x v="4"/>
    <n v="25"/>
    <n v="37"/>
    <n v="0.1"/>
    <n v="832.5"/>
    <n v="29.463013698630139"/>
    <n v="25"/>
  </r>
  <r>
    <s v="ORD-2450"/>
    <d v="2025-10-18T00:00:00"/>
    <x v="0"/>
    <x v="0"/>
    <n v="45"/>
    <n v="36"/>
    <n v="0"/>
    <n v="1620"/>
    <n v="31.479452054794521"/>
    <n v="45"/>
  </r>
  <r>
    <s v="ORD-2451"/>
    <d v="2025-10-18T00:00:00"/>
    <x v="1"/>
    <x v="1"/>
    <n v="12.5"/>
    <n v="39"/>
    <n v="0"/>
    <n v="487.5"/>
    <n v="31.794520547945204"/>
    <n v="12.5"/>
  </r>
  <r>
    <s v="ORD-2452"/>
    <d v="2025-10-18T00:00:00"/>
    <x v="2"/>
    <x v="2"/>
    <n v="35"/>
    <n v="60"/>
    <n v="0.1"/>
    <n v="1890"/>
    <n v="30.438356164383563"/>
    <n v="35"/>
  </r>
  <r>
    <s v="ORD-2453"/>
    <d v="2025-10-18T00:00:00"/>
    <x v="3"/>
    <x v="3"/>
    <n v="120"/>
    <n v="52"/>
    <n v="0"/>
    <n v="6240"/>
    <n v="30.473972602739725"/>
    <n v="120"/>
  </r>
  <r>
    <s v="ORD-2454"/>
    <d v="2025-10-18T00:00:00"/>
    <x v="4"/>
    <x v="4"/>
    <n v="25"/>
    <n v="66"/>
    <n v="0"/>
    <n v="1650"/>
    <n v="29.463013698630139"/>
    <n v="25"/>
  </r>
  <r>
    <s v="ORD-2455"/>
    <d v="2025-10-19T00:00:00"/>
    <x v="0"/>
    <x v="0"/>
    <n v="45"/>
    <n v="45"/>
    <n v="0"/>
    <n v="2025"/>
    <n v="31.479452054794521"/>
    <n v="45"/>
  </r>
  <r>
    <s v="ORD-2456"/>
    <d v="2025-10-19T00:00:00"/>
    <x v="1"/>
    <x v="1"/>
    <n v="12.5"/>
    <n v="12"/>
    <n v="0"/>
    <n v="150"/>
    <n v="31.794520547945204"/>
    <n v="12.5"/>
  </r>
  <r>
    <s v="ORD-2457"/>
    <d v="2025-10-19T00:00:00"/>
    <x v="2"/>
    <x v="2"/>
    <n v="35"/>
    <n v="61"/>
    <n v="0"/>
    <n v="2135"/>
    <n v="30.438356164383563"/>
    <n v="35"/>
  </r>
  <r>
    <s v="ORD-2458"/>
    <d v="2025-10-19T00:00:00"/>
    <x v="3"/>
    <x v="3"/>
    <n v="120"/>
    <n v="21"/>
    <n v="0"/>
    <n v="2520"/>
    <n v="30.473972602739725"/>
    <n v="120"/>
  </r>
  <r>
    <s v="ORD-2459"/>
    <d v="2025-10-19T00:00:00"/>
    <x v="4"/>
    <x v="4"/>
    <n v="25"/>
    <n v="7"/>
    <n v="0"/>
    <n v="175"/>
    <n v="29.463013698630139"/>
    <n v="25"/>
  </r>
  <r>
    <s v="ORD-2460"/>
    <d v="2025-10-20T00:00:00"/>
    <x v="0"/>
    <x v="0"/>
    <n v="45"/>
    <n v="33"/>
    <n v="0.2"/>
    <n v="1188"/>
    <n v="31.479452054794521"/>
    <n v="45"/>
  </r>
  <r>
    <s v="ORD-2461"/>
    <d v="2025-10-20T00:00:00"/>
    <x v="1"/>
    <x v="1"/>
    <n v="12.5"/>
    <n v="44"/>
    <n v="0"/>
    <n v="550"/>
    <n v="31.794520547945204"/>
    <n v="12.5"/>
  </r>
  <r>
    <s v="ORD-2462"/>
    <d v="2025-10-20T00:00:00"/>
    <x v="2"/>
    <x v="2"/>
    <n v="35"/>
    <n v="16"/>
    <n v="0.1"/>
    <n v="504"/>
    <n v="30.438356164383563"/>
    <n v="35"/>
  </r>
  <r>
    <s v="ORD-2463"/>
    <d v="2025-10-20T00:00:00"/>
    <x v="3"/>
    <x v="3"/>
    <n v="120"/>
    <n v="42"/>
    <n v="0"/>
    <n v="5040"/>
    <n v="30.473972602739725"/>
    <n v="120"/>
  </r>
  <r>
    <s v="ORD-2464"/>
    <d v="2025-10-20T00:00:00"/>
    <x v="4"/>
    <x v="4"/>
    <n v="25"/>
    <n v="19"/>
    <n v="0"/>
    <n v="475"/>
    <n v="29.463013698630139"/>
    <n v="25"/>
  </r>
  <r>
    <s v="ORD-2465"/>
    <d v="2025-10-21T00:00:00"/>
    <x v="0"/>
    <x v="0"/>
    <n v="45"/>
    <n v="19"/>
    <n v="0"/>
    <n v="855"/>
    <n v="31.479452054794521"/>
    <n v="45"/>
  </r>
  <r>
    <s v="ORD-2466"/>
    <d v="2025-10-21T00:00:00"/>
    <x v="1"/>
    <x v="1"/>
    <n v="12.5"/>
    <n v="23"/>
    <n v="0.2"/>
    <n v="230"/>
    <n v="31.794520547945204"/>
    <n v="12.5"/>
  </r>
  <r>
    <s v="ORD-2467"/>
    <d v="2025-10-21T00:00:00"/>
    <x v="2"/>
    <x v="2"/>
    <n v="35"/>
    <n v="31"/>
    <n v="0.1"/>
    <n v="976.5"/>
    <n v="30.438356164383563"/>
    <n v="35"/>
  </r>
  <r>
    <s v="ORD-2468"/>
    <d v="2025-10-21T00:00:00"/>
    <x v="3"/>
    <x v="3"/>
    <n v="120"/>
    <n v="41"/>
    <n v="0.1"/>
    <n v="4428"/>
    <n v="30.473972602739725"/>
    <n v="120"/>
  </r>
  <r>
    <s v="ORD-2469"/>
    <d v="2025-10-21T00:00:00"/>
    <x v="4"/>
    <x v="4"/>
    <n v="25"/>
    <n v="17"/>
    <n v="0"/>
    <n v="425"/>
    <n v="29.463013698630139"/>
    <n v="25"/>
  </r>
  <r>
    <s v="ORD-2470"/>
    <d v="2025-10-22T00:00:00"/>
    <x v="0"/>
    <x v="0"/>
    <n v="45"/>
    <n v="30"/>
    <n v="0"/>
    <n v="1350"/>
    <n v="31.479452054794521"/>
    <n v="45"/>
  </r>
  <r>
    <s v="ORD-2471"/>
    <d v="2025-10-22T00:00:00"/>
    <x v="1"/>
    <x v="1"/>
    <n v="12.5"/>
    <n v="9"/>
    <n v="0"/>
    <n v="112.5"/>
    <n v="31.794520547945204"/>
    <n v="12.5"/>
  </r>
  <r>
    <s v="ORD-2472"/>
    <d v="2025-10-22T00:00:00"/>
    <x v="2"/>
    <x v="2"/>
    <n v="35"/>
    <n v="20"/>
    <n v="0"/>
    <n v="700"/>
    <n v="30.438356164383563"/>
    <n v="35"/>
  </r>
  <r>
    <s v="ORD-2473"/>
    <d v="2025-10-22T00:00:00"/>
    <x v="3"/>
    <x v="3"/>
    <n v="120"/>
    <n v="26"/>
    <n v="0"/>
    <n v="3120"/>
    <n v="30.473972602739725"/>
    <n v="120"/>
  </r>
  <r>
    <s v="ORD-2474"/>
    <d v="2025-10-22T00:00:00"/>
    <x v="4"/>
    <x v="4"/>
    <n v="25"/>
    <n v="29"/>
    <n v="0"/>
    <n v="725"/>
    <n v="29.463013698630139"/>
    <n v="25"/>
  </r>
  <r>
    <s v="ORD-2475"/>
    <d v="2025-10-23T00:00:00"/>
    <x v="0"/>
    <x v="0"/>
    <n v="45"/>
    <n v="41"/>
    <n v="0"/>
    <n v="1845"/>
    <n v="31.479452054794521"/>
    <n v="45"/>
  </r>
  <r>
    <s v="ORD-2476"/>
    <d v="2025-10-23T00:00:00"/>
    <x v="1"/>
    <x v="1"/>
    <n v="12.5"/>
    <n v="14"/>
    <n v="0.1"/>
    <n v="157.5"/>
    <n v="31.794520547945204"/>
    <n v="12.5"/>
  </r>
  <r>
    <s v="ORD-2477"/>
    <d v="2025-10-23T00:00:00"/>
    <x v="2"/>
    <x v="2"/>
    <n v="35"/>
    <n v="39"/>
    <n v="0"/>
    <n v="1365"/>
    <n v="30.438356164383563"/>
    <n v="35"/>
  </r>
  <r>
    <s v="ORD-2478"/>
    <d v="2025-10-23T00:00:00"/>
    <x v="3"/>
    <x v="3"/>
    <n v="120"/>
    <n v="43"/>
    <n v="0"/>
    <n v="5160"/>
    <n v="30.473972602739725"/>
    <n v="120"/>
  </r>
  <r>
    <s v="ORD-2479"/>
    <d v="2025-10-23T00:00:00"/>
    <x v="4"/>
    <x v="4"/>
    <n v="25"/>
    <n v="19"/>
    <n v="0"/>
    <n v="475"/>
    <n v="29.463013698630139"/>
    <n v="25"/>
  </r>
  <r>
    <s v="ORD-2480"/>
    <d v="2025-10-24T00:00:00"/>
    <x v="0"/>
    <x v="0"/>
    <n v="45"/>
    <n v="36"/>
    <n v="0.1"/>
    <n v="1458"/>
    <n v="31.479452054794521"/>
    <n v="45"/>
  </r>
  <r>
    <s v="ORD-2481"/>
    <d v="2025-10-24T00:00:00"/>
    <x v="1"/>
    <x v="1"/>
    <n v="12.5"/>
    <n v="42"/>
    <n v="0"/>
    <n v="525"/>
    <n v="31.794520547945204"/>
    <n v="12.5"/>
  </r>
  <r>
    <s v="ORD-2482"/>
    <d v="2025-10-24T00:00:00"/>
    <x v="2"/>
    <x v="2"/>
    <n v="35"/>
    <n v="26"/>
    <n v="0"/>
    <n v="910"/>
    <n v="30.438356164383563"/>
    <n v="35"/>
  </r>
  <r>
    <s v="ORD-2483"/>
    <d v="2025-10-24T00:00:00"/>
    <x v="3"/>
    <x v="3"/>
    <n v="120"/>
    <n v="15"/>
    <n v="0"/>
    <n v="1800"/>
    <n v="30.473972602739725"/>
    <n v="120"/>
  </r>
  <r>
    <s v="ORD-2484"/>
    <d v="2025-10-24T00:00:00"/>
    <x v="4"/>
    <x v="4"/>
    <n v="25"/>
    <n v="32"/>
    <n v="0"/>
    <n v="800"/>
    <n v="29.463013698630139"/>
    <n v="25"/>
  </r>
  <r>
    <s v="ORD-2485"/>
    <d v="2025-10-25T00:00:00"/>
    <x v="0"/>
    <x v="0"/>
    <n v="45"/>
    <n v="45"/>
    <n v="0"/>
    <n v="2025"/>
    <n v="31.479452054794521"/>
    <n v="45"/>
  </r>
  <r>
    <s v="ORD-2486"/>
    <d v="2025-10-25T00:00:00"/>
    <x v="1"/>
    <x v="1"/>
    <n v="12.5"/>
    <n v="60"/>
    <n v="0"/>
    <n v="750"/>
    <n v="31.794520547945204"/>
    <n v="12.5"/>
  </r>
  <r>
    <s v="ORD-2487"/>
    <d v="2025-10-25T00:00:00"/>
    <x v="2"/>
    <x v="2"/>
    <n v="35"/>
    <n v="10"/>
    <n v="0"/>
    <n v="350"/>
    <n v="30.438356164383563"/>
    <n v="35"/>
  </r>
  <r>
    <s v="ORD-2488"/>
    <d v="2025-10-25T00:00:00"/>
    <x v="3"/>
    <x v="3"/>
    <n v="120"/>
    <n v="22"/>
    <n v="0"/>
    <n v="2640"/>
    <n v="30.473972602739725"/>
    <n v="120"/>
  </r>
  <r>
    <s v="ORD-2489"/>
    <d v="2025-10-25T00:00:00"/>
    <x v="4"/>
    <x v="4"/>
    <n v="25"/>
    <n v="49"/>
    <n v="0.1"/>
    <n v="1102.5"/>
    <n v="29.463013698630139"/>
    <n v="25"/>
  </r>
  <r>
    <s v="ORD-2490"/>
    <d v="2025-10-26T00:00:00"/>
    <x v="0"/>
    <x v="0"/>
    <n v="45"/>
    <n v="15"/>
    <n v="0"/>
    <n v="675"/>
    <n v="31.479452054794521"/>
    <n v="45"/>
  </r>
  <r>
    <s v="ORD-2491"/>
    <d v="2025-10-26T00:00:00"/>
    <x v="1"/>
    <x v="1"/>
    <n v="12.5"/>
    <n v="36"/>
    <n v="0"/>
    <n v="450"/>
    <n v="31.794520547945204"/>
    <n v="12.5"/>
  </r>
  <r>
    <s v="ORD-2492"/>
    <d v="2025-10-26T00:00:00"/>
    <x v="2"/>
    <x v="2"/>
    <n v="35"/>
    <n v="40"/>
    <n v="0"/>
    <n v="1400"/>
    <n v="30.438356164383563"/>
    <n v="35"/>
  </r>
  <r>
    <s v="ORD-2493"/>
    <d v="2025-10-26T00:00:00"/>
    <x v="3"/>
    <x v="3"/>
    <n v="120"/>
    <n v="57"/>
    <n v="0.2"/>
    <n v="5472"/>
    <n v="30.473972602739725"/>
    <n v="120"/>
  </r>
  <r>
    <s v="ORD-2494"/>
    <d v="2025-10-26T00:00:00"/>
    <x v="4"/>
    <x v="4"/>
    <n v="25"/>
    <n v="30"/>
    <n v="0"/>
    <n v="750"/>
    <n v="29.463013698630139"/>
    <n v="25"/>
  </r>
  <r>
    <s v="ORD-2495"/>
    <d v="2025-10-27T00:00:00"/>
    <x v="0"/>
    <x v="0"/>
    <n v="45"/>
    <n v="15"/>
    <n v="0.2"/>
    <n v="540"/>
    <n v="31.479452054794521"/>
    <n v="45"/>
  </r>
  <r>
    <s v="ORD-2496"/>
    <d v="2025-10-27T00:00:00"/>
    <x v="1"/>
    <x v="1"/>
    <n v="12.5"/>
    <n v="19"/>
    <n v="0"/>
    <n v="237.5"/>
    <n v="31.794520547945204"/>
    <n v="12.5"/>
  </r>
  <r>
    <s v="ORD-2497"/>
    <d v="2025-10-27T00:00:00"/>
    <x v="2"/>
    <x v="2"/>
    <n v="35"/>
    <n v="6"/>
    <n v="0"/>
    <n v="210"/>
    <n v="30.438356164383563"/>
    <n v="35"/>
  </r>
  <r>
    <s v="ORD-2498"/>
    <d v="2025-10-27T00:00:00"/>
    <x v="3"/>
    <x v="3"/>
    <n v="120"/>
    <n v="12"/>
    <n v="0.2"/>
    <n v="1152"/>
    <n v="30.473972602739725"/>
    <n v="120"/>
  </r>
  <r>
    <s v="ORD-2499"/>
    <d v="2025-10-27T00:00:00"/>
    <x v="4"/>
    <x v="4"/>
    <n v="25"/>
    <n v="33"/>
    <n v="0"/>
    <n v="825"/>
    <n v="29.463013698630139"/>
    <n v="25"/>
  </r>
  <r>
    <s v="ORD-2500"/>
    <d v="2025-10-28T00:00:00"/>
    <x v="0"/>
    <x v="0"/>
    <n v="45"/>
    <n v="16"/>
    <n v="0"/>
    <n v="720"/>
    <n v="31.479452054794521"/>
    <n v="45"/>
  </r>
  <r>
    <s v="ORD-2501"/>
    <d v="2025-10-28T00:00:00"/>
    <x v="1"/>
    <x v="1"/>
    <n v="12.5"/>
    <n v="22"/>
    <n v="0.2"/>
    <n v="220"/>
    <n v="31.794520547945204"/>
    <n v="12.5"/>
  </r>
  <r>
    <s v="ORD-2502"/>
    <d v="2025-10-28T00:00:00"/>
    <x v="2"/>
    <x v="2"/>
    <n v="35"/>
    <n v="13"/>
    <n v="0"/>
    <n v="455"/>
    <n v="30.438356164383563"/>
    <n v="35"/>
  </r>
  <r>
    <s v="ORD-2503"/>
    <d v="2025-10-28T00:00:00"/>
    <x v="3"/>
    <x v="3"/>
    <n v="120"/>
    <n v="9"/>
    <n v="0.1"/>
    <n v="972"/>
    <n v="30.473972602739725"/>
    <n v="120"/>
  </r>
  <r>
    <s v="ORD-2504"/>
    <d v="2025-10-28T00:00:00"/>
    <x v="4"/>
    <x v="4"/>
    <n v="25"/>
    <n v="44"/>
    <n v="0"/>
    <n v="1100"/>
    <n v="29.463013698630139"/>
    <n v="25"/>
  </r>
  <r>
    <s v="ORD-2505"/>
    <d v="2025-10-29T00:00:00"/>
    <x v="0"/>
    <x v="0"/>
    <n v="45"/>
    <n v="46"/>
    <n v="0"/>
    <n v="2070"/>
    <n v="31.479452054794521"/>
    <n v="45"/>
  </r>
  <r>
    <s v="ORD-2506"/>
    <d v="2025-10-29T00:00:00"/>
    <x v="1"/>
    <x v="1"/>
    <n v="12.5"/>
    <n v="7"/>
    <n v="0"/>
    <n v="87.5"/>
    <n v="31.794520547945204"/>
    <n v="12.5"/>
  </r>
  <r>
    <s v="ORD-2507"/>
    <d v="2025-10-29T00:00:00"/>
    <x v="2"/>
    <x v="2"/>
    <n v="35"/>
    <n v="16"/>
    <n v="0.1"/>
    <n v="504"/>
    <n v="30.438356164383563"/>
    <n v="35"/>
  </r>
  <r>
    <s v="ORD-2508"/>
    <d v="2025-10-29T00:00:00"/>
    <x v="3"/>
    <x v="3"/>
    <n v="120"/>
    <n v="14"/>
    <n v="0"/>
    <n v="1680"/>
    <n v="30.473972602739725"/>
    <n v="120"/>
  </r>
  <r>
    <s v="ORD-2509"/>
    <d v="2025-10-29T00:00:00"/>
    <x v="4"/>
    <x v="4"/>
    <n v="25"/>
    <n v="39"/>
    <n v="0.2"/>
    <n v="780"/>
    <n v="29.463013698630139"/>
    <n v="25"/>
  </r>
  <r>
    <s v="ORD-2510"/>
    <d v="2025-10-30T00:00:00"/>
    <x v="0"/>
    <x v="0"/>
    <n v="45"/>
    <n v="20"/>
    <n v="0"/>
    <n v="900"/>
    <n v="31.479452054794521"/>
    <n v="45"/>
  </r>
  <r>
    <s v="ORD-2511"/>
    <d v="2025-10-30T00:00:00"/>
    <x v="1"/>
    <x v="1"/>
    <n v="12.5"/>
    <n v="11"/>
    <n v="0.1"/>
    <n v="123.75"/>
    <n v="31.794520547945204"/>
    <n v="12.5"/>
  </r>
  <r>
    <s v="ORD-2512"/>
    <d v="2025-10-30T00:00:00"/>
    <x v="2"/>
    <x v="2"/>
    <n v="35"/>
    <n v="28"/>
    <n v="0.1"/>
    <n v="882"/>
    <n v="30.438356164383563"/>
    <n v="35"/>
  </r>
  <r>
    <s v="ORD-2513"/>
    <d v="2025-10-30T00:00:00"/>
    <x v="3"/>
    <x v="3"/>
    <n v="120"/>
    <n v="25"/>
    <n v="0"/>
    <n v="3000"/>
    <n v="30.473972602739725"/>
    <n v="120"/>
  </r>
  <r>
    <s v="ORD-2514"/>
    <d v="2025-10-30T00:00:00"/>
    <x v="4"/>
    <x v="4"/>
    <n v="25"/>
    <n v="36"/>
    <n v="0"/>
    <n v="900"/>
    <n v="29.463013698630139"/>
    <n v="25"/>
  </r>
  <r>
    <s v="ORD-2515"/>
    <d v="2025-10-31T00:00:00"/>
    <x v="0"/>
    <x v="0"/>
    <n v="45"/>
    <n v="49"/>
    <n v="0.1"/>
    <n v="1984.5"/>
    <n v="31.479452054794521"/>
    <n v="45"/>
  </r>
  <r>
    <s v="ORD-2516"/>
    <d v="2025-10-31T00:00:00"/>
    <x v="1"/>
    <x v="1"/>
    <n v="12.5"/>
    <n v="12"/>
    <n v="0"/>
    <n v="150"/>
    <n v="31.794520547945204"/>
    <n v="12.5"/>
  </r>
  <r>
    <s v="ORD-2517"/>
    <d v="2025-10-31T00:00:00"/>
    <x v="2"/>
    <x v="2"/>
    <n v="35"/>
    <n v="37"/>
    <n v="0.2"/>
    <n v="1036"/>
    <n v="30.438356164383563"/>
    <n v="35"/>
  </r>
  <r>
    <s v="ORD-2518"/>
    <d v="2025-10-31T00:00:00"/>
    <x v="3"/>
    <x v="3"/>
    <n v="120"/>
    <n v="17"/>
    <n v="0.1"/>
    <n v="1836"/>
    <n v="30.473972602739725"/>
    <n v="120"/>
  </r>
  <r>
    <s v="ORD-2519"/>
    <d v="2025-10-31T00:00:00"/>
    <x v="4"/>
    <x v="4"/>
    <n v="25"/>
    <n v="7"/>
    <n v="0"/>
    <n v="175"/>
    <n v="29.463013698630139"/>
    <n v="25"/>
  </r>
  <r>
    <s v="ORD-2520"/>
    <d v="2025-11-01T00:00:00"/>
    <x v="0"/>
    <x v="0"/>
    <n v="45"/>
    <n v="15"/>
    <n v="0"/>
    <n v="675"/>
    <n v="31.479452054794521"/>
    <n v="45"/>
  </r>
  <r>
    <s v="ORD-2521"/>
    <d v="2025-11-01T00:00:00"/>
    <x v="1"/>
    <x v="1"/>
    <n v="12.5"/>
    <n v="72"/>
    <n v="0"/>
    <n v="900"/>
    <n v="31.794520547945204"/>
    <n v="12.5"/>
  </r>
  <r>
    <s v="ORD-2522"/>
    <d v="2025-11-01T00:00:00"/>
    <x v="2"/>
    <x v="2"/>
    <n v="35"/>
    <n v="69"/>
    <n v="0"/>
    <n v="2415"/>
    <n v="30.438356164383563"/>
    <n v="35"/>
  </r>
  <r>
    <s v="ORD-2523"/>
    <d v="2025-11-01T00:00:00"/>
    <x v="3"/>
    <x v="3"/>
    <n v="120"/>
    <n v="39"/>
    <n v="0"/>
    <n v="4680"/>
    <n v="30.473972602739725"/>
    <n v="120"/>
  </r>
  <r>
    <s v="ORD-2524"/>
    <d v="2025-11-01T00:00:00"/>
    <x v="4"/>
    <x v="4"/>
    <n v="25"/>
    <n v="40"/>
    <n v="0"/>
    <n v="1000"/>
    <n v="29.463013698630139"/>
    <n v="25"/>
  </r>
  <r>
    <s v="ORD-2525"/>
    <d v="2025-11-02T00:00:00"/>
    <x v="0"/>
    <x v="0"/>
    <n v="45"/>
    <n v="36"/>
    <n v="0.2"/>
    <n v="1296"/>
    <n v="31.479452054794521"/>
    <n v="45"/>
  </r>
  <r>
    <s v="ORD-2526"/>
    <d v="2025-11-02T00:00:00"/>
    <x v="1"/>
    <x v="1"/>
    <n v="12.5"/>
    <n v="63"/>
    <n v="0"/>
    <n v="787.5"/>
    <n v="31.794520547945204"/>
    <n v="12.5"/>
  </r>
  <r>
    <s v="ORD-2527"/>
    <d v="2025-11-02T00:00:00"/>
    <x v="2"/>
    <x v="2"/>
    <n v="35"/>
    <n v="61"/>
    <n v="0"/>
    <n v="2135"/>
    <n v="30.438356164383563"/>
    <n v="35"/>
  </r>
  <r>
    <s v="ORD-2528"/>
    <d v="2025-11-02T00:00:00"/>
    <x v="3"/>
    <x v="3"/>
    <n v="120"/>
    <n v="67"/>
    <n v="0"/>
    <n v="8040"/>
    <n v="30.473972602739725"/>
    <n v="120"/>
  </r>
  <r>
    <s v="ORD-2529"/>
    <d v="2025-11-02T00:00:00"/>
    <x v="4"/>
    <x v="4"/>
    <n v="25"/>
    <n v="46"/>
    <n v="0.1"/>
    <n v="1035"/>
    <n v="29.463013698630139"/>
    <n v="25"/>
  </r>
  <r>
    <s v="ORD-2530"/>
    <d v="2025-11-03T00:00:00"/>
    <x v="0"/>
    <x v="0"/>
    <n v="45"/>
    <n v="42"/>
    <n v="0"/>
    <n v="1890"/>
    <n v="31.479452054794521"/>
    <n v="45"/>
  </r>
  <r>
    <s v="ORD-2531"/>
    <d v="2025-11-03T00:00:00"/>
    <x v="1"/>
    <x v="1"/>
    <n v="12.5"/>
    <n v="25"/>
    <n v="0"/>
    <n v="312.5"/>
    <n v="31.794520547945204"/>
    <n v="12.5"/>
  </r>
  <r>
    <s v="ORD-2532"/>
    <d v="2025-11-03T00:00:00"/>
    <x v="2"/>
    <x v="2"/>
    <n v="35"/>
    <n v="39"/>
    <n v="0"/>
    <n v="1365"/>
    <n v="30.438356164383563"/>
    <n v="35"/>
  </r>
  <r>
    <s v="ORD-2533"/>
    <d v="2025-11-03T00:00:00"/>
    <x v="3"/>
    <x v="3"/>
    <n v="120"/>
    <n v="44"/>
    <n v="0.1"/>
    <n v="4752"/>
    <n v="30.473972602739725"/>
    <n v="120"/>
  </r>
  <r>
    <s v="ORD-2534"/>
    <d v="2025-11-03T00:00:00"/>
    <x v="4"/>
    <x v="4"/>
    <n v="25"/>
    <n v="26"/>
    <n v="0.2"/>
    <n v="520"/>
    <n v="29.463013698630139"/>
    <n v="25"/>
  </r>
  <r>
    <s v="ORD-2535"/>
    <d v="2025-11-04T00:00:00"/>
    <x v="0"/>
    <x v="0"/>
    <n v="45"/>
    <n v="29"/>
    <n v="0.2"/>
    <n v="1044"/>
    <n v="31.479452054794521"/>
    <n v="45"/>
  </r>
  <r>
    <s v="ORD-2536"/>
    <d v="2025-11-04T00:00:00"/>
    <x v="1"/>
    <x v="1"/>
    <n v="12.5"/>
    <n v="31"/>
    <n v="0"/>
    <n v="387.5"/>
    <n v="31.794520547945204"/>
    <n v="12.5"/>
  </r>
  <r>
    <s v="ORD-2537"/>
    <d v="2025-11-04T00:00:00"/>
    <x v="2"/>
    <x v="2"/>
    <n v="35"/>
    <n v="30"/>
    <n v="0"/>
    <n v="1050"/>
    <n v="30.438356164383563"/>
    <n v="35"/>
  </r>
  <r>
    <s v="ORD-2538"/>
    <d v="2025-11-04T00:00:00"/>
    <x v="3"/>
    <x v="3"/>
    <n v="120"/>
    <n v="23"/>
    <n v="0.2"/>
    <n v="2208"/>
    <n v="30.473972602739725"/>
    <n v="120"/>
  </r>
  <r>
    <s v="ORD-2539"/>
    <d v="2025-11-04T00:00:00"/>
    <x v="4"/>
    <x v="4"/>
    <n v="25"/>
    <n v="44"/>
    <n v="0"/>
    <n v="1100"/>
    <n v="29.463013698630139"/>
    <n v="25"/>
  </r>
  <r>
    <s v="ORD-2540"/>
    <d v="2025-11-05T00:00:00"/>
    <x v="0"/>
    <x v="0"/>
    <n v="45"/>
    <n v="43"/>
    <n v="0"/>
    <n v="1935"/>
    <n v="31.479452054794521"/>
    <n v="45"/>
  </r>
  <r>
    <s v="ORD-2541"/>
    <d v="2025-11-05T00:00:00"/>
    <x v="1"/>
    <x v="1"/>
    <n v="12.5"/>
    <n v="36"/>
    <n v="0"/>
    <n v="450"/>
    <n v="31.794520547945204"/>
    <n v="12.5"/>
  </r>
  <r>
    <s v="ORD-2542"/>
    <d v="2025-11-05T00:00:00"/>
    <x v="2"/>
    <x v="2"/>
    <n v="35"/>
    <n v="10"/>
    <n v="0"/>
    <n v="350"/>
    <n v="30.438356164383563"/>
    <n v="35"/>
  </r>
  <r>
    <s v="ORD-2543"/>
    <d v="2025-11-05T00:00:00"/>
    <x v="3"/>
    <x v="3"/>
    <n v="120"/>
    <n v="28"/>
    <n v="0"/>
    <n v="3360"/>
    <n v="30.473972602739725"/>
    <n v="120"/>
  </r>
  <r>
    <s v="ORD-2544"/>
    <d v="2025-11-05T00:00:00"/>
    <x v="4"/>
    <x v="4"/>
    <n v="25"/>
    <n v="15"/>
    <n v="0"/>
    <n v="375"/>
    <n v="29.463013698630139"/>
    <n v="25"/>
  </r>
  <r>
    <s v="ORD-2545"/>
    <d v="2025-11-06T00:00:00"/>
    <x v="0"/>
    <x v="0"/>
    <n v="45"/>
    <n v="14"/>
    <n v="0.1"/>
    <n v="567"/>
    <n v="31.479452054794521"/>
    <n v="45"/>
  </r>
  <r>
    <s v="ORD-2546"/>
    <d v="2025-11-06T00:00:00"/>
    <x v="1"/>
    <x v="1"/>
    <n v="12.5"/>
    <n v="17"/>
    <n v="0"/>
    <n v="212.5"/>
    <n v="31.794520547945204"/>
    <n v="12.5"/>
  </r>
  <r>
    <s v="ORD-2547"/>
    <d v="2025-11-06T00:00:00"/>
    <x v="2"/>
    <x v="2"/>
    <n v="35"/>
    <n v="21"/>
    <n v="0"/>
    <n v="735"/>
    <n v="30.438356164383563"/>
    <n v="35"/>
  </r>
  <r>
    <s v="ORD-2548"/>
    <d v="2025-11-06T00:00:00"/>
    <x v="3"/>
    <x v="3"/>
    <n v="120"/>
    <n v="24"/>
    <n v="0"/>
    <n v="2880"/>
    <n v="30.473972602739725"/>
    <n v="120"/>
  </r>
  <r>
    <s v="ORD-2549"/>
    <d v="2025-11-06T00:00:00"/>
    <x v="4"/>
    <x v="4"/>
    <n v="25"/>
    <n v="33"/>
    <n v="0"/>
    <n v="825"/>
    <n v="29.463013698630139"/>
    <n v="25"/>
  </r>
  <r>
    <s v="ORD-2550"/>
    <d v="2025-11-07T00:00:00"/>
    <x v="0"/>
    <x v="0"/>
    <n v="45"/>
    <n v="22"/>
    <n v="0"/>
    <n v="990"/>
    <n v="31.479452054794521"/>
    <n v="45"/>
  </r>
  <r>
    <s v="ORD-2551"/>
    <d v="2025-11-07T00:00:00"/>
    <x v="1"/>
    <x v="1"/>
    <n v="12.5"/>
    <n v="35"/>
    <n v="0"/>
    <n v="437.5"/>
    <n v="31.794520547945204"/>
    <n v="12.5"/>
  </r>
  <r>
    <s v="ORD-2552"/>
    <d v="2025-11-07T00:00:00"/>
    <x v="2"/>
    <x v="2"/>
    <n v="35"/>
    <n v="40"/>
    <n v="0"/>
    <n v="1400"/>
    <n v="30.438356164383563"/>
    <n v="35"/>
  </r>
  <r>
    <s v="ORD-2553"/>
    <d v="2025-11-07T00:00:00"/>
    <x v="3"/>
    <x v="3"/>
    <n v="120"/>
    <n v="46"/>
    <n v="0"/>
    <n v="5520"/>
    <n v="30.473972602739725"/>
    <n v="120"/>
  </r>
  <r>
    <s v="ORD-2554"/>
    <d v="2025-11-07T00:00:00"/>
    <x v="4"/>
    <x v="4"/>
    <n v="25"/>
    <n v="5"/>
    <n v="0"/>
    <n v="125"/>
    <n v="29.463013698630139"/>
    <n v="25"/>
  </r>
  <r>
    <s v="ORD-2555"/>
    <d v="2025-11-08T00:00:00"/>
    <x v="0"/>
    <x v="0"/>
    <n v="45"/>
    <n v="10"/>
    <n v="0.2"/>
    <n v="360"/>
    <n v="31.479452054794521"/>
    <n v="45"/>
  </r>
  <r>
    <s v="ORD-2556"/>
    <d v="2025-11-08T00:00:00"/>
    <x v="1"/>
    <x v="1"/>
    <n v="12.5"/>
    <n v="51"/>
    <n v="0"/>
    <n v="637.5"/>
    <n v="31.794520547945204"/>
    <n v="12.5"/>
  </r>
  <r>
    <s v="ORD-2557"/>
    <d v="2025-11-08T00:00:00"/>
    <x v="2"/>
    <x v="2"/>
    <n v="35"/>
    <n v="39"/>
    <n v="0.1"/>
    <n v="1228.5"/>
    <n v="30.438356164383563"/>
    <n v="35"/>
  </r>
  <r>
    <s v="ORD-2558"/>
    <d v="2025-11-08T00:00:00"/>
    <x v="3"/>
    <x v="3"/>
    <n v="120"/>
    <n v="46"/>
    <n v="0"/>
    <n v="5520"/>
    <n v="30.473972602739725"/>
    <n v="120"/>
  </r>
  <r>
    <s v="ORD-2559"/>
    <d v="2025-11-08T00:00:00"/>
    <x v="4"/>
    <x v="4"/>
    <n v="25"/>
    <n v="37"/>
    <n v="0"/>
    <n v="925"/>
    <n v="29.463013698630139"/>
    <n v="25"/>
  </r>
  <r>
    <s v="ORD-2560"/>
    <d v="2025-11-09T00:00:00"/>
    <x v="0"/>
    <x v="0"/>
    <n v="45"/>
    <n v="12"/>
    <n v="0.2"/>
    <n v="432"/>
    <n v="31.479452054794521"/>
    <n v="45"/>
  </r>
  <r>
    <s v="ORD-2561"/>
    <d v="2025-11-09T00:00:00"/>
    <x v="1"/>
    <x v="1"/>
    <n v="12.5"/>
    <n v="27"/>
    <n v="0"/>
    <n v="337.5"/>
    <n v="31.794520547945204"/>
    <n v="12.5"/>
  </r>
  <r>
    <s v="ORD-2562"/>
    <d v="2025-11-09T00:00:00"/>
    <x v="2"/>
    <x v="2"/>
    <n v="35"/>
    <n v="10"/>
    <n v="0"/>
    <n v="350"/>
    <n v="30.438356164383563"/>
    <n v="35"/>
  </r>
  <r>
    <s v="ORD-2563"/>
    <d v="2025-11-09T00:00:00"/>
    <x v="3"/>
    <x v="3"/>
    <n v="120"/>
    <n v="30"/>
    <n v="0.1"/>
    <n v="3240"/>
    <n v="30.473972602739725"/>
    <n v="120"/>
  </r>
  <r>
    <s v="ORD-2564"/>
    <d v="2025-11-09T00:00:00"/>
    <x v="4"/>
    <x v="4"/>
    <n v="25"/>
    <n v="33"/>
    <n v="0"/>
    <n v="825"/>
    <n v="29.463013698630139"/>
    <n v="25"/>
  </r>
  <r>
    <s v="ORD-2565"/>
    <d v="2025-11-10T00:00:00"/>
    <x v="0"/>
    <x v="0"/>
    <n v="45"/>
    <n v="26"/>
    <n v="0"/>
    <n v="1170"/>
    <n v="31.479452054794521"/>
    <n v="45"/>
  </r>
  <r>
    <s v="ORD-2566"/>
    <d v="2025-11-10T00:00:00"/>
    <x v="1"/>
    <x v="1"/>
    <n v="12.5"/>
    <n v="11"/>
    <n v="0"/>
    <n v="137.5"/>
    <n v="31.794520547945204"/>
    <n v="12.5"/>
  </r>
  <r>
    <s v="ORD-2567"/>
    <d v="2025-11-10T00:00:00"/>
    <x v="2"/>
    <x v="2"/>
    <n v="35"/>
    <n v="9"/>
    <n v="0"/>
    <n v="315"/>
    <n v="30.438356164383563"/>
    <n v="35"/>
  </r>
  <r>
    <s v="ORD-2568"/>
    <d v="2025-11-10T00:00:00"/>
    <x v="3"/>
    <x v="3"/>
    <n v="120"/>
    <n v="13"/>
    <n v="0"/>
    <n v="1560"/>
    <n v="30.473972602739725"/>
    <n v="120"/>
  </r>
  <r>
    <s v="ORD-2569"/>
    <d v="2025-11-10T00:00:00"/>
    <x v="4"/>
    <x v="4"/>
    <n v="25"/>
    <n v="9"/>
    <n v="0"/>
    <n v="225"/>
    <n v="29.463013698630139"/>
    <n v="25"/>
  </r>
  <r>
    <s v="ORD-2570"/>
    <d v="2025-11-11T00:00:00"/>
    <x v="0"/>
    <x v="0"/>
    <n v="45"/>
    <n v="15"/>
    <n v="0"/>
    <n v="675"/>
    <n v="31.479452054794521"/>
    <n v="45"/>
  </r>
  <r>
    <s v="ORD-2571"/>
    <d v="2025-11-11T00:00:00"/>
    <x v="1"/>
    <x v="1"/>
    <n v="12.5"/>
    <n v="14"/>
    <n v="0"/>
    <n v="175"/>
    <n v="31.794520547945204"/>
    <n v="12.5"/>
  </r>
  <r>
    <s v="ORD-2572"/>
    <d v="2025-11-11T00:00:00"/>
    <x v="2"/>
    <x v="2"/>
    <n v="35"/>
    <n v="10"/>
    <n v="0.1"/>
    <n v="315"/>
    <n v="30.438356164383563"/>
    <n v="35"/>
  </r>
  <r>
    <s v="ORD-2573"/>
    <d v="2025-11-11T00:00:00"/>
    <x v="3"/>
    <x v="3"/>
    <n v="120"/>
    <n v="28"/>
    <n v="0.1"/>
    <n v="3024"/>
    <n v="30.473972602739725"/>
    <n v="120"/>
  </r>
  <r>
    <s v="ORD-2574"/>
    <d v="2025-11-11T00:00:00"/>
    <x v="4"/>
    <x v="4"/>
    <n v="25"/>
    <n v="20"/>
    <n v="0"/>
    <n v="500"/>
    <n v="29.463013698630139"/>
    <n v="25"/>
  </r>
  <r>
    <s v="ORD-2575"/>
    <d v="2025-11-12T00:00:00"/>
    <x v="0"/>
    <x v="0"/>
    <n v="45"/>
    <n v="14"/>
    <n v="0"/>
    <n v="630"/>
    <n v="31.479452054794521"/>
    <n v="45"/>
  </r>
  <r>
    <s v="ORD-2576"/>
    <d v="2025-11-12T00:00:00"/>
    <x v="1"/>
    <x v="1"/>
    <n v="12.5"/>
    <n v="44"/>
    <n v="0"/>
    <n v="550"/>
    <n v="31.794520547945204"/>
    <n v="12.5"/>
  </r>
  <r>
    <s v="ORD-2577"/>
    <d v="2025-11-12T00:00:00"/>
    <x v="2"/>
    <x v="2"/>
    <n v="35"/>
    <n v="41"/>
    <n v="0"/>
    <n v="1435"/>
    <n v="30.438356164383563"/>
    <n v="35"/>
  </r>
  <r>
    <s v="ORD-2578"/>
    <d v="2025-11-12T00:00:00"/>
    <x v="3"/>
    <x v="3"/>
    <n v="120"/>
    <n v="20"/>
    <n v="0.1"/>
    <n v="2160"/>
    <n v="30.473972602739725"/>
    <n v="120"/>
  </r>
  <r>
    <s v="ORD-2579"/>
    <d v="2025-11-12T00:00:00"/>
    <x v="4"/>
    <x v="4"/>
    <n v="25"/>
    <n v="23"/>
    <n v="0"/>
    <n v="575"/>
    <n v="29.463013698630139"/>
    <n v="25"/>
  </r>
  <r>
    <s v="ORD-2580"/>
    <d v="2025-11-13T00:00:00"/>
    <x v="0"/>
    <x v="0"/>
    <n v="45"/>
    <n v="35"/>
    <n v="0"/>
    <n v="1575"/>
    <n v="31.479452054794521"/>
    <n v="45"/>
  </r>
  <r>
    <s v="ORD-2581"/>
    <d v="2025-11-13T00:00:00"/>
    <x v="1"/>
    <x v="1"/>
    <n v="12.5"/>
    <n v="33"/>
    <n v="0"/>
    <n v="412.5"/>
    <n v="31.794520547945204"/>
    <n v="12.5"/>
  </r>
  <r>
    <s v="ORD-2582"/>
    <d v="2025-11-13T00:00:00"/>
    <x v="2"/>
    <x v="2"/>
    <n v="35"/>
    <n v="27"/>
    <n v="0.1"/>
    <n v="850.5"/>
    <n v="30.438356164383563"/>
    <n v="35"/>
  </r>
  <r>
    <s v="ORD-2583"/>
    <d v="2025-11-13T00:00:00"/>
    <x v="3"/>
    <x v="3"/>
    <n v="120"/>
    <n v="25"/>
    <n v="0"/>
    <n v="3000"/>
    <n v="30.473972602739725"/>
    <n v="120"/>
  </r>
  <r>
    <s v="ORD-2584"/>
    <d v="2025-11-13T00:00:00"/>
    <x v="4"/>
    <x v="4"/>
    <n v="25"/>
    <n v="29"/>
    <n v="0"/>
    <n v="725"/>
    <n v="29.463013698630139"/>
    <n v="25"/>
  </r>
  <r>
    <s v="ORD-2585"/>
    <d v="2025-11-14T00:00:00"/>
    <x v="0"/>
    <x v="0"/>
    <n v="45"/>
    <n v="49"/>
    <n v="0.2"/>
    <n v="1764"/>
    <n v="31.479452054794521"/>
    <n v="45"/>
  </r>
  <r>
    <s v="ORD-2586"/>
    <d v="2025-11-14T00:00:00"/>
    <x v="1"/>
    <x v="1"/>
    <n v="12.5"/>
    <n v="11"/>
    <n v="0"/>
    <n v="137.5"/>
    <n v="31.794520547945204"/>
    <n v="12.5"/>
  </r>
  <r>
    <s v="ORD-2587"/>
    <d v="2025-11-14T00:00:00"/>
    <x v="2"/>
    <x v="2"/>
    <n v="35"/>
    <n v="27"/>
    <n v="0"/>
    <n v="945"/>
    <n v="30.438356164383563"/>
    <n v="35"/>
  </r>
  <r>
    <s v="ORD-2588"/>
    <d v="2025-11-14T00:00:00"/>
    <x v="3"/>
    <x v="3"/>
    <n v="120"/>
    <n v="37"/>
    <n v="0"/>
    <n v="4440"/>
    <n v="30.473972602739725"/>
    <n v="120"/>
  </r>
  <r>
    <s v="ORD-2589"/>
    <d v="2025-11-14T00:00:00"/>
    <x v="4"/>
    <x v="4"/>
    <n v="25"/>
    <n v="12"/>
    <n v="0.1"/>
    <n v="270"/>
    <n v="29.463013698630139"/>
    <n v="25"/>
  </r>
  <r>
    <s v="ORD-2590"/>
    <d v="2025-11-15T00:00:00"/>
    <x v="0"/>
    <x v="0"/>
    <n v="45"/>
    <n v="37"/>
    <n v="0.2"/>
    <n v="1332"/>
    <n v="31.479452054794521"/>
    <n v="45"/>
  </r>
  <r>
    <s v="ORD-2591"/>
    <d v="2025-11-15T00:00:00"/>
    <x v="1"/>
    <x v="1"/>
    <n v="12.5"/>
    <n v="28"/>
    <n v="0"/>
    <n v="350"/>
    <n v="31.794520547945204"/>
    <n v="12.5"/>
  </r>
  <r>
    <s v="ORD-2592"/>
    <d v="2025-11-15T00:00:00"/>
    <x v="2"/>
    <x v="2"/>
    <n v="35"/>
    <n v="27"/>
    <n v="0"/>
    <n v="945"/>
    <n v="30.438356164383563"/>
    <n v="35"/>
  </r>
  <r>
    <s v="ORD-2593"/>
    <d v="2025-11-15T00:00:00"/>
    <x v="3"/>
    <x v="3"/>
    <n v="120"/>
    <n v="7"/>
    <n v="0"/>
    <n v="840"/>
    <n v="30.473972602739725"/>
    <n v="120"/>
  </r>
  <r>
    <s v="ORD-2594"/>
    <d v="2025-11-15T00:00:00"/>
    <x v="4"/>
    <x v="4"/>
    <n v="25"/>
    <n v="39"/>
    <n v="0.2"/>
    <n v="780"/>
    <n v="29.463013698630139"/>
    <n v="25"/>
  </r>
  <r>
    <s v="ORD-2595"/>
    <d v="2025-11-16T00:00:00"/>
    <x v="0"/>
    <x v="0"/>
    <n v="45"/>
    <n v="13"/>
    <n v="0"/>
    <n v="585"/>
    <n v="31.479452054794521"/>
    <n v="45"/>
  </r>
  <r>
    <s v="ORD-2596"/>
    <d v="2025-11-16T00:00:00"/>
    <x v="1"/>
    <x v="1"/>
    <n v="12.5"/>
    <n v="54"/>
    <n v="0"/>
    <n v="675"/>
    <n v="31.794520547945204"/>
    <n v="12.5"/>
  </r>
  <r>
    <s v="ORD-2597"/>
    <d v="2025-11-16T00:00:00"/>
    <x v="2"/>
    <x v="2"/>
    <n v="35"/>
    <n v="61"/>
    <n v="0"/>
    <n v="2135"/>
    <n v="30.438356164383563"/>
    <n v="35"/>
  </r>
  <r>
    <s v="ORD-2598"/>
    <d v="2025-11-16T00:00:00"/>
    <x v="3"/>
    <x v="3"/>
    <n v="120"/>
    <n v="34"/>
    <n v="0.2"/>
    <n v="3264"/>
    <n v="30.473972602739725"/>
    <n v="120"/>
  </r>
  <r>
    <s v="ORD-2599"/>
    <d v="2025-11-16T00:00:00"/>
    <x v="4"/>
    <x v="4"/>
    <n v="25"/>
    <n v="13"/>
    <n v="0.1"/>
    <n v="292.5"/>
    <n v="29.463013698630139"/>
    <n v="25"/>
  </r>
  <r>
    <s v="ORD-2600"/>
    <d v="2025-11-17T00:00:00"/>
    <x v="0"/>
    <x v="0"/>
    <n v="45"/>
    <n v="10"/>
    <n v="0.2"/>
    <n v="360"/>
    <n v="31.479452054794521"/>
    <n v="45"/>
  </r>
  <r>
    <s v="ORD-2601"/>
    <d v="2025-11-17T00:00:00"/>
    <x v="1"/>
    <x v="1"/>
    <n v="12.5"/>
    <n v="19"/>
    <n v="0.1"/>
    <n v="213.75"/>
    <n v="31.794520547945204"/>
    <n v="12.5"/>
  </r>
  <r>
    <s v="ORD-2602"/>
    <d v="2025-11-17T00:00:00"/>
    <x v="2"/>
    <x v="2"/>
    <n v="35"/>
    <n v="38"/>
    <n v="0"/>
    <n v="1330"/>
    <n v="30.438356164383563"/>
    <n v="35"/>
  </r>
  <r>
    <s v="ORD-2603"/>
    <d v="2025-11-17T00:00:00"/>
    <x v="3"/>
    <x v="3"/>
    <n v="120"/>
    <n v="48"/>
    <n v="0"/>
    <n v="5760"/>
    <n v="30.473972602739725"/>
    <n v="120"/>
  </r>
  <r>
    <s v="ORD-2604"/>
    <d v="2025-11-17T00:00:00"/>
    <x v="4"/>
    <x v="4"/>
    <n v="25"/>
    <n v="18"/>
    <n v="0"/>
    <n v="450"/>
    <n v="29.463013698630139"/>
    <n v="25"/>
  </r>
  <r>
    <s v="ORD-2605"/>
    <d v="2025-11-18T00:00:00"/>
    <x v="0"/>
    <x v="0"/>
    <n v="45"/>
    <n v="27"/>
    <n v="0"/>
    <n v="1215"/>
    <n v="31.479452054794521"/>
    <n v="45"/>
  </r>
  <r>
    <s v="ORD-2606"/>
    <d v="2025-11-18T00:00:00"/>
    <x v="1"/>
    <x v="1"/>
    <n v="12.5"/>
    <n v="24"/>
    <n v="0"/>
    <n v="300"/>
    <n v="31.794520547945204"/>
    <n v="12.5"/>
  </r>
  <r>
    <s v="ORD-2607"/>
    <d v="2025-11-18T00:00:00"/>
    <x v="2"/>
    <x v="2"/>
    <n v="35"/>
    <n v="15"/>
    <n v="0"/>
    <n v="525"/>
    <n v="30.438356164383563"/>
    <n v="35"/>
  </r>
  <r>
    <s v="ORD-2608"/>
    <d v="2025-11-18T00:00:00"/>
    <x v="3"/>
    <x v="3"/>
    <n v="120"/>
    <n v="27"/>
    <n v="0.1"/>
    <n v="2916"/>
    <n v="30.473972602739725"/>
    <n v="120"/>
  </r>
  <r>
    <s v="ORD-2609"/>
    <d v="2025-11-18T00:00:00"/>
    <x v="4"/>
    <x v="4"/>
    <n v="25"/>
    <n v="14"/>
    <n v="0"/>
    <n v="350"/>
    <n v="29.463013698630139"/>
    <n v="25"/>
  </r>
  <r>
    <s v="ORD-2610"/>
    <d v="2025-11-19T00:00:00"/>
    <x v="0"/>
    <x v="0"/>
    <n v="45"/>
    <n v="24"/>
    <n v="0"/>
    <n v="1080"/>
    <n v="31.479452054794521"/>
    <n v="45"/>
  </r>
  <r>
    <s v="ORD-2611"/>
    <d v="2025-11-19T00:00:00"/>
    <x v="1"/>
    <x v="1"/>
    <n v="12.5"/>
    <n v="26"/>
    <n v="0"/>
    <n v="325"/>
    <n v="31.794520547945204"/>
    <n v="12.5"/>
  </r>
  <r>
    <s v="ORD-2612"/>
    <d v="2025-11-19T00:00:00"/>
    <x v="2"/>
    <x v="2"/>
    <n v="35"/>
    <n v="7"/>
    <n v="0.2"/>
    <n v="196"/>
    <n v="30.438356164383563"/>
    <n v="35"/>
  </r>
  <r>
    <s v="ORD-2613"/>
    <d v="2025-11-19T00:00:00"/>
    <x v="3"/>
    <x v="3"/>
    <n v="120"/>
    <n v="33"/>
    <n v="0"/>
    <n v="3960"/>
    <n v="30.473972602739725"/>
    <n v="120"/>
  </r>
  <r>
    <s v="ORD-2614"/>
    <d v="2025-11-19T00:00:00"/>
    <x v="4"/>
    <x v="4"/>
    <n v="25"/>
    <n v="29"/>
    <n v="0.2"/>
    <n v="580"/>
    <n v="29.463013698630139"/>
    <n v="25"/>
  </r>
  <r>
    <s v="ORD-2615"/>
    <d v="2025-11-20T00:00:00"/>
    <x v="0"/>
    <x v="0"/>
    <n v="45"/>
    <n v="41"/>
    <n v="0"/>
    <n v="1845"/>
    <n v="31.479452054794521"/>
    <n v="45"/>
  </r>
  <r>
    <s v="ORD-2616"/>
    <d v="2025-11-20T00:00:00"/>
    <x v="1"/>
    <x v="1"/>
    <n v="12.5"/>
    <n v="5"/>
    <n v="0"/>
    <n v="62.5"/>
    <n v="31.794520547945204"/>
    <n v="12.5"/>
  </r>
  <r>
    <s v="ORD-2617"/>
    <d v="2025-11-20T00:00:00"/>
    <x v="2"/>
    <x v="2"/>
    <n v="35"/>
    <n v="35"/>
    <n v="0.2"/>
    <n v="980"/>
    <n v="30.438356164383563"/>
    <n v="35"/>
  </r>
  <r>
    <s v="ORD-2618"/>
    <d v="2025-11-20T00:00:00"/>
    <x v="3"/>
    <x v="3"/>
    <n v="120"/>
    <n v="26"/>
    <n v="0"/>
    <n v="3120"/>
    <n v="30.473972602739725"/>
    <n v="120"/>
  </r>
  <r>
    <s v="ORD-2619"/>
    <d v="2025-11-20T00:00:00"/>
    <x v="4"/>
    <x v="4"/>
    <n v="25"/>
    <n v="21"/>
    <n v="0"/>
    <n v="525"/>
    <n v="29.463013698630139"/>
    <n v="25"/>
  </r>
  <r>
    <s v="ORD-2620"/>
    <d v="2025-11-21T00:00:00"/>
    <x v="0"/>
    <x v="0"/>
    <n v="45"/>
    <n v="10"/>
    <n v="0"/>
    <n v="450"/>
    <n v="31.479452054794521"/>
    <n v="45"/>
  </r>
  <r>
    <s v="ORD-2621"/>
    <d v="2025-11-21T00:00:00"/>
    <x v="1"/>
    <x v="1"/>
    <n v="12.5"/>
    <n v="38"/>
    <n v="0"/>
    <n v="475"/>
    <n v="31.794520547945204"/>
    <n v="12.5"/>
  </r>
  <r>
    <s v="ORD-2622"/>
    <d v="2025-11-21T00:00:00"/>
    <x v="2"/>
    <x v="2"/>
    <n v="35"/>
    <n v="17"/>
    <n v="0"/>
    <n v="595"/>
    <n v="30.438356164383563"/>
    <n v="35"/>
  </r>
  <r>
    <s v="ORD-2623"/>
    <d v="2025-11-21T00:00:00"/>
    <x v="3"/>
    <x v="3"/>
    <n v="120"/>
    <n v="24"/>
    <n v="0.2"/>
    <n v="2304"/>
    <n v="30.473972602739725"/>
    <n v="120"/>
  </r>
  <r>
    <s v="ORD-2624"/>
    <d v="2025-11-21T00:00:00"/>
    <x v="4"/>
    <x v="4"/>
    <n v="25"/>
    <n v="30"/>
    <n v="0"/>
    <n v="750"/>
    <n v="29.463013698630139"/>
    <n v="25"/>
  </r>
  <r>
    <s v="ORD-2625"/>
    <d v="2025-11-22T00:00:00"/>
    <x v="0"/>
    <x v="0"/>
    <n v="45"/>
    <n v="39"/>
    <n v="0"/>
    <n v="1755"/>
    <n v="31.479452054794521"/>
    <n v="45"/>
  </r>
  <r>
    <s v="ORD-2626"/>
    <d v="2025-11-22T00:00:00"/>
    <x v="1"/>
    <x v="1"/>
    <n v="12.5"/>
    <n v="42"/>
    <n v="0"/>
    <n v="525"/>
    <n v="31.794520547945204"/>
    <n v="12.5"/>
  </r>
  <r>
    <s v="ORD-2627"/>
    <d v="2025-11-22T00:00:00"/>
    <x v="2"/>
    <x v="2"/>
    <n v="35"/>
    <n v="66"/>
    <n v="0.2"/>
    <n v="1848"/>
    <n v="30.438356164383563"/>
    <n v="35"/>
  </r>
  <r>
    <s v="ORD-2628"/>
    <d v="2025-11-22T00:00:00"/>
    <x v="3"/>
    <x v="3"/>
    <n v="120"/>
    <n v="19"/>
    <n v="0.1"/>
    <n v="2052"/>
    <n v="30.473972602739725"/>
    <n v="120"/>
  </r>
  <r>
    <s v="ORD-2629"/>
    <d v="2025-11-22T00:00:00"/>
    <x v="4"/>
    <x v="4"/>
    <n v="25"/>
    <n v="16"/>
    <n v="0"/>
    <n v="400"/>
    <n v="29.463013698630139"/>
    <n v="25"/>
  </r>
  <r>
    <s v="ORD-2630"/>
    <d v="2025-11-23T00:00:00"/>
    <x v="0"/>
    <x v="0"/>
    <n v="45"/>
    <n v="31"/>
    <n v="0"/>
    <n v="1395"/>
    <n v="31.479452054794521"/>
    <n v="45"/>
  </r>
  <r>
    <s v="ORD-2631"/>
    <d v="2025-11-23T00:00:00"/>
    <x v="1"/>
    <x v="1"/>
    <n v="12.5"/>
    <n v="40"/>
    <n v="0"/>
    <n v="500"/>
    <n v="31.794520547945204"/>
    <n v="12.5"/>
  </r>
  <r>
    <s v="ORD-2632"/>
    <d v="2025-11-23T00:00:00"/>
    <x v="2"/>
    <x v="2"/>
    <n v="35"/>
    <n v="69"/>
    <n v="0"/>
    <n v="2415"/>
    <n v="30.438356164383563"/>
    <n v="35"/>
  </r>
  <r>
    <s v="ORD-2633"/>
    <d v="2025-11-23T00:00:00"/>
    <x v="3"/>
    <x v="3"/>
    <n v="120"/>
    <n v="54"/>
    <n v="0"/>
    <n v="6480"/>
    <n v="30.473972602739725"/>
    <n v="120"/>
  </r>
  <r>
    <s v="ORD-2634"/>
    <d v="2025-11-23T00:00:00"/>
    <x v="4"/>
    <x v="4"/>
    <n v="25"/>
    <n v="13"/>
    <n v="0"/>
    <n v="325"/>
    <n v="29.463013698630139"/>
    <n v="25"/>
  </r>
  <r>
    <s v="ORD-2635"/>
    <d v="2025-11-24T00:00:00"/>
    <x v="0"/>
    <x v="0"/>
    <n v="45"/>
    <n v="45"/>
    <n v="0"/>
    <n v="2025"/>
    <n v="31.479452054794521"/>
    <n v="45"/>
  </r>
  <r>
    <s v="ORD-2636"/>
    <d v="2025-11-24T00:00:00"/>
    <x v="1"/>
    <x v="1"/>
    <n v="12.5"/>
    <n v="44"/>
    <n v="0.2"/>
    <n v="440"/>
    <n v="31.794520547945204"/>
    <n v="12.5"/>
  </r>
  <r>
    <s v="ORD-2637"/>
    <d v="2025-11-24T00:00:00"/>
    <x v="2"/>
    <x v="2"/>
    <n v="35"/>
    <n v="18"/>
    <n v="0.1"/>
    <n v="567"/>
    <n v="30.438356164383563"/>
    <n v="35"/>
  </r>
  <r>
    <s v="ORD-2638"/>
    <d v="2025-11-24T00:00:00"/>
    <x v="3"/>
    <x v="3"/>
    <n v="120"/>
    <n v="28"/>
    <n v="0.1"/>
    <n v="3024"/>
    <n v="30.473972602739725"/>
    <n v="120"/>
  </r>
  <r>
    <s v="ORD-2639"/>
    <d v="2025-11-24T00:00:00"/>
    <x v="4"/>
    <x v="4"/>
    <n v="25"/>
    <n v="6"/>
    <n v="0.1"/>
    <n v="135"/>
    <n v="29.463013698630139"/>
    <n v="25"/>
  </r>
  <r>
    <s v="ORD-2640"/>
    <d v="2025-11-25T00:00:00"/>
    <x v="0"/>
    <x v="0"/>
    <n v="45"/>
    <n v="7"/>
    <n v="0"/>
    <n v="315"/>
    <n v="31.479452054794521"/>
    <n v="45"/>
  </r>
  <r>
    <s v="ORD-2641"/>
    <d v="2025-11-25T00:00:00"/>
    <x v="1"/>
    <x v="1"/>
    <n v="12.5"/>
    <n v="21"/>
    <n v="0"/>
    <n v="262.5"/>
    <n v="31.794520547945204"/>
    <n v="12.5"/>
  </r>
  <r>
    <s v="ORD-2642"/>
    <d v="2025-11-25T00:00:00"/>
    <x v="2"/>
    <x v="2"/>
    <n v="35"/>
    <n v="41"/>
    <n v="0"/>
    <n v="1435"/>
    <n v="30.438356164383563"/>
    <n v="35"/>
  </r>
  <r>
    <s v="ORD-2643"/>
    <d v="2025-11-25T00:00:00"/>
    <x v="3"/>
    <x v="3"/>
    <n v="120"/>
    <n v="14"/>
    <n v="0"/>
    <n v="1680"/>
    <n v="30.473972602739725"/>
    <n v="120"/>
  </r>
  <r>
    <s v="ORD-2644"/>
    <d v="2025-11-25T00:00:00"/>
    <x v="4"/>
    <x v="4"/>
    <n v="25"/>
    <n v="36"/>
    <n v="0.1"/>
    <n v="810"/>
    <n v="29.463013698630139"/>
    <n v="25"/>
  </r>
  <r>
    <s v="ORD-2645"/>
    <d v="2025-11-26T00:00:00"/>
    <x v="0"/>
    <x v="0"/>
    <n v="45"/>
    <n v="27"/>
    <n v="0.1"/>
    <n v="1093.5"/>
    <n v="31.479452054794521"/>
    <n v="45"/>
  </r>
  <r>
    <s v="ORD-2646"/>
    <d v="2025-11-26T00:00:00"/>
    <x v="1"/>
    <x v="1"/>
    <n v="12.5"/>
    <n v="41"/>
    <n v="0"/>
    <n v="512.5"/>
    <n v="31.794520547945204"/>
    <n v="12.5"/>
  </r>
  <r>
    <s v="ORD-2647"/>
    <d v="2025-11-26T00:00:00"/>
    <x v="2"/>
    <x v="2"/>
    <n v="35"/>
    <n v="31"/>
    <n v="0.1"/>
    <n v="976.5"/>
    <n v="30.438356164383563"/>
    <n v="35"/>
  </r>
  <r>
    <s v="ORD-2648"/>
    <d v="2025-11-26T00:00:00"/>
    <x v="3"/>
    <x v="3"/>
    <n v="120"/>
    <n v="47"/>
    <n v="0"/>
    <n v="5640"/>
    <n v="30.473972602739725"/>
    <n v="120"/>
  </r>
  <r>
    <s v="ORD-2649"/>
    <d v="2025-11-26T00:00:00"/>
    <x v="4"/>
    <x v="4"/>
    <n v="25"/>
    <n v="32"/>
    <n v="0"/>
    <n v="800"/>
    <n v="29.463013698630139"/>
    <n v="25"/>
  </r>
  <r>
    <s v="ORD-2650"/>
    <d v="2025-11-27T00:00:00"/>
    <x v="0"/>
    <x v="0"/>
    <n v="45"/>
    <n v="20"/>
    <n v="0"/>
    <n v="900"/>
    <n v="31.479452054794521"/>
    <n v="45"/>
  </r>
  <r>
    <s v="ORD-2651"/>
    <d v="2025-11-27T00:00:00"/>
    <x v="1"/>
    <x v="1"/>
    <n v="12.5"/>
    <n v="30"/>
    <n v="0"/>
    <n v="375"/>
    <n v="31.794520547945204"/>
    <n v="12.5"/>
  </r>
  <r>
    <s v="ORD-2652"/>
    <d v="2025-11-27T00:00:00"/>
    <x v="2"/>
    <x v="2"/>
    <n v="35"/>
    <n v="32"/>
    <n v="0"/>
    <n v="1120"/>
    <n v="30.438356164383563"/>
    <n v="35"/>
  </r>
  <r>
    <s v="ORD-2653"/>
    <d v="2025-11-27T00:00:00"/>
    <x v="3"/>
    <x v="3"/>
    <n v="120"/>
    <n v="10"/>
    <n v="0.2"/>
    <n v="960"/>
    <n v="30.473972602739725"/>
    <n v="120"/>
  </r>
  <r>
    <s v="ORD-2654"/>
    <d v="2025-11-27T00:00:00"/>
    <x v="4"/>
    <x v="4"/>
    <n v="25"/>
    <n v="42"/>
    <n v="0"/>
    <n v="1050"/>
    <n v="29.463013698630139"/>
    <n v="25"/>
  </r>
  <r>
    <s v="ORD-2655"/>
    <d v="2025-11-28T00:00:00"/>
    <x v="0"/>
    <x v="0"/>
    <n v="45"/>
    <n v="20"/>
    <n v="0"/>
    <n v="900"/>
    <n v="31.479452054794521"/>
    <n v="45"/>
  </r>
  <r>
    <s v="ORD-2656"/>
    <d v="2025-11-28T00:00:00"/>
    <x v="1"/>
    <x v="1"/>
    <n v="12.5"/>
    <n v="17"/>
    <n v="0"/>
    <n v="212.5"/>
    <n v="31.794520547945204"/>
    <n v="12.5"/>
  </r>
  <r>
    <s v="ORD-2657"/>
    <d v="2025-11-28T00:00:00"/>
    <x v="2"/>
    <x v="2"/>
    <n v="35"/>
    <n v="23"/>
    <n v="0"/>
    <n v="805"/>
    <n v="30.438356164383563"/>
    <n v="35"/>
  </r>
  <r>
    <s v="ORD-2658"/>
    <d v="2025-11-28T00:00:00"/>
    <x v="3"/>
    <x v="3"/>
    <n v="120"/>
    <n v="26"/>
    <n v="0"/>
    <n v="3120"/>
    <n v="30.473972602739725"/>
    <n v="120"/>
  </r>
  <r>
    <s v="ORD-2659"/>
    <d v="2025-11-28T00:00:00"/>
    <x v="4"/>
    <x v="4"/>
    <n v="25"/>
    <n v="31"/>
    <n v="0"/>
    <n v="775"/>
    <n v="29.463013698630139"/>
    <n v="25"/>
  </r>
  <r>
    <s v="ORD-2660"/>
    <d v="2025-11-29T00:00:00"/>
    <x v="0"/>
    <x v="0"/>
    <n v="45"/>
    <n v="73"/>
    <n v="0"/>
    <n v="3285"/>
    <n v="31.479452054794521"/>
    <n v="45"/>
  </r>
  <r>
    <s v="ORD-2661"/>
    <d v="2025-11-29T00:00:00"/>
    <x v="1"/>
    <x v="1"/>
    <n v="12.5"/>
    <n v="12"/>
    <n v="0.1"/>
    <n v="135"/>
    <n v="31.794520547945204"/>
    <n v="12.5"/>
  </r>
  <r>
    <s v="ORD-2662"/>
    <d v="2025-11-29T00:00:00"/>
    <x v="2"/>
    <x v="2"/>
    <n v="35"/>
    <n v="73"/>
    <n v="0.1"/>
    <n v="2299.5"/>
    <n v="30.438356164383563"/>
    <n v="35"/>
  </r>
  <r>
    <s v="ORD-2663"/>
    <d v="2025-11-29T00:00:00"/>
    <x v="3"/>
    <x v="3"/>
    <n v="120"/>
    <n v="61"/>
    <n v="0.2"/>
    <n v="5856"/>
    <n v="30.473972602739725"/>
    <n v="120"/>
  </r>
  <r>
    <s v="ORD-2664"/>
    <d v="2025-11-29T00:00:00"/>
    <x v="4"/>
    <x v="4"/>
    <n v="25"/>
    <n v="30"/>
    <n v="0"/>
    <n v="750"/>
    <n v="29.463013698630139"/>
    <n v="25"/>
  </r>
  <r>
    <s v="ORD-2665"/>
    <d v="2025-11-30T00:00:00"/>
    <x v="0"/>
    <x v="0"/>
    <n v="45"/>
    <n v="43"/>
    <n v="0"/>
    <n v="1935"/>
    <n v="31.479452054794521"/>
    <n v="45"/>
  </r>
  <r>
    <s v="ORD-2666"/>
    <d v="2025-11-30T00:00:00"/>
    <x v="1"/>
    <x v="1"/>
    <n v="12.5"/>
    <n v="54"/>
    <n v="0.1"/>
    <n v="607.5"/>
    <n v="31.794520547945204"/>
    <n v="12.5"/>
  </r>
  <r>
    <s v="ORD-2667"/>
    <d v="2025-11-30T00:00:00"/>
    <x v="2"/>
    <x v="2"/>
    <n v="35"/>
    <n v="25"/>
    <n v="0"/>
    <n v="875"/>
    <n v="30.438356164383563"/>
    <n v="35"/>
  </r>
  <r>
    <s v="ORD-2668"/>
    <d v="2025-11-30T00:00:00"/>
    <x v="3"/>
    <x v="3"/>
    <n v="120"/>
    <n v="57"/>
    <n v="0.2"/>
    <n v="5472"/>
    <n v="30.473972602739725"/>
    <n v="120"/>
  </r>
  <r>
    <s v="ORD-2669"/>
    <d v="2025-11-30T00:00:00"/>
    <x v="4"/>
    <x v="4"/>
    <n v="25"/>
    <n v="46"/>
    <n v="0"/>
    <n v="1150"/>
    <n v="29.463013698630139"/>
    <n v="25"/>
  </r>
  <r>
    <s v="ORD-2670"/>
    <d v="2025-12-01T00:00:00"/>
    <x v="0"/>
    <x v="0"/>
    <n v="45"/>
    <n v="25"/>
    <n v="0"/>
    <n v="1125"/>
    <n v="31.479452054794521"/>
    <n v="45"/>
  </r>
  <r>
    <s v="ORD-2671"/>
    <d v="2025-12-01T00:00:00"/>
    <x v="1"/>
    <x v="1"/>
    <n v="12.5"/>
    <n v="6"/>
    <n v="0"/>
    <n v="75"/>
    <n v="31.794520547945204"/>
    <n v="12.5"/>
  </r>
  <r>
    <s v="ORD-2672"/>
    <d v="2025-12-01T00:00:00"/>
    <x v="2"/>
    <x v="2"/>
    <n v="35"/>
    <n v="13"/>
    <n v="0"/>
    <n v="455"/>
    <n v="30.438356164383563"/>
    <n v="35"/>
  </r>
  <r>
    <s v="ORD-2673"/>
    <d v="2025-12-01T00:00:00"/>
    <x v="3"/>
    <x v="3"/>
    <n v="120"/>
    <n v="23"/>
    <n v="0"/>
    <n v="2760"/>
    <n v="30.473972602739725"/>
    <n v="120"/>
  </r>
  <r>
    <s v="ORD-2674"/>
    <d v="2025-12-01T00:00:00"/>
    <x v="4"/>
    <x v="4"/>
    <n v="25"/>
    <n v="12"/>
    <n v="0"/>
    <n v="300"/>
    <n v="29.463013698630139"/>
    <n v="25"/>
  </r>
  <r>
    <s v="ORD-2675"/>
    <d v="2025-12-02T00:00:00"/>
    <x v="0"/>
    <x v="0"/>
    <n v="45"/>
    <n v="49"/>
    <n v="0"/>
    <n v="2205"/>
    <n v="31.479452054794521"/>
    <n v="45"/>
  </r>
  <r>
    <s v="ORD-2676"/>
    <d v="2025-12-02T00:00:00"/>
    <x v="1"/>
    <x v="1"/>
    <n v="12.5"/>
    <n v="44"/>
    <n v="0.1"/>
    <n v="495"/>
    <n v="31.794520547945204"/>
    <n v="12.5"/>
  </r>
  <r>
    <s v="ORD-2677"/>
    <d v="2025-12-02T00:00:00"/>
    <x v="2"/>
    <x v="2"/>
    <n v="35"/>
    <n v="21"/>
    <n v="0"/>
    <n v="735"/>
    <n v="30.438356164383563"/>
    <n v="35"/>
  </r>
  <r>
    <s v="ORD-2678"/>
    <d v="2025-12-02T00:00:00"/>
    <x v="3"/>
    <x v="3"/>
    <n v="120"/>
    <n v="20"/>
    <n v="0"/>
    <n v="2400"/>
    <n v="30.473972602739725"/>
    <n v="120"/>
  </r>
  <r>
    <s v="ORD-2679"/>
    <d v="2025-12-02T00:00:00"/>
    <x v="4"/>
    <x v="4"/>
    <n v="25"/>
    <n v="24"/>
    <n v="0.2"/>
    <n v="480"/>
    <n v="29.463013698630139"/>
    <n v="25"/>
  </r>
  <r>
    <s v="ORD-2680"/>
    <d v="2025-12-03T00:00:00"/>
    <x v="0"/>
    <x v="0"/>
    <n v="45"/>
    <n v="10"/>
    <n v="0"/>
    <n v="450"/>
    <n v="31.479452054794521"/>
    <n v="45"/>
  </r>
  <r>
    <s v="ORD-2681"/>
    <d v="2025-12-03T00:00:00"/>
    <x v="1"/>
    <x v="1"/>
    <n v="12.5"/>
    <n v="17"/>
    <n v="0"/>
    <n v="212.5"/>
    <n v="31.794520547945204"/>
    <n v="12.5"/>
  </r>
  <r>
    <s v="ORD-2682"/>
    <d v="2025-12-03T00:00:00"/>
    <x v="2"/>
    <x v="2"/>
    <n v="35"/>
    <n v="23"/>
    <n v="0"/>
    <n v="805"/>
    <n v="30.438356164383563"/>
    <n v="35"/>
  </r>
  <r>
    <s v="ORD-2683"/>
    <d v="2025-12-03T00:00:00"/>
    <x v="3"/>
    <x v="3"/>
    <n v="120"/>
    <n v="40"/>
    <n v="0"/>
    <n v="4800"/>
    <n v="30.473972602739725"/>
    <n v="120"/>
  </r>
  <r>
    <s v="ORD-2684"/>
    <d v="2025-12-03T00:00:00"/>
    <x v="4"/>
    <x v="4"/>
    <n v="25"/>
    <n v="17"/>
    <n v="0"/>
    <n v="425"/>
    <n v="29.463013698630139"/>
    <n v="25"/>
  </r>
  <r>
    <s v="ORD-2685"/>
    <d v="2025-12-04T00:00:00"/>
    <x v="0"/>
    <x v="0"/>
    <n v="45"/>
    <n v="38"/>
    <n v="0.1"/>
    <n v="1539"/>
    <n v="31.479452054794521"/>
    <n v="45"/>
  </r>
  <r>
    <s v="ORD-2686"/>
    <d v="2025-12-04T00:00:00"/>
    <x v="1"/>
    <x v="1"/>
    <n v="12.5"/>
    <n v="34"/>
    <n v="0"/>
    <n v="425"/>
    <n v="31.794520547945204"/>
    <n v="12.5"/>
  </r>
  <r>
    <s v="ORD-2687"/>
    <d v="2025-12-04T00:00:00"/>
    <x v="2"/>
    <x v="2"/>
    <n v="35"/>
    <n v="5"/>
    <n v="0"/>
    <n v="175"/>
    <n v="30.438356164383563"/>
    <n v="35"/>
  </r>
  <r>
    <s v="ORD-2688"/>
    <d v="2025-12-04T00:00:00"/>
    <x v="3"/>
    <x v="3"/>
    <n v="120"/>
    <n v="10"/>
    <n v="0"/>
    <n v="1200"/>
    <n v="30.473972602739725"/>
    <n v="120"/>
  </r>
  <r>
    <s v="ORD-2689"/>
    <d v="2025-12-04T00:00:00"/>
    <x v="4"/>
    <x v="4"/>
    <n v="25"/>
    <n v="13"/>
    <n v="0"/>
    <n v="325"/>
    <n v="29.463013698630139"/>
    <n v="25"/>
  </r>
  <r>
    <s v="ORD-2690"/>
    <d v="2025-12-05T00:00:00"/>
    <x v="0"/>
    <x v="0"/>
    <n v="45"/>
    <n v="17"/>
    <n v="0"/>
    <n v="765"/>
    <n v="31.479452054794521"/>
    <n v="45"/>
  </r>
  <r>
    <s v="ORD-2691"/>
    <d v="2025-12-05T00:00:00"/>
    <x v="1"/>
    <x v="1"/>
    <n v="12.5"/>
    <n v="18"/>
    <n v="0"/>
    <n v="225"/>
    <n v="31.794520547945204"/>
    <n v="12.5"/>
  </r>
  <r>
    <s v="ORD-2692"/>
    <d v="2025-12-05T00:00:00"/>
    <x v="2"/>
    <x v="2"/>
    <n v="35"/>
    <n v="37"/>
    <n v="0"/>
    <n v="1295"/>
    <n v="30.438356164383563"/>
    <n v="35"/>
  </r>
  <r>
    <s v="ORD-2693"/>
    <d v="2025-12-05T00:00:00"/>
    <x v="3"/>
    <x v="3"/>
    <n v="120"/>
    <n v="26"/>
    <n v="0"/>
    <n v="3120"/>
    <n v="30.473972602739725"/>
    <n v="120"/>
  </r>
  <r>
    <s v="ORD-2694"/>
    <d v="2025-12-05T00:00:00"/>
    <x v="4"/>
    <x v="4"/>
    <n v="25"/>
    <n v="45"/>
    <n v="0.1"/>
    <n v="1012.5"/>
    <n v="29.463013698630139"/>
    <n v="25"/>
  </r>
  <r>
    <s v="ORD-2695"/>
    <d v="2025-12-06T00:00:00"/>
    <x v="0"/>
    <x v="0"/>
    <n v="45"/>
    <n v="49"/>
    <n v="0"/>
    <n v="2205"/>
    <n v="31.479452054794521"/>
    <n v="45"/>
  </r>
  <r>
    <s v="ORD-2696"/>
    <d v="2025-12-06T00:00:00"/>
    <x v="1"/>
    <x v="1"/>
    <n v="12.5"/>
    <n v="21"/>
    <n v="0"/>
    <n v="262.5"/>
    <n v="31.794520547945204"/>
    <n v="12.5"/>
  </r>
  <r>
    <s v="ORD-2697"/>
    <d v="2025-12-06T00:00:00"/>
    <x v="2"/>
    <x v="2"/>
    <n v="35"/>
    <n v="15"/>
    <n v="0"/>
    <n v="525"/>
    <n v="30.438356164383563"/>
    <n v="35"/>
  </r>
  <r>
    <s v="ORD-2698"/>
    <d v="2025-12-06T00:00:00"/>
    <x v="3"/>
    <x v="3"/>
    <n v="120"/>
    <n v="66"/>
    <n v="0"/>
    <n v="7920"/>
    <n v="30.473972602739725"/>
    <n v="120"/>
  </r>
  <r>
    <s v="ORD-2699"/>
    <d v="2025-12-06T00:00:00"/>
    <x v="4"/>
    <x v="4"/>
    <n v="25"/>
    <n v="48"/>
    <n v="0.2"/>
    <n v="960"/>
    <n v="29.463013698630139"/>
    <n v="25"/>
  </r>
  <r>
    <s v="ORD-2700"/>
    <d v="2025-12-07T00:00:00"/>
    <x v="0"/>
    <x v="0"/>
    <n v="45"/>
    <n v="51"/>
    <n v="0"/>
    <n v="2295"/>
    <n v="31.479452054794521"/>
    <n v="45"/>
  </r>
  <r>
    <s v="ORD-2701"/>
    <d v="2025-12-07T00:00:00"/>
    <x v="1"/>
    <x v="1"/>
    <n v="12.5"/>
    <n v="25"/>
    <n v="0.1"/>
    <n v="281.25"/>
    <n v="31.794520547945204"/>
    <n v="12.5"/>
  </r>
  <r>
    <s v="ORD-2702"/>
    <d v="2025-12-07T00:00:00"/>
    <x v="2"/>
    <x v="2"/>
    <n v="35"/>
    <n v="52"/>
    <n v="0"/>
    <n v="1820"/>
    <n v="30.438356164383563"/>
    <n v="35"/>
  </r>
  <r>
    <s v="ORD-2703"/>
    <d v="2025-12-07T00:00:00"/>
    <x v="3"/>
    <x v="3"/>
    <n v="120"/>
    <n v="28"/>
    <n v="0"/>
    <n v="3360"/>
    <n v="30.473972602739725"/>
    <n v="120"/>
  </r>
  <r>
    <s v="ORD-2704"/>
    <d v="2025-12-07T00:00:00"/>
    <x v="4"/>
    <x v="4"/>
    <n v="25"/>
    <n v="7"/>
    <n v="0.1"/>
    <n v="157.5"/>
    <n v="29.463013698630139"/>
    <n v="25"/>
  </r>
  <r>
    <s v="ORD-2705"/>
    <d v="2025-12-08T00:00:00"/>
    <x v="0"/>
    <x v="0"/>
    <n v="45"/>
    <n v="27"/>
    <n v="0"/>
    <n v="1215"/>
    <n v="31.479452054794521"/>
    <n v="45"/>
  </r>
  <r>
    <s v="ORD-2706"/>
    <d v="2025-12-08T00:00:00"/>
    <x v="1"/>
    <x v="1"/>
    <n v="12.5"/>
    <n v="38"/>
    <n v="0"/>
    <n v="475"/>
    <n v="31.794520547945204"/>
    <n v="12.5"/>
  </r>
  <r>
    <s v="ORD-2707"/>
    <d v="2025-12-08T00:00:00"/>
    <x v="2"/>
    <x v="2"/>
    <n v="35"/>
    <n v="25"/>
    <n v="0"/>
    <n v="875"/>
    <n v="30.438356164383563"/>
    <n v="35"/>
  </r>
  <r>
    <s v="ORD-2708"/>
    <d v="2025-12-08T00:00:00"/>
    <x v="3"/>
    <x v="3"/>
    <n v="120"/>
    <n v="30"/>
    <n v="0"/>
    <n v="3600"/>
    <n v="30.473972602739725"/>
    <n v="120"/>
  </r>
  <r>
    <s v="ORD-2709"/>
    <d v="2025-12-08T00:00:00"/>
    <x v="4"/>
    <x v="4"/>
    <n v="25"/>
    <n v="24"/>
    <n v="0"/>
    <n v="600"/>
    <n v="29.463013698630139"/>
    <n v="25"/>
  </r>
  <r>
    <s v="ORD-2710"/>
    <d v="2025-12-09T00:00:00"/>
    <x v="0"/>
    <x v="0"/>
    <n v="45"/>
    <n v="22"/>
    <n v="0"/>
    <n v="990"/>
    <n v="31.479452054794521"/>
    <n v="45"/>
  </r>
  <r>
    <s v="ORD-2711"/>
    <d v="2025-12-09T00:00:00"/>
    <x v="1"/>
    <x v="1"/>
    <n v="12.5"/>
    <n v="20"/>
    <n v="0"/>
    <n v="250"/>
    <n v="31.794520547945204"/>
    <n v="12.5"/>
  </r>
  <r>
    <s v="ORD-2712"/>
    <d v="2025-12-09T00:00:00"/>
    <x v="2"/>
    <x v="2"/>
    <n v="35"/>
    <n v="44"/>
    <n v="0"/>
    <n v="1540"/>
    <n v="30.438356164383563"/>
    <n v="35"/>
  </r>
  <r>
    <s v="ORD-2713"/>
    <d v="2025-12-09T00:00:00"/>
    <x v="3"/>
    <x v="3"/>
    <n v="120"/>
    <n v="42"/>
    <n v="0.2"/>
    <n v="4032"/>
    <n v="30.473972602739725"/>
    <n v="120"/>
  </r>
  <r>
    <s v="ORD-2714"/>
    <d v="2025-12-09T00:00:00"/>
    <x v="4"/>
    <x v="4"/>
    <n v="25"/>
    <n v="21"/>
    <n v="0"/>
    <n v="525"/>
    <n v="29.463013698630139"/>
    <n v="25"/>
  </r>
  <r>
    <s v="ORD-2715"/>
    <d v="2025-12-10T00:00:00"/>
    <x v="0"/>
    <x v="0"/>
    <n v="45"/>
    <n v="12"/>
    <n v="0"/>
    <n v="540"/>
    <n v="31.479452054794521"/>
    <n v="45"/>
  </r>
  <r>
    <s v="ORD-2716"/>
    <d v="2025-12-10T00:00:00"/>
    <x v="1"/>
    <x v="1"/>
    <n v="12.5"/>
    <n v="10"/>
    <n v="0"/>
    <n v="125"/>
    <n v="31.794520547945204"/>
    <n v="12.5"/>
  </r>
  <r>
    <s v="ORD-2717"/>
    <d v="2025-12-10T00:00:00"/>
    <x v="2"/>
    <x v="2"/>
    <n v="35"/>
    <n v="40"/>
    <n v="0"/>
    <n v="1400"/>
    <n v="30.438356164383563"/>
    <n v="35"/>
  </r>
  <r>
    <s v="ORD-2718"/>
    <d v="2025-12-10T00:00:00"/>
    <x v="3"/>
    <x v="3"/>
    <n v="120"/>
    <n v="40"/>
    <n v="0.2"/>
    <n v="3840"/>
    <n v="30.473972602739725"/>
    <n v="120"/>
  </r>
  <r>
    <s v="ORD-2719"/>
    <d v="2025-12-10T00:00:00"/>
    <x v="4"/>
    <x v="4"/>
    <n v="25"/>
    <n v="47"/>
    <n v="0"/>
    <n v="1175"/>
    <n v="29.463013698630139"/>
    <n v="25"/>
  </r>
  <r>
    <s v="ORD-2720"/>
    <d v="2025-12-11T00:00:00"/>
    <x v="0"/>
    <x v="0"/>
    <n v="45"/>
    <n v="48"/>
    <n v="0.1"/>
    <n v="1944"/>
    <n v="31.479452054794521"/>
    <n v="45"/>
  </r>
  <r>
    <s v="ORD-2721"/>
    <d v="2025-12-11T00:00:00"/>
    <x v="1"/>
    <x v="1"/>
    <n v="12.5"/>
    <n v="23"/>
    <n v="0"/>
    <n v="287.5"/>
    <n v="31.794520547945204"/>
    <n v="12.5"/>
  </r>
  <r>
    <s v="ORD-2722"/>
    <d v="2025-12-11T00:00:00"/>
    <x v="2"/>
    <x v="2"/>
    <n v="35"/>
    <n v="44"/>
    <n v="0"/>
    <n v="1540"/>
    <n v="30.438356164383563"/>
    <n v="35"/>
  </r>
  <r>
    <s v="ORD-2723"/>
    <d v="2025-12-11T00:00:00"/>
    <x v="3"/>
    <x v="3"/>
    <n v="120"/>
    <n v="28"/>
    <n v="0"/>
    <n v="3360"/>
    <n v="30.473972602739725"/>
    <n v="120"/>
  </r>
  <r>
    <s v="ORD-2724"/>
    <d v="2025-12-11T00:00:00"/>
    <x v="4"/>
    <x v="4"/>
    <n v="25"/>
    <n v="38"/>
    <n v="0.1"/>
    <n v="855"/>
    <n v="29.463013698630139"/>
    <n v="25"/>
  </r>
  <r>
    <s v="ORD-2725"/>
    <d v="2025-12-12T00:00:00"/>
    <x v="0"/>
    <x v="0"/>
    <n v="45"/>
    <n v="18"/>
    <n v="0.1"/>
    <n v="729"/>
    <n v="31.479452054794521"/>
    <n v="45"/>
  </r>
  <r>
    <s v="ORD-2726"/>
    <d v="2025-12-12T00:00:00"/>
    <x v="1"/>
    <x v="1"/>
    <n v="12.5"/>
    <n v="37"/>
    <n v="0"/>
    <n v="462.5"/>
    <n v="31.794520547945204"/>
    <n v="12.5"/>
  </r>
  <r>
    <s v="ORD-2727"/>
    <d v="2025-12-12T00:00:00"/>
    <x v="2"/>
    <x v="2"/>
    <n v="35"/>
    <n v="48"/>
    <n v="0"/>
    <n v="1680"/>
    <n v="30.438356164383563"/>
    <n v="35"/>
  </r>
  <r>
    <s v="ORD-2728"/>
    <d v="2025-12-12T00:00:00"/>
    <x v="3"/>
    <x v="3"/>
    <n v="120"/>
    <n v="38"/>
    <n v="0"/>
    <n v="4560"/>
    <n v="30.473972602739725"/>
    <n v="120"/>
  </r>
  <r>
    <s v="ORD-2729"/>
    <d v="2025-12-12T00:00:00"/>
    <x v="4"/>
    <x v="4"/>
    <n v="25"/>
    <n v="9"/>
    <n v="0"/>
    <n v="225"/>
    <n v="29.463013698630139"/>
    <n v="25"/>
  </r>
  <r>
    <s v="ORD-2730"/>
    <d v="2025-12-13T00:00:00"/>
    <x v="0"/>
    <x v="0"/>
    <n v="45"/>
    <n v="12"/>
    <n v="0"/>
    <n v="540"/>
    <n v="31.479452054794521"/>
    <n v="45"/>
  </r>
  <r>
    <s v="ORD-2731"/>
    <d v="2025-12-13T00:00:00"/>
    <x v="1"/>
    <x v="1"/>
    <n v="12.5"/>
    <n v="27"/>
    <n v="0.1"/>
    <n v="303.75"/>
    <n v="31.794520547945204"/>
    <n v="12.5"/>
  </r>
  <r>
    <s v="ORD-2732"/>
    <d v="2025-12-13T00:00:00"/>
    <x v="2"/>
    <x v="2"/>
    <n v="35"/>
    <n v="34"/>
    <n v="0"/>
    <n v="1190"/>
    <n v="30.438356164383563"/>
    <n v="35"/>
  </r>
  <r>
    <s v="ORD-2733"/>
    <d v="2025-12-13T00:00:00"/>
    <x v="3"/>
    <x v="3"/>
    <n v="120"/>
    <n v="13"/>
    <n v="0.1"/>
    <n v="1404"/>
    <n v="30.473972602739725"/>
    <n v="120"/>
  </r>
  <r>
    <s v="ORD-2734"/>
    <d v="2025-12-13T00:00:00"/>
    <x v="4"/>
    <x v="4"/>
    <n v="25"/>
    <n v="16"/>
    <n v="0"/>
    <n v="400"/>
    <n v="29.463013698630139"/>
    <n v="25"/>
  </r>
  <r>
    <s v="ORD-2735"/>
    <d v="2025-12-14T00:00:00"/>
    <x v="0"/>
    <x v="0"/>
    <n v="45"/>
    <n v="39"/>
    <n v="0.2"/>
    <n v="1404"/>
    <n v="31.479452054794521"/>
    <n v="45"/>
  </r>
  <r>
    <s v="ORD-2736"/>
    <d v="2025-12-14T00:00:00"/>
    <x v="1"/>
    <x v="1"/>
    <n v="12.5"/>
    <n v="57"/>
    <n v="0.1"/>
    <n v="641.25"/>
    <n v="31.794520547945204"/>
    <n v="12.5"/>
  </r>
  <r>
    <s v="ORD-2737"/>
    <d v="2025-12-14T00:00:00"/>
    <x v="2"/>
    <x v="2"/>
    <n v="35"/>
    <n v="40"/>
    <n v="0"/>
    <n v="1400"/>
    <n v="30.438356164383563"/>
    <n v="35"/>
  </r>
  <r>
    <s v="ORD-2738"/>
    <d v="2025-12-14T00:00:00"/>
    <x v="3"/>
    <x v="3"/>
    <n v="120"/>
    <n v="22"/>
    <n v="0"/>
    <n v="2640"/>
    <n v="30.473972602739725"/>
    <n v="120"/>
  </r>
  <r>
    <s v="ORD-2739"/>
    <d v="2025-12-14T00:00:00"/>
    <x v="4"/>
    <x v="4"/>
    <n v="25"/>
    <n v="52"/>
    <n v="0"/>
    <n v="1300"/>
    <n v="29.463013698630139"/>
    <n v="25"/>
  </r>
  <r>
    <s v="ORD-2740"/>
    <d v="2025-12-15T00:00:00"/>
    <x v="0"/>
    <x v="0"/>
    <n v="45"/>
    <n v="31"/>
    <n v="0"/>
    <n v="1395"/>
    <n v="31.479452054794521"/>
    <n v="45"/>
  </r>
  <r>
    <s v="ORD-2741"/>
    <d v="2025-12-15T00:00:00"/>
    <x v="1"/>
    <x v="1"/>
    <n v="12.5"/>
    <n v="20"/>
    <n v="0"/>
    <n v="250"/>
    <n v="31.794520547945204"/>
    <n v="12.5"/>
  </r>
  <r>
    <s v="ORD-2742"/>
    <d v="2025-12-15T00:00:00"/>
    <x v="2"/>
    <x v="2"/>
    <n v="35"/>
    <n v="32"/>
    <n v="0"/>
    <n v="1120"/>
    <n v="30.438356164383563"/>
    <n v="35"/>
  </r>
  <r>
    <s v="ORD-2743"/>
    <d v="2025-12-15T00:00:00"/>
    <x v="3"/>
    <x v="3"/>
    <n v="120"/>
    <n v="12"/>
    <n v="0"/>
    <n v="1440"/>
    <n v="30.473972602739725"/>
    <n v="120"/>
  </r>
  <r>
    <s v="ORD-2744"/>
    <d v="2025-12-15T00:00:00"/>
    <x v="4"/>
    <x v="4"/>
    <n v="25"/>
    <n v="36"/>
    <n v="0"/>
    <n v="900"/>
    <n v="29.463013698630139"/>
    <n v="25"/>
  </r>
  <r>
    <s v="ORD-2745"/>
    <d v="2025-12-16T00:00:00"/>
    <x v="0"/>
    <x v="0"/>
    <n v="45"/>
    <n v="47"/>
    <n v="0.2"/>
    <n v="1692"/>
    <n v="31.479452054794521"/>
    <n v="45"/>
  </r>
  <r>
    <s v="ORD-2746"/>
    <d v="2025-12-16T00:00:00"/>
    <x v="1"/>
    <x v="1"/>
    <n v="12.5"/>
    <n v="48"/>
    <n v="0"/>
    <n v="600"/>
    <n v="31.794520547945204"/>
    <n v="12.5"/>
  </r>
  <r>
    <s v="ORD-2747"/>
    <d v="2025-12-16T00:00:00"/>
    <x v="2"/>
    <x v="2"/>
    <n v="35"/>
    <n v="14"/>
    <n v="0"/>
    <n v="490"/>
    <n v="30.438356164383563"/>
    <n v="35"/>
  </r>
  <r>
    <s v="ORD-2748"/>
    <d v="2025-12-16T00:00:00"/>
    <x v="3"/>
    <x v="3"/>
    <n v="120"/>
    <n v="26"/>
    <n v="0"/>
    <n v="3120"/>
    <n v="30.473972602739725"/>
    <n v="120"/>
  </r>
  <r>
    <s v="ORD-2749"/>
    <d v="2025-12-16T00:00:00"/>
    <x v="4"/>
    <x v="4"/>
    <n v="25"/>
    <n v="37"/>
    <n v="0"/>
    <n v="925"/>
    <n v="29.463013698630139"/>
    <n v="25"/>
  </r>
  <r>
    <s v="ORD-2750"/>
    <d v="2025-12-17T00:00:00"/>
    <x v="0"/>
    <x v="0"/>
    <n v="45"/>
    <n v="31"/>
    <n v="0"/>
    <n v="1395"/>
    <n v="31.479452054794521"/>
    <n v="45"/>
  </r>
  <r>
    <s v="ORD-2751"/>
    <d v="2025-12-17T00:00:00"/>
    <x v="1"/>
    <x v="1"/>
    <n v="12.5"/>
    <n v="20"/>
    <n v="0"/>
    <n v="250"/>
    <n v="31.794520547945204"/>
    <n v="12.5"/>
  </r>
  <r>
    <s v="ORD-2752"/>
    <d v="2025-12-17T00:00:00"/>
    <x v="2"/>
    <x v="2"/>
    <n v="35"/>
    <n v="39"/>
    <n v="0"/>
    <n v="1365"/>
    <n v="30.438356164383563"/>
    <n v="35"/>
  </r>
  <r>
    <s v="ORD-2753"/>
    <d v="2025-12-17T00:00:00"/>
    <x v="3"/>
    <x v="3"/>
    <n v="120"/>
    <n v="16"/>
    <n v="0.1"/>
    <n v="1728"/>
    <n v="30.473972602739725"/>
    <n v="120"/>
  </r>
  <r>
    <s v="ORD-2754"/>
    <d v="2025-12-17T00:00:00"/>
    <x v="4"/>
    <x v="4"/>
    <n v="25"/>
    <n v="30"/>
    <n v="0"/>
    <n v="750"/>
    <n v="29.463013698630139"/>
    <n v="25"/>
  </r>
  <r>
    <s v="ORD-2755"/>
    <d v="2025-12-18T00:00:00"/>
    <x v="0"/>
    <x v="0"/>
    <n v="45"/>
    <n v="13"/>
    <n v="0.2"/>
    <n v="468"/>
    <n v="31.479452054794521"/>
    <n v="45"/>
  </r>
  <r>
    <s v="ORD-2756"/>
    <d v="2025-12-18T00:00:00"/>
    <x v="1"/>
    <x v="1"/>
    <n v="12.5"/>
    <n v="16"/>
    <n v="0"/>
    <n v="200"/>
    <n v="31.794520547945204"/>
    <n v="12.5"/>
  </r>
  <r>
    <s v="ORD-2757"/>
    <d v="2025-12-18T00:00:00"/>
    <x v="2"/>
    <x v="2"/>
    <n v="35"/>
    <n v="37"/>
    <n v="0.2"/>
    <n v="1036"/>
    <n v="30.438356164383563"/>
    <n v="35"/>
  </r>
  <r>
    <s v="ORD-2758"/>
    <d v="2025-12-18T00:00:00"/>
    <x v="3"/>
    <x v="3"/>
    <n v="120"/>
    <n v="49"/>
    <n v="0.2"/>
    <n v="4704"/>
    <n v="30.473972602739725"/>
    <n v="120"/>
  </r>
  <r>
    <s v="ORD-2759"/>
    <d v="2025-12-18T00:00:00"/>
    <x v="4"/>
    <x v="4"/>
    <n v="25"/>
    <n v="43"/>
    <n v="0"/>
    <n v="1075"/>
    <n v="29.463013698630139"/>
    <n v="25"/>
  </r>
  <r>
    <s v="ORD-2760"/>
    <d v="2025-12-19T00:00:00"/>
    <x v="0"/>
    <x v="0"/>
    <n v="45"/>
    <n v="21"/>
    <n v="0"/>
    <n v="945"/>
    <n v="31.479452054794521"/>
    <n v="45"/>
  </r>
  <r>
    <s v="ORD-2761"/>
    <d v="2025-12-19T00:00:00"/>
    <x v="1"/>
    <x v="1"/>
    <n v="12.5"/>
    <n v="46"/>
    <n v="0.1"/>
    <n v="517.5"/>
    <n v="31.794520547945204"/>
    <n v="12.5"/>
  </r>
  <r>
    <s v="ORD-2762"/>
    <d v="2025-12-19T00:00:00"/>
    <x v="2"/>
    <x v="2"/>
    <n v="35"/>
    <n v="26"/>
    <n v="0"/>
    <n v="910"/>
    <n v="30.438356164383563"/>
    <n v="35"/>
  </r>
  <r>
    <s v="ORD-2763"/>
    <d v="2025-12-19T00:00:00"/>
    <x v="3"/>
    <x v="3"/>
    <n v="120"/>
    <n v="14"/>
    <n v="0.1"/>
    <n v="1512"/>
    <n v="30.473972602739725"/>
    <n v="120"/>
  </r>
  <r>
    <s v="ORD-2764"/>
    <d v="2025-12-19T00:00:00"/>
    <x v="4"/>
    <x v="4"/>
    <n v="25"/>
    <n v="15"/>
    <n v="0.1"/>
    <n v="337.5"/>
    <n v="29.463013698630139"/>
    <n v="25"/>
  </r>
  <r>
    <s v="ORD-2765"/>
    <d v="2025-12-20T00:00:00"/>
    <x v="0"/>
    <x v="0"/>
    <n v="45"/>
    <n v="22"/>
    <n v="0"/>
    <n v="990"/>
    <n v="31.479452054794521"/>
    <n v="45"/>
  </r>
  <r>
    <s v="ORD-2766"/>
    <d v="2025-12-20T00:00:00"/>
    <x v="1"/>
    <x v="1"/>
    <n v="12.5"/>
    <n v="28"/>
    <n v="0"/>
    <n v="350"/>
    <n v="31.794520547945204"/>
    <n v="12.5"/>
  </r>
  <r>
    <s v="ORD-2767"/>
    <d v="2025-12-20T00:00:00"/>
    <x v="2"/>
    <x v="2"/>
    <n v="35"/>
    <n v="52"/>
    <n v="0"/>
    <n v="1820"/>
    <n v="30.438356164383563"/>
    <n v="35"/>
  </r>
  <r>
    <s v="ORD-2768"/>
    <d v="2025-12-20T00:00:00"/>
    <x v="3"/>
    <x v="3"/>
    <n v="120"/>
    <n v="52"/>
    <n v="0.1"/>
    <n v="5616"/>
    <n v="30.473972602739725"/>
    <n v="120"/>
  </r>
  <r>
    <s v="ORD-2769"/>
    <d v="2025-12-20T00:00:00"/>
    <x v="4"/>
    <x v="4"/>
    <n v="25"/>
    <n v="60"/>
    <n v="0"/>
    <n v="1500"/>
    <n v="29.463013698630139"/>
    <n v="25"/>
  </r>
  <r>
    <s v="ORD-2770"/>
    <d v="2025-12-21T00:00:00"/>
    <x v="0"/>
    <x v="0"/>
    <n v="45"/>
    <n v="39"/>
    <n v="0.1"/>
    <n v="1579.5"/>
    <n v="31.479452054794521"/>
    <n v="45"/>
  </r>
  <r>
    <s v="ORD-2771"/>
    <d v="2025-12-21T00:00:00"/>
    <x v="1"/>
    <x v="1"/>
    <n v="12.5"/>
    <n v="24"/>
    <n v="0.1"/>
    <n v="270"/>
    <n v="31.794520547945204"/>
    <n v="12.5"/>
  </r>
  <r>
    <s v="ORD-2772"/>
    <d v="2025-12-21T00:00:00"/>
    <x v="2"/>
    <x v="2"/>
    <n v="35"/>
    <n v="10"/>
    <n v="0"/>
    <n v="350"/>
    <n v="30.438356164383563"/>
    <n v="35"/>
  </r>
  <r>
    <s v="ORD-2773"/>
    <d v="2025-12-21T00:00:00"/>
    <x v="3"/>
    <x v="3"/>
    <n v="120"/>
    <n v="13"/>
    <n v="0"/>
    <n v="1560"/>
    <n v="30.473972602739725"/>
    <n v="120"/>
  </r>
  <r>
    <s v="ORD-2774"/>
    <d v="2025-12-21T00:00:00"/>
    <x v="4"/>
    <x v="4"/>
    <n v="25"/>
    <n v="9"/>
    <n v="0.1"/>
    <n v="202.5"/>
    <n v="29.463013698630139"/>
    <n v="25"/>
  </r>
  <r>
    <s v="ORD-2775"/>
    <d v="2025-12-22T00:00:00"/>
    <x v="0"/>
    <x v="0"/>
    <n v="45"/>
    <n v="5"/>
    <n v="0"/>
    <n v="225"/>
    <n v="31.479452054794521"/>
    <n v="45"/>
  </r>
  <r>
    <s v="ORD-2776"/>
    <d v="2025-12-22T00:00:00"/>
    <x v="1"/>
    <x v="1"/>
    <n v="12.5"/>
    <n v="31"/>
    <n v="0"/>
    <n v="387.5"/>
    <n v="31.794520547945204"/>
    <n v="12.5"/>
  </r>
  <r>
    <s v="ORD-2777"/>
    <d v="2025-12-22T00:00:00"/>
    <x v="2"/>
    <x v="2"/>
    <n v="35"/>
    <n v="42"/>
    <n v="0"/>
    <n v="1470"/>
    <n v="30.438356164383563"/>
    <n v="35"/>
  </r>
  <r>
    <s v="ORD-2778"/>
    <d v="2025-12-22T00:00:00"/>
    <x v="3"/>
    <x v="3"/>
    <n v="120"/>
    <n v="12"/>
    <n v="0"/>
    <n v="1440"/>
    <n v="30.473972602739725"/>
    <n v="120"/>
  </r>
  <r>
    <s v="ORD-2779"/>
    <d v="2025-12-22T00:00:00"/>
    <x v="4"/>
    <x v="4"/>
    <n v="25"/>
    <n v="32"/>
    <n v="0.1"/>
    <n v="720"/>
    <n v="29.463013698630139"/>
    <n v="25"/>
  </r>
  <r>
    <s v="ORD-2780"/>
    <d v="2025-12-23T00:00:00"/>
    <x v="0"/>
    <x v="0"/>
    <n v="45"/>
    <n v="28"/>
    <n v="0"/>
    <n v="1260"/>
    <n v="31.479452054794521"/>
    <n v="45"/>
  </r>
  <r>
    <s v="ORD-2781"/>
    <d v="2025-12-23T00:00:00"/>
    <x v="1"/>
    <x v="1"/>
    <n v="12.5"/>
    <n v="37"/>
    <n v="0"/>
    <n v="462.5"/>
    <n v="31.794520547945204"/>
    <n v="12.5"/>
  </r>
  <r>
    <s v="ORD-2782"/>
    <d v="2025-12-23T00:00:00"/>
    <x v="2"/>
    <x v="2"/>
    <n v="35"/>
    <n v="12"/>
    <n v="0"/>
    <n v="420"/>
    <n v="30.438356164383563"/>
    <n v="35"/>
  </r>
  <r>
    <s v="ORD-2783"/>
    <d v="2025-12-23T00:00:00"/>
    <x v="3"/>
    <x v="3"/>
    <n v="120"/>
    <n v="20"/>
    <n v="0"/>
    <n v="2400"/>
    <n v="30.473972602739725"/>
    <n v="120"/>
  </r>
  <r>
    <s v="ORD-2784"/>
    <d v="2025-12-23T00:00:00"/>
    <x v="4"/>
    <x v="4"/>
    <n v="25"/>
    <n v="27"/>
    <n v="0"/>
    <n v="675"/>
    <n v="29.463013698630139"/>
    <n v="25"/>
  </r>
  <r>
    <s v="ORD-2785"/>
    <d v="2025-12-24T00:00:00"/>
    <x v="0"/>
    <x v="0"/>
    <n v="45"/>
    <n v="8"/>
    <n v="0.1"/>
    <n v="324"/>
    <n v="31.479452054794521"/>
    <n v="45"/>
  </r>
  <r>
    <s v="ORD-2786"/>
    <d v="2025-12-24T00:00:00"/>
    <x v="1"/>
    <x v="1"/>
    <n v="12.5"/>
    <n v="45"/>
    <n v="0"/>
    <n v="562.5"/>
    <n v="31.794520547945204"/>
    <n v="12.5"/>
  </r>
  <r>
    <s v="ORD-2787"/>
    <d v="2025-12-24T00:00:00"/>
    <x v="2"/>
    <x v="2"/>
    <n v="35"/>
    <n v="21"/>
    <n v="0.2"/>
    <n v="588"/>
    <n v="30.438356164383563"/>
    <n v="35"/>
  </r>
  <r>
    <s v="ORD-2788"/>
    <d v="2025-12-24T00:00:00"/>
    <x v="3"/>
    <x v="3"/>
    <n v="120"/>
    <n v="22"/>
    <n v="0"/>
    <n v="2640"/>
    <n v="30.473972602739725"/>
    <n v="120"/>
  </r>
  <r>
    <s v="ORD-2789"/>
    <d v="2025-12-24T00:00:00"/>
    <x v="4"/>
    <x v="4"/>
    <n v="25"/>
    <n v="32"/>
    <n v="0"/>
    <n v="800"/>
    <n v="29.463013698630139"/>
    <n v="25"/>
  </r>
  <r>
    <s v="ORD-2790"/>
    <d v="2025-12-25T00:00:00"/>
    <x v="0"/>
    <x v="0"/>
    <n v="45"/>
    <n v="7"/>
    <n v="0"/>
    <n v="315"/>
    <n v="31.479452054794521"/>
    <n v="45"/>
  </r>
  <r>
    <s v="ORD-2791"/>
    <d v="2025-12-25T00:00:00"/>
    <x v="1"/>
    <x v="1"/>
    <n v="12.5"/>
    <n v="19"/>
    <n v="0"/>
    <n v="237.5"/>
    <n v="31.794520547945204"/>
    <n v="12.5"/>
  </r>
  <r>
    <s v="ORD-2792"/>
    <d v="2025-12-25T00:00:00"/>
    <x v="2"/>
    <x v="2"/>
    <n v="35"/>
    <n v="31"/>
    <n v="0"/>
    <n v="1085"/>
    <n v="30.438356164383563"/>
    <n v="35"/>
  </r>
  <r>
    <s v="ORD-2793"/>
    <d v="2025-12-25T00:00:00"/>
    <x v="3"/>
    <x v="3"/>
    <n v="120"/>
    <n v="16"/>
    <n v="0.2"/>
    <n v="1536"/>
    <n v="30.473972602739725"/>
    <n v="120"/>
  </r>
  <r>
    <s v="ORD-2794"/>
    <d v="2025-12-25T00:00:00"/>
    <x v="4"/>
    <x v="4"/>
    <n v="25"/>
    <n v="29"/>
    <n v="0.2"/>
    <n v="580"/>
    <n v="29.463013698630139"/>
    <n v="25"/>
  </r>
  <r>
    <s v="ORD-2795"/>
    <d v="2025-12-26T00:00:00"/>
    <x v="0"/>
    <x v="0"/>
    <n v="45"/>
    <n v="14"/>
    <n v="0"/>
    <n v="630"/>
    <n v="31.479452054794521"/>
    <n v="45"/>
  </r>
  <r>
    <s v="ORD-2796"/>
    <d v="2025-12-26T00:00:00"/>
    <x v="1"/>
    <x v="1"/>
    <n v="12.5"/>
    <n v="10"/>
    <n v="0.1"/>
    <n v="112.5"/>
    <n v="31.794520547945204"/>
    <n v="12.5"/>
  </r>
  <r>
    <s v="ORD-2797"/>
    <d v="2025-12-26T00:00:00"/>
    <x v="2"/>
    <x v="2"/>
    <n v="35"/>
    <n v="49"/>
    <n v="0"/>
    <n v="1715"/>
    <n v="30.438356164383563"/>
    <n v="35"/>
  </r>
  <r>
    <s v="ORD-2798"/>
    <d v="2025-12-26T00:00:00"/>
    <x v="3"/>
    <x v="3"/>
    <n v="120"/>
    <n v="8"/>
    <n v="0"/>
    <n v="960"/>
    <n v="30.473972602739725"/>
    <n v="120"/>
  </r>
  <r>
    <s v="ORD-2799"/>
    <d v="2025-12-26T00:00:00"/>
    <x v="4"/>
    <x v="4"/>
    <n v="25"/>
    <n v="27"/>
    <n v="0"/>
    <n v="675"/>
    <n v="29.463013698630139"/>
    <n v="25"/>
  </r>
  <r>
    <s v="ORD-2800"/>
    <d v="2025-12-27T00:00:00"/>
    <x v="0"/>
    <x v="0"/>
    <n v="45"/>
    <n v="42"/>
    <n v="0"/>
    <n v="1890"/>
    <n v="31.479452054794521"/>
    <n v="45"/>
  </r>
  <r>
    <s v="ORD-2801"/>
    <d v="2025-12-27T00:00:00"/>
    <x v="1"/>
    <x v="1"/>
    <n v="12.5"/>
    <n v="64"/>
    <n v="0"/>
    <n v="800"/>
    <n v="31.794520547945204"/>
    <n v="12.5"/>
  </r>
  <r>
    <s v="ORD-2802"/>
    <d v="2025-12-27T00:00:00"/>
    <x v="2"/>
    <x v="2"/>
    <n v="35"/>
    <n v="37"/>
    <n v="0.1"/>
    <n v="1165.5"/>
    <n v="30.438356164383563"/>
    <n v="35"/>
  </r>
  <r>
    <s v="ORD-2803"/>
    <d v="2025-12-27T00:00:00"/>
    <x v="3"/>
    <x v="3"/>
    <n v="120"/>
    <n v="25"/>
    <n v="0"/>
    <n v="3000"/>
    <n v="30.473972602739725"/>
    <n v="120"/>
  </r>
  <r>
    <s v="ORD-2804"/>
    <d v="2025-12-27T00:00:00"/>
    <x v="4"/>
    <x v="4"/>
    <n v="25"/>
    <n v="13"/>
    <n v="0.1"/>
    <n v="292.5"/>
    <n v="29.463013698630139"/>
    <n v="25"/>
  </r>
  <r>
    <s v="ORD-2805"/>
    <d v="2025-12-28T00:00:00"/>
    <x v="0"/>
    <x v="0"/>
    <n v="45"/>
    <n v="67"/>
    <n v="0.1"/>
    <n v="2713.5"/>
    <n v="31.479452054794521"/>
    <n v="45"/>
  </r>
  <r>
    <s v="ORD-2806"/>
    <d v="2025-12-28T00:00:00"/>
    <x v="1"/>
    <x v="1"/>
    <n v="12.5"/>
    <n v="39"/>
    <n v="0.1"/>
    <n v="438.75"/>
    <n v="31.794520547945204"/>
    <n v="12.5"/>
  </r>
  <r>
    <s v="ORD-2807"/>
    <d v="2025-12-28T00:00:00"/>
    <x v="2"/>
    <x v="2"/>
    <n v="35"/>
    <n v="37"/>
    <n v="0.1"/>
    <n v="1165.5"/>
    <n v="30.438356164383563"/>
    <n v="35"/>
  </r>
  <r>
    <s v="ORD-2808"/>
    <d v="2025-12-28T00:00:00"/>
    <x v="3"/>
    <x v="3"/>
    <n v="120"/>
    <n v="70"/>
    <n v="0"/>
    <n v="8400"/>
    <n v="30.473972602739725"/>
    <n v="120"/>
  </r>
  <r>
    <s v="ORD-2809"/>
    <d v="2025-12-28T00:00:00"/>
    <x v="4"/>
    <x v="4"/>
    <n v="25"/>
    <n v="52"/>
    <n v="0"/>
    <n v="1300"/>
    <n v="29.463013698630139"/>
    <n v="25"/>
  </r>
  <r>
    <s v="ORD-2810"/>
    <d v="2025-12-29T00:00:00"/>
    <x v="0"/>
    <x v="0"/>
    <n v="45"/>
    <n v="44"/>
    <n v="0"/>
    <n v="1980"/>
    <n v="31.479452054794521"/>
    <n v="45"/>
  </r>
  <r>
    <s v="ORD-2811"/>
    <d v="2025-12-29T00:00:00"/>
    <x v="1"/>
    <x v="1"/>
    <n v="12.5"/>
    <n v="38"/>
    <n v="0.1"/>
    <n v="427.5"/>
    <n v="31.794520547945204"/>
    <n v="12.5"/>
  </r>
  <r>
    <s v="ORD-2812"/>
    <d v="2025-12-29T00:00:00"/>
    <x v="2"/>
    <x v="2"/>
    <n v="35"/>
    <n v="13"/>
    <n v="0"/>
    <n v="455"/>
    <n v="30.438356164383563"/>
    <n v="35"/>
  </r>
  <r>
    <s v="ORD-2813"/>
    <d v="2025-12-29T00:00:00"/>
    <x v="3"/>
    <x v="3"/>
    <n v="120"/>
    <n v="34"/>
    <n v="0"/>
    <n v="4080"/>
    <n v="30.473972602739725"/>
    <n v="120"/>
  </r>
  <r>
    <s v="ORD-2814"/>
    <d v="2025-12-29T00:00:00"/>
    <x v="4"/>
    <x v="4"/>
    <n v="25"/>
    <n v="47"/>
    <n v="0"/>
    <n v="1175"/>
    <n v="29.463013698630139"/>
    <n v="25"/>
  </r>
  <r>
    <s v="ORD-2815"/>
    <d v="2025-12-30T00:00:00"/>
    <x v="0"/>
    <x v="0"/>
    <n v="45"/>
    <n v="24"/>
    <n v="0"/>
    <n v="1080"/>
    <n v="31.479452054794521"/>
    <n v="45"/>
  </r>
  <r>
    <s v="ORD-2816"/>
    <d v="2025-12-30T00:00:00"/>
    <x v="1"/>
    <x v="1"/>
    <n v="12.5"/>
    <n v="19"/>
    <n v="0"/>
    <n v="237.5"/>
    <n v="31.794520547945204"/>
    <n v="12.5"/>
  </r>
  <r>
    <s v="ORD-2817"/>
    <d v="2025-12-30T00:00:00"/>
    <x v="2"/>
    <x v="2"/>
    <n v="35"/>
    <n v="10"/>
    <n v="0.1"/>
    <n v="315"/>
    <n v="30.438356164383563"/>
    <n v="35"/>
  </r>
  <r>
    <s v="ORD-2818"/>
    <d v="2025-12-30T00:00:00"/>
    <x v="3"/>
    <x v="3"/>
    <n v="120"/>
    <n v="14"/>
    <n v="0.1"/>
    <n v="1512"/>
    <n v="30.473972602739725"/>
    <n v="120"/>
  </r>
  <r>
    <s v="ORD-2819"/>
    <d v="2025-12-30T00:00:00"/>
    <x v="4"/>
    <x v="4"/>
    <n v="25"/>
    <n v="27"/>
    <n v="0.1"/>
    <n v="607.5"/>
    <n v="29.463013698630139"/>
    <n v="25"/>
  </r>
  <r>
    <s v="ORD-2820"/>
    <d v="2025-12-31T00:00:00"/>
    <x v="0"/>
    <x v="0"/>
    <n v="45"/>
    <n v="36"/>
    <n v="0.1"/>
    <n v="1458"/>
    <n v="31.479452054794521"/>
    <n v="45"/>
  </r>
  <r>
    <s v="ORD-2821"/>
    <d v="2025-12-31T00:00:00"/>
    <x v="1"/>
    <x v="1"/>
    <n v="12.5"/>
    <n v="16"/>
    <n v="0"/>
    <n v="200"/>
    <n v="31.794520547945204"/>
    <n v="12.5"/>
  </r>
  <r>
    <s v="ORD-2822"/>
    <d v="2025-12-31T00:00:00"/>
    <x v="2"/>
    <x v="2"/>
    <n v="35"/>
    <n v="41"/>
    <n v="0.1"/>
    <n v="1291.5"/>
    <n v="30.438356164383563"/>
    <n v="35"/>
  </r>
  <r>
    <s v="ORD-2823"/>
    <d v="2025-12-31T00:00:00"/>
    <x v="3"/>
    <x v="3"/>
    <n v="120"/>
    <n v="29"/>
    <n v="0"/>
    <n v="3480"/>
    <n v="30.473972602739725"/>
    <n v="120"/>
  </r>
  <r>
    <s v="ORD-2824"/>
    <d v="2025-12-31T00:00:00"/>
    <x v="4"/>
    <x v="4"/>
    <n v="25"/>
    <n v="25"/>
    <n v="0"/>
    <n v="625"/>
    <n v="29.463013698630139"/>
    <n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3D2901-F035-4DA0-881D-EDF4A7AAE30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9" firstHeaderRow="0" firstDataRow="1" firstDataCol="1"/>
  <pivotFields count="8"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dataField="1" numFmtId="164"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daily_holding_cost" fld="4" baseField="0" baseItem="0" numFmtId="164"/>
    <dataField name="Count of stock_on_hand" fld="2" subtotal="count" baseField="1" baseItem="0"/>
    <dataField name="Sum of Is_Stockout" fld="7" baseField="1" baseItem="0"/>
  </dataFields>
  <formats count="1">
    <format dxfId="10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B01BB-7FEC-4983-94DA-53CB6CCB8C21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3:C19" firstHeaderRow="0" firstDataRow="1" firstDataCol="1"/>
  <pivotFields count="10">
    <pivotField showAll="0"/>
    <pivotField numFmtId="14" showAll="0"/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6">
        <item x="2"/>
        <item x="0"/>
        <item x="3"/>
        <item x="1"/>
        <item x="4"/>
        <item t="default"/>
      </items>
    </pivotField>
    <pivotField dataField="1" showAll="0"/>
    <pivotField dataField="1"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units_sold" fld="5" subtotal="average" baseField="2" baseItem="0"/>
    <dataField name="Average of unit_price" fld="4" subtotal="average" baseField="2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7ABBF37E-A616-4618-A4A6-AE92DEFC12B2}" autoFormatId="16" applyNumberFormats="0" applyBorderFormats="0" applyFontFormats="0" applyPatternFormats="0" applyAlignmentFormats="0" applyWidthHeightFormats="0">
  <queryTableRefresh nextId="12" unboundColumnsRight="2">
    <queryTableFields count="10">
      <queryTableField id="1" name="order_id" tableColumnId="1"/>
      <queryTableField id="2" name="date" tableColumnId="2"/>
      <queryTableField id="3" name="product_id" tableColumnId="3"/>
      <queryTableField id="4" name="category" tableColumnId="4"/>
      <queryTableField id="5" name="unit_price" tableColumnId="5"/>
      <queryTableField id="6" name="units_sold" tableColumnId="6"/>
      <queryTableField id="7" name="discount_applied" tableColumnId="7"/>
      <queryTableField id="8" name="revenue_generated" tableColumnId="8"/>
      <queryTableField id="9" dataBound="0" tableColumnId="9"/>
      <queryTableField id="10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577C6068-1F3E-49FC-BC15-4AD00DB2CA76}" autoFormatId="16" applyNumberFormats="0" applyBorderFormats="0" applyFontFormats="0" applyPatternFormats="0" applyAlignmentFormats="0" applyWidthHeightFormats="0">
  <queryTableRefresh nextId="11" unboundColumnsRight="2">
    <queryTableFields count="9">
      <queryTableField id="1" name="date" tableColumnId="1"/>
      <queryTableField id="2" name="product_id" tableColumnId="2"/>
      <queryTableField id="3" name="stock_on_hand" tableColumnId="3"/>
      <queryTableField id="4" name="holding_cost_per_unit" tableColumnId="4"/>
      <queryTableField id="5" name="total_daily_holding_cost" tableColumnId="5"/>
      <queryTableField id="6" name="supplier_lead_time_days" tableColumnId="6"/>
      <queryTableField id="7" name="restock_arrived" tableColumnId="7"/>
      <queryTableField id="9" dataBound="0" tableColumnId="9"/>
      <queryTableField id="10" dataBound="0" tableColumnId="10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09B753-FF63-435C-B02C-3065A81D07B3}" name="Table5" displayName="Table5" ref="A1:B2" totalsRowShown="0">
  <autoFilter ref="A1:B2" xr:uid="{6709B753-FF63-435C-B02C-3065A81D07B3}"/>
  <tableColumns count="2">
    <tableColumn id="1" xr3:uid="{BCFE1EFB-97CA-4815-9642-7DAB0EFAFF90}" name="Stockout penalty factor/ Lost Sale Multiplier" dataDxfId="23"/>
    <tableColumn id="2" xr3:uid="{03573051-540D-4D12-939B-CE4BBF2E4A34}" name="Table AI improvement %" dataDxfId="22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6297444-033A-463F-90E8-7F7058F039E7}" name="Table7" displayName="Table7" ref="A6:F11" totalsRowShown="0">
  <autoFilter ref="A6:F11" xr:uid="{C6297444-033A-463F-90E8-7F7058F039E7}"/>
  <tableColumns count="6">
    <tableColumn id="1" xr3:uid="{0B320045-48AD-42B2-A3FB-7424E7B60865}" name="Product ID" dataDxfId="21"/>
    <tableColumn id="2" xr3:uid="{AA207CB5-D1CF-4FCB-8C79-BA33F36137CB}" name="Current Annual Holding cost" dataDxfId="20"/>
    <tableColumn id="3" xr3:uid="{0C8DCDD9-4146-4697-AC41-40B70A2F4A70}" name="Total Stockout Days" dataDxfId="19"/>
    <tableColumn id="4" xr3:uid="{C014F8EB-A92A-43F8-BC03-8E4AAFF8EE67}" name="Est. Lost Revenue" dataDxfId="18">
      <calculatedColumnFormula>C7*H2*I2*$A$2</calculatedColumnFormula>
    </tableColumn>
    <tableColumn id="5" xr3:uid="{A8F4CBB7-A24B-49FD-9233-F9BFB4BAA0A1}" name="Target Holding Cost ">
      <calculatedColumnFormula>B7*(1-$B$2)</calculatedColumnFormula>
    </tableColumn>
    <tableColumn id="6" xr3:uid="{96A2A89C-C9A3-411C-AB2A-5947047530E5}" name="Projected Savings">
      <calculatedColumnFormula>B7-E7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794D242-10BA-48BD-B10B-9126C6FF00A2}" name="Table12" displayName="Table12" ref="H1:I6" totalsRowShown="0" headerRowDxfId="17" dataDxfId="15" headerRowBorderDxfId="16" tableBorderDxfId="14" totalsRowBorderDxfId="13">
  <autoFilter ref="H1:I6" xr:uid="{4794D242-10BA-48BD-B10B-9126C6FF00A2}"/>
  <tableColumns count="2">
    <tableColumn id="1" xr3:uid="{0F666234-7C1E-4A13-A6CD-2F974C9B6EF4}" name="average of daily sales" dataDxfId="12"/>
    <tableColumn id="2" xr3:uid="{672DB07D-C8C0-40EA-B13E-5CAB63C86EFA}" name="unit price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B5DEA96-C8CC-4433-99B9-846711361A8D}" name="sales_Data" displayName="sales_Data" ref="A1:J1826" tableType="queryTable" totalsRowShown="0">
  <autoFilter ref="A1:J1826" xr:uid="{5B5DEA96-C8CC-4433-99B9-846711361A8D}"/>
  <tableColumns count="10">
    <tableColumn id="1" xr3:uid="{E5EBB992-B977-498E-9B04-D48A5705D3D1}" uniqueName="1" name="order_id" queryTableFieldId="1" dataDxfId="9"/>
    <tableColumn id="2" xr3:uid="{DC6645FE-DB8B-4582-8721-BB6310677C18}" uniqueName="2" name="date" queryTableFieldId="2" dataDxfId="8"/>
    <tableColumn id="3" xr3:uid="{3A4784E4-2B66-4C15-9EFF-38A99902723E}" uniqueName="3" name="product_id" queryTableFieldId="3" dataDxfId="7"/>
    <tableColumn id="4" xr3:uid="{1AA422A2-1300-47CA-8832-8E45FF69796C}" uniqueName="4" name="category" queryTableFieldId="4" dataDxfId="6"/>
    <tableColumn id="5" xr3:uid="{D8B65088-0972-44EE-A5EB-9C8959E9612B}" uniqueName="5" name="unit_price" queryTableFieldId="5"/>
    <tableColumn id="6" xr3:uid="{E4F8D8D3-E14F-41A7-BDE8-C9E9D2F72A93}" uniqueName="6" name="units_sold" queryTableFieldId="6"/>
    <tableColumn id="7" xr3:uid="{F277668E-172E-47B9-ADC8-DF5D66F7AFDD}" uniqueName="7" name="discount_applied" queryTableFieldId="7"/>
    <tableColumn id="8" xr3:uid="{4A1E6E26-8C63-4C89-B1BF-042E96A5C8B9}" uniqueName="8" name="revenue_generated" queryTableFieldId="8"/>
    <tableColumn id="9" xr3:uid="{52D0AF92-ED28-4612-8115-18D49904A268}" uniqueName="9" name="average of daily sales" queryTableFieldId="9" dataDxfId="5">
      <calculatedColumnFormula>AVERAGEIFS(sales_Data[units_sold], sales_Data[product_id],sales_Data[[#This Row],[product_id]])</calculatedColumnFormula>
    </tableColumn>
    <tableColumn id="10" xr3:uid="{27884FDA-5D1E-451C-AFB9-CB8CB7EAE83C}" uniqueName="10" name="Avg, Unit price" queryTableFieldId="10" dataDxfId="4">
      <calculatedColumnFormula>_xlfn.XLOOKUP(sales_Data[[#This Row],[product_id]],sales_Data[product_id],sales_Data[unit_price])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5A15E7C-4A5E-430D-A7DC-B2710CF041DA}" name="inventory__Data" displayName="inventory__Data" ref="A1:I1826" tableType="queryTable" totalsRowShown="0">
  <autoFilter ref="A1:I1826" xr:uid="{95A15E7C-4A5E-430D-A7DC-B2710CF041DA}"/>
  <tableColumns count="9">
    <tableColumn id="1" xr3:uid="{D68C324F-335E-436D-8E9E-9B4D6ADA173B}" uniqueName="1" name="date" queryTableFieldId="1" dataDxfId="3"/>
    <tableColumn id="2" xr3:uid="{DE22E8CD-A6D6-4BA9-BBA3-F2D18D266A5E}" uniqueName="2" name="product_id" queryTableFieldId="2" dataDxfId="2"/>
    <tableColumn id="3" xr3:uid="{4E151459-52EE-4198-9F9A-7D79A16443C6}" uniqueName="3" name="stock_on_hand" queryTableFieldId="3"/>
    <tableColumn id="4" xr3:uid="{2DC8576C-B941-4EC7-864A-E223D54B3151}" uniqueName="4" name="holding_cost_per_unit" queryTableFieldId="4"/>
    <tableColumn id="5" xr3:uid="{8650D5B9-84FF-40AA-AE66-55F23311E6EC}" uniqueName="5" name="total_daily_holding_cost" queryTableFieldId="5"/>
    <tableColumn id="6" xr3:uid="{B7F7CF31-338E-486E-91E6-684D97AD84DF}" uniqueName="6" name="supplier_lead_time_days" queryTableFieldId="6"/>
    <tableColumn id="7" xr3:uid="{998FCE31-6854-4C4D-B480-11923DB6EE21}" uniqueName="7" name="restock_arrived" queryTableFieldId="7"/>
    <tableColumn id="9" xr3:uid="{14812453-0378-4CA8-9E01-37C55802C160}" uniqueName="9" name="Is_Stockout" queryTableFieldId="9" dataDxfId="1">
      <calculatedColumnFormula>IF(inventory__Data[[#This Row],[stock_on_hand]]&lt;=0,1,0)</calculatedColumnFormula>
    </tableColumn>
    <tableColumn id="10" xr3:uid="{59DD40D8-FE51-4959-BC7B-7BA867B9FB3F}" uniqueName="10" name="Stockout days" queryTableFieldId="10" dataDxfId="0">
      <calculatedColumnFormula>COUNTIFS(inventory__Data[product_id],inventory__Data[[#This Row],[product_id]],inventory__Data[stock_on_hand],"&lt;=0")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43B7-814E-48C0-B86C-1DA2A300C5CF}">
  <dimension ref="A3:D19"/>
  <sheetViews>
    <sheetView showGridLines="0" workbookViewId="0">
      <selection activeCell="M25" sqref="M25"/>
    </sheetView>
  </sheetViews>
  <sheetFormatPr defaultRowHeight="14.4" x14ac:dyDescent="0.3"/>
  <cols>
    <col min="1" max="1" width="12.44140625" bestFit="1" customWidth="1"/>
    <col min="2" max="2" width="18.44140625" bestFit="1" customWidth="1"/>
    <col min="3" max="3" width="18.33203125" bestFit="1" customWidth="1"/>
    <col min="4" max="4" width="16.77734375" bestFit="1" customWidth="1"/>
  </cols>
  <sheetData>
    <row r="3" spans="1:4" x14ac:dyDescent="0.3">
      <c r="A3" s="2" t="s">
        <v>1848</v>
      </c>
      <c r="B3" t="s">
        <v>1850</v>
      </c>
      <c r="C3" t="s">
        <v>1851</v>
      </c>
      <c r="D3" t="s">
        <v>1853</v>
      </c>
    </row>
    <row r="4" spans="1:4" x14ac:dyDescent="0.3">
      <c r="A4" s="3" t="s">
        <v>9</v>
      </c>
      <c r="B4">
        <v>186.95000000000002</v>
      </c>
      <c r="C4">
        <v>365</v>
      </c>
      <c r="D4">
        <v>26</v>
      </c>
    </row>
    <row r="5" spans="1:4" x14ac:dyDescent="0.3">
      <c r="A5" s="3" t="s">
        <v>12</v>
      </c>
      <c r="B5">
        <v>65.5</v>
      </c>
      <c r="C5">
        <v>365</v>
      </c>
      <c r="D5">
        <v>11</v>
      </c>
    </row>
    <row r="6" spans="1:4" x14ac:dyDescent="0.3">
      <c r="A6" s="3" t="s">
        <v>15</v>
      </c>
      <c r="B6">
        <v>164.76</v>
      </c>
      <c r="C6">
        <v>365</v>
      </c>
      <c r="D6">
        <v>12</v>
      </c>
    </row>
    <row r="7" spans="1:4" x14ac:dyDescent="0.3">
      <c r="A7" s="3" t="s">
        <v>18</v>
      </c>
      <c r="B7">
        <v>551.55000000000007</v>
      </c>
      <c r="C7">
        <v>365</v>
      </c>
      <c r="D7">
        <v>15</v>
      </c>
    </row>
    <row r="8" spans="1:4" x14ac:dyDescent="0.3">
      <c r="A8" s="3" t="s">
        <v>21</v>
      </c>
      <c r="B8">
        <v>119.97000000000003</v>
      </c>
      <c r="C8">
        <v>365</v>
      </c>
      <c r="D8">
        <v>11</v>
      </c>
    </row>
    <row r="9" spans="1:4" x14ac:dyDescent="0.3">
      <c r="A9" s="3" t="s">
        <v>1849</v>
      </c>
      <c r="B9" s="4">
        <v>1088.7299999999998</v>
      </c>
      <c r="C9">
        <v>1825</v>
      </c>
      <c r="D9">
        <v>75</v>
      </c>
    </row>
    <row r="13" spans="1:4" x14ac:dyDescent="0.3">
      <c r="A13" s="2" t="s">
        <v>1848</v>
      </c>
      <c r="B13" t="s">
        <v>1866</v>
      </c>
      <c r="C13" t="s">
        <v>1867</v>
      </c>
    </row>
    <row r="14" spans="1:4" x14ac:dyDescent="0.3">
      <c r="A14" s="3" t="s">
        <v>16</v>
      </c>
      <c r="B14">
        <v>30.438356164383563</v>
      </c>
      <c r="C14">
        <v>35</v>
      </c>
    </row>
    <row r="15" spans="1:4" x14ac:dyDescent="0.3">
      <c r="A15" s="3" t="s">
        <v>10</v>
      </c>
      <c r="B15">
        <v>31.479452054794521</v>
      </c>
      <c r="C15">
        <v>45</v>
      </c>
    </row>
    <row r="16" spans="1:4" x14ac:dyDescent="0.3">
      <c r="A16" s="3" t="s">
        <v>19</v>
      </c>
      <c r="B16">
        <v>30.473972602739725</v>
      </c>
      <c r="C16">
        <v>120</v>
      </c>
    </row>
    <row r="17" spans="1:3" x14ac:dyDescent="0.3">
      <c r="A17" s="3" t="s">
        <v>13</v>
      </c>
      <c r="B17">
        <v>31.794520547945204</v>
      </c>
      <c r="C17">
        <v>12.5</v>
      </c>
    </row>
    <row r="18" spans="1:3" x14ac:dyDescent="0.3">
      <c r="A18" s="3" t="s">
        <v>22</v>
      </c>
      <c r="B18">
        <v>29.463013698630139</v>
      </c>
      <c r="C18">
        <v>25</v>
      </c>
    </row>
    <row r="19" spans="1:3" x14ac:dyDescent="0.3">
      <c r="A19" s="3" t="s">
        <v>1849</v>
      </c>
      <c r="B19">
        <v>30.72986301369863</v>
      </c>
      <c r="C19">
        <v>47.5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3B4E-A960-45D8-BD8E-2517103A0A61}">
  <dimension ref="A1:I11"/>
  <sheetViews>
    <sheetView showGridLines="0" workbookViewId="0">
      <selection activeCell="E18" sqref="E18"/>
    </sheetView>
  </sheetViews>
  <sheetFormatPr defaultRowHeight="14.4" x14ac:dyDescent="0.3"/>
  <cols>
    <col min="1" max="1" width="25" customWidth="1"/>
    <col min="2" max="2" width="25.77734375" customWidth="1"/>
    <col min="3" max="3" width="19.109375" customWidth="1"/>
    <col min="4" max="4" width="20.33203125" customWidth="1"/>
    <col min="5" max="5" width="19.21875" customWidth="1"/>
    <col min="6" max="6" width="17.6640625" customWidth="1"/>
    <col min="8" max="8" width="20.33203125" customWidth="1"/>
    <col min="9" max="9" width="10.77734375" customWidth="1"/>
  </cols>
  <sheetData>
    <row r="1" spans="1:9" ht="28.8" x14ac:dyDescent="0.3">
      <c r="A1" s="8" t="s">
        <v>1859</v>
      </c>
      <c r="B1" t="s">
        <v>1854</v>
      </c>
      <c r="H1" s="13" t="s">
        <v>1862</v>
      </c>
      <c r="I1" s="14" t="s">
        <v>1863</v>
      </c>
    </row>
    <row r="2" spans="1:9" x14ac:dyDescent="0.3">
      <c r="A2" s="7" t="s">
        <v>1864</v>
      </c>
      <c r="B2" s="10">
        <v>0.15</v>
      </c>
      <c r="H2" s="11">
        <f>AVERAGEIFS(sales_Data[units_sold], sales_Data[product_id],sales_Data[[#This Row],[product_id]])</f>
        <v>31.479452054794521</v>
      </c>
      <c r="I2" s="5">
        <f>_xlfn.XLOOKUP(sales_Data[[#This Row],[product_id]],sales_Data[product_id],sales_Data[unit_price])</f>
        <v>45</v>
      </c>
    </row>
    <row r="3" spans="1:9" x14ac:dyDescent="0.3">
      <c r="B3" s="10"/>
      <c r="H3" s="12">
        <f>AVERAGEIFS(sales_Data[units_sold], sales_Data[product_id],sales_Data[[#This Row],[product_id]])</f>
        <v>31.794520547945204</v>
      </c>
      <c r="I3" s="6">
        <f>_xlfn.XLOOKUP(sales_Data[[#This Row],[product_id]],sales_Data[product_id],sales_Data[unit_price])</f>
        <v>12.5</v>
      </c>
    </row>
    <row r="4" spans="1:9" x14ac:dyDescent="0.3">
      <c r="H4" s="5">
        <v>30.438356164383563</v>
      </c>
      <c r="I4" s="5">
        <v>35</v>
      </c>
    </row>
    <row r="5" spans="1:9" x14ac:dyDescent="0.3">
      <c r="H5" s="6">
        <v>30.473972602739725</v>
      </c>
      <c r="I5" s="6">
        <v>120</v>
      </c>
    </row>
    <row r="6" spans="1:9" x14ac:dyDescent="0.3">
      <c r="A6" s="9" t="s">
        <v>1855</v>
      </c>
      <c r="B6" t="s">
        <v>1856</v>
      </c>
      <c r="C6" t="s">
        <v>1857</v>
      </c>
      <c r="D6" t="s">
        <v>1858</v>
      </c>
      <c r="E6" t="s">
        <v>1860</v>
      </c>
      <c r="F6" t="s">
        <v>1861</v>
      </c>
      <c r="H6" s="15">
        <v>29.463013698630139</v>
      </c>
      <c r="I6" s="16">
        <v>25</v>
      </c>
    </row>
    <row r="7" spans="1:9" x14ac:dyDescent="0.3">
      <c r="A7" s="9" t="s">
        <v>9</v>
      </c>
      <c r="B7" s="4">
        <v>186.95000000000002</v>
      </c>
      <c r="C7">
        <v>26</v>
      </c>
      <c r="D7">
        <f>C7*H2*I2*$A$2</f>
        <v>55246.438356164384</v>
      </c>
      <c r="E7">
        <f>B7*(1-$B$2)</f>
        <v>158.9075</v>
      </c>
      <c r="F7">
        <f>B7-E7</f>
        <v>28.042500000000018</v>
      </c>
    </row>
    <row r="8" spans="1:9" x14ac:dyDescent="0.3">
      <c r="A8" s="9" t="s">
        <v>12</v>
      </c>
      <c r="B8" s="4">
        <v>65.5</v>
      </c>
      <c r="C8">
        <v>11</v>
      </c>
      <c r="D8">
        <f>C8*H3*I3*$A$2</f>
        <v>6557.6198630136987</v>
      </c>
      <c r="E8">
        <f>B8*(1-$B$2)</f>
        <v>55.674999999999997</v>
      </c>
      <c r="F8">
        <f>B8-E8</f>
        <v>9.8250000000000028</v>
      </c>
    </row>
    <row r="9" spans="1:9" x14ac:dyDescent="0.3">
      <c r="A9" s="9" t="s">
        <v>15</v>
      </c>
      <c r="B9" s="4">
        <v>164.76</v>
      </c>
      <c r="C9">
        <v>12</v>
      </c>
      <c r="D9">
        <f>C9*H4*I4*$A$2</f>
        <v>19176.164383561645</v>
      </c>
      <c r="E9">
        <f t="shared" ref="E9:E11" si="0">B9*(1-$B$2)</f>
        <v>140.04599999999999</v>
      </c>
      <c r="F9">
        <f t="shared" ref="F9:F11" si="1">B9-E9</f>
        <v>24.713999999999999</v>
      </c>
    </row>
    <row r="10" spans="1:9" x14ac:dyDescent="0.3">
      <c r="A10" s="9" t="s">
        <v>18</v>
      </c>
      <c r="B10" s="4">
        <v>551.55000000000007</v>
      </c>
      <c r="C10">
        <v>15</v>
      </c>
      <c r="D10">
        <f>C10*H5*I5*$A$2</f>
        <v>82279.726027397264</v>
      </c>
      <c r="E10">
        <f t="shared" si="0"/>
        <v>468.81750000000005</v>
      </c>
      <c r="F10">
        <f t="shared" si="1"/>
        <v>82.732500000000016</v>
      </c>
    </row>
    <row r="11" spans="1:9" x14ac:dyDescent="0.3">
      <c r="A11" s="9" t="s">
        <v>21</v>
      </c>
      <c r="B11" s="4">
        <v>119.97000000000003</v>
      </c>
      <c r="C11">
        <v>11</v>
      </c>
      <c r="D11">
        <f>C11*H6*I6*$A$2</f>
        <v>12153.493150684932</v>
      </c>
      <c r="E11">
        <f t="shared" si="0"/>
        <v>101.97450000000002</v>
      </c>
      <c r="F11">
        <f t="shared" si="1"/>
        <v>17.995500000000007</v>
      </c>
    </row>
  </sheetData>
  <phoneticPr fontId="3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8BD1-8D67-4607-893E-4A64DB1A117D}">
  <dimension ref="A1:J1826"/>
  <sheetViews>
    <sheetView workbookViewId="0">
      <selection activeCell="L19" sqref="L19"/>
    </sheetView>
  </sheetViews>
  <sheetFormatPr defaultRowHeight="14.4" x14ac:dyDescent="0.3"/>
  <cols>
    <col min="1" max="1" width="10.109375" bestFit="1" customWidth="1"/>
    <col min="2" max="2" width="10.33203125" bestFit="1" customWidth="1"/>
    <col min="3" max="3" width="12.21875" bestFit="1" customWidth="1"/>
    <col min="4" max="4" width="11.44140625" bestFit="1" customWidth="1"/>
    <col min="5" max="5" width="11.5546875" bestFit="1" customWidth="1"/>
    <col min="6" max="6" width="11.6640625" bestFit="1" customWidth="1"/>
    <col min="7" max="7" width="17.77734375" bestFit="1" customWidth="1"/>
    <col min="8" max="8" width="19" bestFit="1" customWidth="1"/>
    <col min="9" max="9" width="20.88671875" bestFit="1" customWidth="1"/>
    <col min="10" max="10" width="15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1862</v>
      </c>
      <c r="J1" t="s">
        <v>1865</v>
      </c>
    </row>
    <row r="2" spans="1:10" x14ac:dyDescent="0.3">
      <c r="A2" t="s">
        <v>8</v>
      </c>
      <c r="B2" s="1">
        <v>45658</v>
      </c>
      <c r="C2" t="s">
        <v>9</v>
      </c>
      <c r="D2" t="s">
        <v>10</v>
      </c>
      <c r="E2">
        <v>45</v>
      </c>
      <c r="F2">
        <v>20</v>
      </c>
      <c r="G2">
        <v>0</v>
      </c>
      <c r="H2">
        <v>900</v>
      </c>
      <c r="I2">
        <f>AVERAGEIFS(sales_Data[units_sold], sales_Data[product_id],sales_Data[[#This Row],[product_id]])</f>
        <v>31.479452054794521</v>
      </c>
      <c r="J2">
        <f>_xlfn.XLOOKUP(sales_Data[[#This Row],[product_id]],sales_Data[product_id],sales_Data[unit_price])</f>
        <v>45</v>
      </c>
    </row>
    <row r="3" spans="1:10" x14ac:dyDescent="0.3">
      <c r="A3" t="s">
        <v>11</v>
      </c>
      <c r="B3" s="1">
        <v>45658</v>
      </c>
      <c r="C3" t="s">
        <v>12</v>
      </c>
      <c r="D3" t="s">
        <v>13</v>
      </c>
      <c r="E3">
        <v>12.5</v>
      </c>
      <c r="F3">
        <v>40</v>
      </c>
      <c r="G3">
        <v>0</v>
      </c>
      <c r="H3">
        <v>500</v>
      </c>
      <c r="I3">
        <f>AVERAGEIFS(sales_Data[units_sold], sales_Data[product_id],sales_Data[[#This Row],[product_id]])</f>
        <v>31.794520547945204</v>
      </c>
      <c r="J3">
        <f>_xlfn.XLOOKUP(sales_Data[[#This Row],[product_id]],sales_Data[product_id],sales_Data[unit_price])</f>
        <v>12.5</v>
      </c>
    </row>
    <row r="4" spans="1:10" x14ac:dyDescent="0.3">
      <c r="A4" t="s">
        <v>14</v>
      </c>
      <c r="B4" s="1">
        <v>45658</v>
      </c>
      <c r="C4" t="s">
        <v>15</v>
      </c>
      <c r="D4" t="s">
        <v>16</v>
      </c>
      <c r="E4">
        <v>35</v>
      </c>
      <c r="F4">
        <v>5</v>
      </c>
      <c r="G4">
        <v>0</v>
      </c>
      <c r="H4">
        <v>175</v>
      </c>
      <c r="I4">
        <f>AVERAGEIFS(sales_Data[units_sold], sales_Data[product_id],sales_Data[[#This Row],[product_id]])</f>
        <v>30.438356164383563</v>
      </c>
      <c r="J4">
        <f>_xlfn.XLOOKUP(sales_Data[[#This Row],[product_id]],sales_Data[product_id],sales_Data[unit_price])</f>
        <v>35</v>
      </c>
    </row>
    <row r="5" spans="1:10" x14ac:dyDescent="0.3">
      <c r="A5" t="s">
        <v>17</v>
      </c>
      <c r="B5" s="1">
        <v>45658</v>
      </c>
      <c r="C5" t="s">
        <v>18</v>
      </c>
      <c r="D5" t="s">
        <v>19</v>
      </c>
      <c r="E5">
        <v>120</v>
      </c>
      <c r="F5">
        <v>42</v>
      </c>
      <c r="G5">
        <v>0</v>
      </c>
      <c r="H5">
        <v>5040</v>
      </c>
      <c r="I5">
        <f>AVERAGEIFS(sales_Data[units_sold], sales_Data[product_id],sales_Data[[#This Row],[product_id]])</f>
        <v>30.473972602739725</v>
      </c>
      <c r="J5">
        <f>_xlfn.XLOOKUP(sales_Data[[#This Row],[product_id]],sales_Data[product_id],sales_Data[unit_price])</f>
        <v>120</v>
      </c>
    </row>
    <row r="6" spans="1:10" x14ac:dyDescent="0.3">
      <c r="A6" t="s">
        <v>20</v>
      </c>
      <c r="B6" s="1">
        <v>45658</v>
      </c>
      <c r="C6" t="s">
        <v>21</v>
      </c>
      <c r="D6" t="s">
        <v>22</v>
      </c>
      <c r="E6">
        <v>25</v>
      </c>
      <c r="F6">
        <v>37</v>
      </c>
      <c r="G6">
        <v>0</v>
      </c>
      <c r="H6">
        <v>925</v>
      </c>
      <c r="I6">
        <f>AVERAGEIFS(sales_Data[units_sold], sales_Data[product_id],sales_Data[[#This Row],[product_id]])</f>
        <v>29.463013698630139</v>
      </c>
      <c r="J6">
        <f>_xlfn.XLOOKUP(sales_Data[[#This Row],[product_id]],sales_Data[product_id],sales_Data[unit_price])</f>
        <v>25</v>
      </c>
    </row>
    <row r="7" spans="1:10" x14ac:dyDescent="0.3">
      <c r="A7" t="s">
        <v>23</v>
      </c>
      <c r="B7" s="1">
        <v>45659</v>
      </c>
      <c r="C7" t="s">
        <v>9</v>
      </c>
      <c r="D7" t="s">
        <v>10</v>
      </c>
      <c r="E7">
        <v>45</v>
      </c>
      <c r="F7">
        <v>13</v>
      </c>
      <c r="G7">
        <v>0</v>
      </c>
      <c r="H7">
        <v>585</v>
      </c>
      <c r="I7">
        <f>AVERAGEIFS(sales_Data[units_sold], sales_Data[product_id],sales_Data[[#This Row],[product_id]])</f>
        <v>31.479452054794521</v>
      </c>
      <c r="J7">
        <f>_xlfn.XLOOKUP(sales_Data[[#This Row],[product_id]],sales_Data[product_id],sales_Data[unit_price])</f>
        <v>45</v>
      </c>
    </row>
    <row r="8" spans="1:10" x14ac:dyDescent="0.3">
      <c r="A8" t="s">
        <v>24</v>
      </c>
      <c r="B8" s="1">
        <v>45659</v>
      </c>
      <c r="C8" t="s">
        <v>12</v>
      </c>
      <c r="D8" t="s">
        <v>13</v>
      </c>
      <c r="E8">
        <v>12.5</v>
      </c>
      <c r="F8">
        <v>41</v>
      </c>
      <c r="G8">
        <v>0</v>
      </c>
      <c r="H8">
        <v>512.5</v>
      </c>
      <c r="I8">
        <f>AVERAGEIFS(sales_Data[units_sold], sales_Data[product_id],sales_Data[[#This Row],[product_id]])</f>
        <v>31.794520547945204</v>
      </c>
      <c r="J8">
        <f>_xlfn.XLOOKUP(sales_Data[[#This Row],[product_id]],sales_Data[product_id],sales_Data[unit_price])</f>
        <v>12.5</v>
      </c>
    </row>
    <row r="9" spans="1:10" x14ac:dyDescent="0.3">
      <c r="A9" t="s">
        <v>25</v>
      </c>
      <c r="B9" s="1">
        <v>45659</v>
      </c>
      <c r="C9" t="s">
        <v>15</v>
      </c>
      <c r="D9" t="s">
        <v>16</v>
      </c>
      <c r="E9">
        <v>35</v>
      </c>
      <c r="F9">
        <v>28</v>
      </c>
      <c r="G9">
        <v>0</v>
      </c>
      <c r="H9">
        <v>980</v>
      </c>
      <c r="I9">
        <f>AVERAGEIFS(sales_Data[units_sold], sales_Data[product_id],sales_Data[[#This Row],[product_id]])</f>
        <v>30.438356164383563</v>
      </c>
      <c r="J9">
        <f>_xlfn.XLOOKUP(sales_Data[[#This Row],[product_id]],sales_Data[product_id],sales_Data[unit_price])</f>
        <v>35</v>
      </c>
    </row>
    <row r="10" spans="1:10" x14ac:dyDescent="0.3">
      <c r="A10" t="s">
        <v>26</v>
      </c>
      <c r="B10" s="1">
        <v>45659</v>
      </c>
      <c r="C10" t="s">
        <v>18</v>
      </c>
      <c r="D10" t="s">
        <v>19</v>
      </c>
      <c r="E10">
        <v>120</v>
      </c>
      <c r="F10">
        <v>21</v>
      </c>
      <c r="G10">
        <v>0.2</v>
      </c>
      <c r="H10">
        <v>2016</v>
      </c>
      <c r="I10">
        <f>AVERAGEIFS(sales_Data[units_sold], sales_Data[product_id],sales_Data[[#This Row],[product_id]])</f>
        <v>30.473972602739725</v>
      </c>
      <c r="J10">
        <f>_xlfn.XLOOKUP(sales_Data[[#This Row],[product_id]],sales_Data[product_id],sales_Data[unit_price])</f>
        <v>120</v>
      </c>
    </row>
    <row r="11" spans="1:10" x14ac:dyDescent="0.3">
      <c r="A11" t="s">
        <v>27</v>
      </c>
      <c r="B11" s="1">
        <v>45659</v>
      </c>
      <c r="C11" t="s">
        <v>21</v>
      </c>
      <c r="D11" t="s">
        <v>22</v>
      </c>
      <c r="E11">
        <v>25</v>
      </c>
      <c r="F11">
        <v>40</v>
      </c>
      <c r="G11">
        <v>0.1</v>
      </c>
      <c r="H11">
        <v>900</v>
      </c>
      <c r="I11">
        <f>AVERAGEIFS(sales_Data[units_sold], sales_Data[product_id],sales_Data[[#This Row],[product_id]])</f>
        <v>29.463013698630139</v>
      </c>
      <c r="J11">
        <f>_xlfn.XLOOKUP(sales_Data[[#This Row],[product_id]],sales_Data[product_id],sales_Data[unit_price])</f>
        <v>25</v>
      </c>
    </row>
    <row r="12" spans="1:10" x14ac:dyDescent="0.3">
      <c r="A12" t="s">
        <v>28</v>
      </c>
      <c r="B12" s="1">
        <v>45660</v>
      </c>
      <c r="C12" t="s">
        <v>9</v>
      </c>
      <c r="D12" t="s">
        <v>10</v>
      </c>
      <c r="E12">
        <v>45</v>
      </c>
      <c r="F12">
        <v>23</v>
      </c>
      <c r="G12">
        <v>0.1</v>
      </c>
      <c r="H12">
        <v>931.5</v>
      </c>
      <c r="I12">
        <f>AVERAGEIFS(sales_Data[units_sold], sales_Data[product_id],sales_Data[[#This Row],[product_id]])</f>
        <v>31.479452054794521</v>
      </c>
      <c r="J12">
        <f>_xlfn.XLOOKUP(sales_Data[[#This Row],[product_id]],sales_Data[product_id],sales_Data[unit_price])</f>
        <v>45</v>
      </c>
    </row>
    <row r="13" spans="1:10" x14ac:dyDescent="0.3">
      <c r="A13" t="s">
        <v>29</v>
      </c>
      <c r="B13" s="1">
        <v>45660</v>
      </c>
      <c r="C13" t="s">
        <v>12</v>
      </c>
      <c r="D13" t="s">
        <v>13</v>
      </c>
      <c r="E13">
        <v>12.5</v>
      </c>
      <c r="F13">
        <v>23</v>
      </c>
      <c r="G13">
        <v>0.1</v>
      </c>
      <c r="H13">
        <v>258.75</v>
      </c>
      <c r="I13">
        <f>AVERAGEIFS(sales_Data[units_sold], sales_Data[product_id],sales_Data[[#This Row],[product_id]])</f>
        <v>31.794520547945204</v>
      </c>
      <c r="J13">
        <f>_xlfn.XLOOKUP(sales_Data[[#This Row],[product_id]],sales_Data[product_id],sales_Data[unit_price])</f>
        <v>12.5</v>
      </c>
    </row>
    <row r="14" spans="1:10" x14ac:dyDescent="0.3">
      <c r="A14" t="s">
        <v>30</v>
      </c>
      <c r="B14" s="1">
        <v>45660</v>
      </c>
      <c r="C14" t="s">
        <v>15</v>
      </c>
      <c r="D14" t="s">
        <v>16</v>
      </c>
      <c r="E14">
        <v>35</v>
      </c>
      <c r="F14">
        <v>22</v>
      </c>
      <c r="G14">
        <v>0.2</v>
      </c>
      <c r="H14">
        <v>616</v>
      </c>
      <c r="I14">
        <f>AVERAGEIFS(sales_Data[units_sold], sales_Data[product_id],sales_Data[[#This Row],[product_id]])</f>
        <v>30.438356164383563</v>
      </c>
      <c r="J14">
        <f>_xlfn.XLOOKUP(sales_Data[[#This Row],[product_id]],sales_Data[product_id],sales_Data[unit_price])</f>
        <v>35</v>
      </c>
    </row>
    <row r="15" spans="1:10" x14ac:dyDescent="0.3">
      <c r="A15" t="s">
        <v>31</v>
      </c>
      <c r="B15" s="1">
        <v>45660</v>
      </c>
      <c r="C15" t="s">
        <v>18</v>
      </c>
      <c r="D15" t="s">
        <v>19</v>
      </c>
      <c r="E15">
        <v>120</v>
      </c>
      <c r="F15">
        <v>27</v>
      </c>
      <c r="G15">
        <v>0</v>
      </c>
      <c r="H15">
        <v>3240</v>
      </c>
      <c r="I15">
        <f>AVERAGEIFS(sales_Data[units_sold], sales_Data[product_id],sales_Data[[#This Row],[product_id]])</f>
        <v>30.473972602739725</v>
      </c>
      <c r="J15">
        <f>_xlfn.XLOOKUP(sales_Data[[#This Row],[product_id]],sales_Data[product_id],sales_Data[unit_price])</f>
        <v>120</v>
      </c>
    </row>
    <row r="16" spans="1:10" x14ac:dyDescent="0.3">
      <c r="A16" t="s">
        <v>32</v>
      </c>
      <c r="B16" s="1">
        <v>45660</v>
      </c>
      <c r="C16" t="s">
        <v>21</v>
      </c>
      <c r="D16" t="s">
        <v>22</v>
      </c>
      <c r="E16">
        <v>25</v>
      </c>
      <c r="F16">
        <v>13</v>
      </c>
      <c r="G16">
        <v>0</v>
      </c>
      <c r="H16">
        <v>325</v>
      </c>
      <c r="I16">
        <f>AVERAGEIFS(sales_Data[units_sold], sales_Data[product_id],sales_Data[[#This Row],[product_id]])</f>
        <v>29.463013698630139</v>
      </c>
      <c r="J16">
        <f>_xlfn.XLOOKUP(sales_Data[[#This Row],[product_id]],sales_Data[product_id],sales_Data[unit_price])</f>
        <v>25</v>
      </c>
    </row>
    <row r="17" spans="1:10" x14ac:dyDescent="0.3">
      <c r="A17" t="s">
        <v>33</v>
      </c>
      <c r="B17" s="1">
        <v>45661</v>
      </c>
      <c r="C17" t="s">
        <v>9</v>
      </c>
      <c r="D17" t="s">
        <v>10</v>
      </c>
      <c r="E17">
        <v>45</v>
      </c>
      <c r="F17">
        <v>63</v>
      </c>
      <c r="G17">
        <v>0</v>
      </c>
      <c r="H17">
        <v>2835</v>
      </c>
      <c r="I17">
        <f>AVERAGEIFS(sales_Data[units_sold], sales_Data[product_id],sales_Data[[#This Row],[product_id]])</f>
        <v>31.479452054794521</v>
      </c>
      <c r="J17">
        <f>_xlfn.XLOOKUP(sales_Data[[#This Row],[product_id]],sales_Data[product_id],sales_Data[unit_price])</f>
        <v>45</v>
      </c>
    </row>
    <row r="18" spans="1:10" x14ac:dyDescent="0.3">
      <c r="A18" t="s">
        <v>34</v>
      </c>
      <c r="B18" s="1">
        <v>45661</v>
      </c>
      <c r="C18" t="s">
        <v>12</v>
      </c>
      <c r="D18" t="s">
        <v>13</v>
      </c>
      <c r="E18">
        <v>12.5</v>
      </c>
      <c r="F18">
        <v>63</v>
      </c>
      <c r="G18">
        <v>0.1</v>
      </c>
      <c r="H18">
        <v>708.75</v>
      </c>
      <c r="I18">
        <f>AVERAGEIFS(sales_Data[units_sold], sales_Data[product_id],sales_Data[[#This Row],[product_id]])</f>
        <v>31.794520547945204</v>
      </c>
      <c r="J18">
        <f>_xlfn.XLOOKUP(sales_Data[[#This Row],[product_id]],sales_Data[product_id],sales_Data[unit_price])</f>
        <v>12.5</v>
      </c>
    </row>
    <row r="19" spans="1:10" x14ac:dyDescent="0.3">
      <c r="A19" t="s">
        <v>35</v>
      </c>
      <c r="B19" s="1">
        <v>45661</v>
      </c>
      <c r="C19" t="s">
        <v>15</v>
      </c>
      <c r="D19" t="s">
        <v>16</v>
      </c>
      <c r="E19">
        <v>35</v>
      </c>
      <c r="F19">
        <v>66</v>
      </c>
      <c r="G19">
        <v>0</v>
      </c>
      <c r="H19">
        <v>2310</v>
      </c>
      <c r="I19">
        <f>AVERAGEIFS(sales_Data[units_sold], sales_Data[product_id],sales_Data[[#This Row],[product_id]])</f>
        <v>30.438356164383563</v>
      </c>
      <c r="J19">
        <f>_xlfn.XLOOKUP(sales_Data[[#This Row],[product_id]],sales_Data[product_id],sales_Data[unit_price])</f>
        <v>35</v>
      </c>
    </row>
    <row r="20" spans="1:10" x14ac:dyDescent="0.3">
      <c r="A20" t="s">
        <v>36</v>
      </c>
      <c r="B20" s="1">
        <v>45661</v>
      </c>
      <c r="C20" t="s">
        <v>18</v>
      </c>
      <c r="D20" t="s">
        <v>19</v>
      </c>
      <c r="E20">
        <v>120</v>
      </c>
      <c r="F20">
        <v>31</v>
      </c>
      <c r="G20">
        <v>0</v>
      </c>
      <c r="H20">
        <v>3720</v>
      </c>
      <c r="I20">
        <f>AVERAGEIFS(sales_Data[units_sold], sales_Data[product_id],sales_Data[[#This Row],[product_id]])</f>
        <v>30.473972602739725</v>
      </c>
      <c r="J20">
        <f>_xlfn.XLOOKUP(sales_Data[[#This Row],[product_id]],sales_Data[product_id],sales_Data[unit_price])</f>
        <v>120</v>
      </c>
    </row>
    <row r="21" spans="1:10" x14ac:dyDescent="0.3">
      <c r="A21" t="s">
        <v>37</v>
      </c>
      <c r="B21" s="1">
        <v>45661</v>
      </c>
      <c r="C21" t="s">
        <v>21</v>
      </c>
      <c r="D21" t="s">
        <v>22</v>
      </c>
      <c r="E21">
        <v>25</v>
      </c>
      <c r="F21">
        <v>42</v>
      </c>
      <c r="G21">
        <v>0.1</v>
      </c>
      <c r="H21">
        <v>945</v>
      </c>
      <c r="I21">
        <f>AVERAGEIFS(sales_Data[units_sold], sales_Data[product_id],sales_Data[[#This Row],[product_id]])</f>
        <v>29.463013698630139</v>
      </c>
      <c r="J21">
        <f>_xlfn.XLOOKUP(sales_Data[[#This Row],[product_id]],sales_Data[product_id],sales_Data[unit_price])</f>
        <v>25</v>
      </c>
    </row>
    <row r="22" spans="1:10" x14ac:dyDescent="0.3">
      <c r="A22" t="s">
        <v>38</v>
      </c>
      <c r="B22" s="1">
        <v>45662</v>
      </c>
      <c r="C22" t="s">
        <v>9</v>
      </c>
      <c r="D22" t="s">
        <v>10</v>
      </c>
      <c r="E22">
        <v>45</v>
      </c>
      <c r="F22">
        <v>7</v>
      </c>
      <c r="G22">
        <v>0</v>
      </c>
      <c r="H22">
        <v>315</v>
      </c>
      <c r="I22">
        <f>AVERAGEIFS(sales_Data[units_sold], sales_Data[product_id],sales_Data[[#This Row],[product_id]])</f>
        <v>31.479452054794521</v>
      </c>
      <c r="J22">
        <f>_xlfn.XLOOKUP(sales_Data[[#This Row],[product_id]],sales_Data[product_id],sales_Data[unit_price])</f>
        <v>45</v>
      </c>
    </row>
    <row r="23" spans="1:10" x14ac:dyDescent="0.3">
      <c r="A23" t="s">
        <v>39</v>
      </c>
      <c r="B23" s="1">
        <v>45662</v>
      </c>
      <c r="C23" t="s">
        <v>12</v>
      </c>
      <c r="D23" t="s">
        <v>13</v>
      </c>
      <c r="E23">
        <v>12.5</v>
      </c>
      <c r="F23">
        <v>42</v>
      </c>
      <c r="G23">
        <v>0</v>
      </c>
      <c r="H23">
        <v>525</v>
      </c>
      <c r="I23">
        <f>AVERAGEIFS(sales_Data[units_sold], sales_Data[product_id],sales_Data[[#This Row],[product_id]])</f>
        <v>31.794520547945204</v>
      </c>
      <c r="J23">
        <f>_xlfn.XLOOKUP(sales_Data[[#This Row],[product_id]],sales_Data[product_id],sales_Data[unit_price])</f>
        <v>12.5</v>
      </c>
    </row>
    <row r="24" spans="1:10" x14ac:dyDescent="0.3">
      <c r="A24" t="s">
        <v>40</v>
      </c>
      <c r="B24" s="1">
        <v>45662</v>
      </c>
      <c r="C24" t="s">
        <v>15</v>
      </c>
      <c r="D24" t="s">
        <v>16</v>
      </c>
      <c r="E24">
        <v>35</v>
      </c>
      <c r="F24">
        <v>30</v>
      </c>
      <c r="G24">
        <v>0</v>
      </c>
      <c r="H24">
        <v>1050</v>
      </c>
      <c r="I24">
        <f>AVERAGEIFS(sales_Data[units_sold], sales_Data[product_id],sales_Data[[#This Row],[product_id]])</f>
        <v>30.438356164383563</v>
      </c>
      <c r="J24">
        <f>_xlfn.XLOOKUP(sales_Data[[#This Row],[product_id]],sales_Data[product_id],sales_Data[unit_price])</f>
        <v>35</v>
      </c>
    </row>
    <row r="25" spans="1:10" x14ac:dyDescent="0.3">
      <c r="A25" t="s">
        <v>41</v>
      </c>
      <c r="B25" s="1">
        <v>45662</v>
      </c>
      <c r="C25" t="s">
        <v>18</v>
      </c>
      <c r="D25" t="s">
        <v>19</v>
      </c>
      <c r="E25">
        <v>120</v>
      </c>
      <c r="F25">
        <v>34</v>
      </c>
      <c r="G25">
        <v>0.1</v>
      </c>
      <c r="H25">
        <v>3672</v>
      </c>
      <c r="I25">
        <f>AVERAGEIFS(sales_Data[units_sold], sales_Data[product_id],sales_Data[[#This Row],[product_id]])</f>
        <v>30.473972602739725</v>
      </c>
      <c r="J25">
        <f>_xlfn.XLOOKUP(sales_Data[[#This Row],[product_id]],sales_Data[product_id],sales_Data[unit_price])</f>
        <v>120</v>
      </c>
    </row>
    <row r="26" spans="1:10" x14ac:dyDescent="0.3">
      <c r="A26" t="s">
        <v>42</v>
      </c>
      <c r="B26" s="1">
        <v>45662</v>
      </c>
      <c r="C26" t="s">
        <v>21</v>
      </c>
      <c r="D26" t="s">
        <v>22</v>
      </c>
      <c r="E26">
        <v>25</v>
      </c>
      <c r="F26">
        <v>63</v>
      </c>
      <c r="G26">
        <v>0</v>
      </c>
      <c r="H26">
        <v>1575</v>
      </c>
      <c r="I26">
        <f>AVERAGEIFS(sales_Data[units_sold], sales_Data[product_id],sales_Data[[#This Row],[product_id]])</f>
        <v>29.463013698630139</v>
      </c>
      <c r="J26">
        <f>_xlfn.XLOOKUP(sales_Data[[#This Row],[product_id]],sales_Data[product_id],sales_Data[unit_price])</f>
        <v>25</v>
      </c>
    </row>
    <row r="27" spans="1:10" x14ac:dyDescent="0.3">
      <c r="A27" t="s">
        <v>43</v>
      </c>
      <c r="B27" s="1">
        <v>45663</v>
      </c>
      <c r="C27" t="s">
        <v>9</v>
      </c>
      <c r="D27" t="s">
        <v>10</v>
      </c>
      <c r="E27">
        <v>45</v>
      </c>
      <c r="F27">
        <v>26</v>
      </c>
      <c r="G27">
        <v>0</v>
      </c>
      <c r="H27">
        <v>1170</v>
      </c>
      <c r="I27">
        <f>AVERAGEIFS(sales_Data[units_sold], sales_Data[product_id],sales_Data[[#This Row],[product_id]])</f>
        <v>31.479452054794521</v>
      </c>
      <c r="J27">
        <f>_xlfn.XLOOKUP(sales_Data[[#This Row],[product_id]],sales_Data[product_id],sales_Data[unit_price])</f>
        <v>45</v>
      </c>
    </row>
    <row r="28" spans="1:10" x14ac:dyDescent="0.3">
      <c r="A28" t="s">
        <v>44</v>
      </c>
      <c r="B28" s="1">
        <v>45663</v>
      </c>
      <c r="C28" t="s">
        <v>12</v>
      </c>
      <c r="D28" t="s">
        <v>13</v>
      </c>
      <c r="E28">
        <v>12.5</v>
      </c>
      <c r="F28">
        <v>31</v>
      </c>
      <c r="G28">
        <v>0.1</v>
      </c>
      <c r="H28">
        <v>348.75</v>
      </c>
      <c r="I28">
        <f>AVERAGEIFS(sales_Data[units_sold], sales_Data[product_id],sales_Data[[#This Row],[product_id]])</f>
        <v>31.794520547945204</v>
      </c>
      <c r="J28">
        <f>_xlfn.XLOOKUP(sales_Data[[#This Row],[product_id]],sales_Data[product_id],sales_Data[unit_price])</f>
        <v>12.5</v>
      </c>
    </row>
    <row r="29" spans="1:10" x14ac:dyDescent="0.3">
      <c r="A29" t="s">
        <v>45</v>
      </c>
      <c r="B29" s="1">
        <v>45663</v>
      </c>
      <c r="C29" t="s">
        <v>15</v>
      </c>
      <c r="D29" t="s">
        <v>16</v>
      </c>
      <c r="E29">
        <v>35</v>
      </c>
      <c r="F29">
        <v>17</v>
      </c>
      <c r="G29">
        <v>0</v>
      </c>
      <c r="H29">
        <v>595</v>
      </c>
      <c r="I29">
        <f>AVERAGEIFS(sales_Data[units_sold], sales_Data[product_id],sales_Data[[#This Row],[product_id]])</f>
        <v>30.438356164383563</v>
      </c>
      <c r="J29">
        <f>_xlfn.XLOOKUP(sales_Data[[#This Row],[product_id]],sales_Data[product_id],sales_Data[unit_price])</f>
        <v>35</v>
      </c>
    </row>
    <row r="30" spans="1:10" x14ac:dyDescent="0.3">
      <c r="A30" t="s">
        <v>46</v>
      </c>
      <c r="B30" s="1">
        <v>45663</v>
      </c>
      <c r="C30" t="s">
        <v>18</v>
      </c>
      <c r="D30" t="s">
        <v>19</v>
      </c>
      <c r="E30">
        <v>120</v>
      </c>
      <c r="F30">
        <v>23</v>
      </c>
      <c r="G30">
        <v>0</v>
      </c>
      <c r="H30">
        <v>2760</v>
      </c>
      <c r="I30">
        <f>AVERAGEIFS(sales_Data[units_sold], sales_Data[product_id],sales_Data[[#This Row],[product_id]])</f>
        <v>30.473972602739725</v>
      </c>
      <c r="J30">
        <f>_xlfn.XLOOKUP(sales_Data[[#This Row],[product_id]],sales_Data[product_id],sales_Data[unit_price])</f>
        <v>120</v>
      </c>
    </row>
    <row r="31" spans="1:10" x14ac:dyDescent="0.3">
      <c r="A31" t="s">
        <v>47</v>
      </c>
      <c r="B31" s="1">
        <v>45663</v>
      </c>
      <c r="C31" t="s">
        <v>21</v>
      </c>
      <c r="D31" t="s">
        <v>22</v>
      </c>
      <c r="E31">
        <v>25</v>
      </c>
      <c r="F31">
        <v>16</v>
      </c>
      <c r="G31">
        <v>0</v>
      </c>
      <c r="H31">
        <v>400</v>
      </c>
      <c r="I31">
        <f>AVERAGEIFS(sales_Data[units_sold], sales_Data[product_id],sales_Data[[#This Row],[product_id]])</f>
        <v>29.463013698630139</v>
      </c>
      <c r="J31">
        <f>_xlfn.XLOOKUP(sales_Data[[#This Row],[product_id]],sales_Data[product_id],sales_Data[unit_price])</f>
        <v>25</v>
      </c>
    </row>
    <row r="32" spans="1:10" x14ac:dyDescent="0.3">
      <c r="A32" t="s">
        <v>48</v>
      </c>
      <c r="B32" s="1">
        <v>45664</v>
      </c>
      <c r="C32" t="s">
        <v>9</v>
      </c>
      <c r="D32" t="s">
        <v>10</v>
      </c>
      <c r="E32">
        <v>45</v>
      </c>
      <c r="F32">
        <v>48</v>
      </c>
      <c r="G32">
        <v>0</v>
      </c>
      <c r="H32">
        <v>2160</v>
      </c>
      <c r="I32">
        <f>AVERAGEIFS(sales_Data[units_sold], sales_Data[product_id],sales_Data[[#This Row],[product_id]])</f>
        <v>31.479452054794521</v>
      </c>
      <c r="J32">
        <f>_xlfn.XLOOKUP(sales_Data[[#This Row],[product_id]],sales_Data[product_id],sales_Data[unit_price])</f>
        <v>45</v>
      </c>
    </row>
    <row r="33" spans="1:10" x14ac:dyDescent="0.3">
      <c r="A33" t="s">
        <v>49</v>
      </c>
      <c r="B33" s="1">
        <v>45664</v>
      </c>
      <c r="C33" t="s">
        <v>12</v>
      </c>
      <c r="D33" t="s">
        <v>13</v>
      </c>
      <c r="E33">
        <v>12.5</v>
      </c>
      <c r="F33">
        <v>29</v>
      </c>
      <c r="G33">
        <v>0</v>
      </c>
      <c r="H33">
        <v>362.5</v>
      </c>
      <c r="I33">
        <f>AVERAGEIFS(sales_Data[units_sold], sales_Data[product_id],sales_Data[[#This Row],[product_id]])</f>
        <v>31.794520547945204</v>
      </c>
      <c r="J33">
        <f>_xlfn.XLOOKUP(sales_Data[[#This Row],[product_id]],sales_Data[product_id],sales_Data[unit_price])</f>
        <v>12.5</v>
      </c>
    </row>
    <row r="34" spans="1:10" x14ac:dyDescent="0.3">
      <c r="A34" t="s">
        <v>50</v>
      </c>
      <c r="B34" s="1">
        <v>45664</v>
      </c>
      <c r="C34" t="s">
        <v>15</v>
      </c>
      <c r="D34" t="s">
        <v>16</v>
      </c>
      <c r="E34">
        <v>35</v>
      </c>
      <c r="F34">
        <v>48</v>
      </c>
      <c r="G34">
        <v>0.1</v>
      </c>
      <c r="H34">
        <v>1512</v>
      </c>
      <c r="I34">
        <f>AVERAGEIFS(sales_Data[units_sold], sales_Data[product_id],sales_Data[[#This Row],[product_id]])</f>
        <v>30.438356164383563</v>
      </c>
      <c r="J34">
        <f>_xlfn.XLOOKUP(sales_Data[[#This Row],[product_id]],sales_Data[product_id],sales_Data[unit_price])</f>
        <v>35</v>
      </c>
    </row>
    <row r="35" spans="1:10" x14ac:dyDescent="0.3">
      <c r="A35" t="s">
        <v>51</v>
      </c>
      <c r="B35" s="1">
        <v>45664</v>
      </c>
      <c r="C35" t="s">
        <v>18</v>
      </c>
      <c r="D35" t="s">
        <v>19</v>
      </c>
      <c r="E35">
        <v>120</v>
      </c>
      <c r="F35">
        <v>42</v>
      </c>
      <c r="G35">
        <v>0</v>
      </c>
      <c r="H35">
        <v>5040</v>
      </c>
      <c r="I35">
        <f>AVERAGEIFS(sales_Data[units_sold], sales_Data[product_id],sales_Data[[#This Row],[product_id]])</f>
        <v>30.473972602739725</v>
      </c>
      <c r="J35">
        <f>_xlfn.XLOOKUP(sales_Data[[#This Row],[product_id]],sales_Data[product_id],sales_Data[unit_price])</f>
        <v>120</v>
      </c>
    </row>
    <row r="36" spans="1:10" x14ac:dyDescent="0.3">
      <c r="A36" t="s">
        <v>52</v>
      </c>
      <c r="B36" s="1">
        <v>45664</v>
      </c>
      <c r="C36" t="s">
        <v>21</v>
      </c>
      <c r="D36" t="s">
        <v>22</v>
      </c>
      <c r="E36">
        <v>25</v>
      </c>
      <c r="F36">
        <v>40</v>
      </c>
      <c r="G36">
        <v>0</v>
      </c>
      <c r="H36">
        <v>1000</v>
      </c>
      <c r="I36">
        <f>AVERAGEIFS(sales_Data[units_sold], sales_Data[product_id],sales_Data[[#This Row],[product_id]])</f>
        <v>29.463013698630139</v>
      </c>
      <c r="J36">
        <f>_xlfn.XLOOKUP(sales_Data[[#This Row],[product_id]],sales_Data[product_id],sales_Data[unit_price])</f>
        <v>25</v>
      </c>
    </row>
    <row r="37" spans="1:10" x14ac:dyDescent="0.3">
      <c r="A37" t="s">
        <v>53</v>
      </c>
      <c r="B37" s="1">
        <v>45665</v>
      </c>
      <c r="C37" t="s">
        <v>9</v>
      </c>
      <c r="D37" t="s">
        <v>10</v>
      </c>
      <c r="E37">
        <v>45</v>
      </c>
      <c r="F37">
        <v>40</v>
      </c>
      <c r="G37">
        <v>0</v>
      </c>
      <c r="H37">
        <v>1800</v>
      </c>
      <c r="I37">
        <f>AVERAGEIFS(sales_Data[units_sold], sales_Data[product_id],sales_Data[[#This Row],[product_id]])</f>
        <v>31.479452054794521</v>
      </c>
      <c r="J37">
        <f>_xlfn.XLOOKUP(sales_Data[[#This Row],[product_id]],sales_Data[product_id],sales_Data[unit_price])</f>
        <v>45</v>
      </c>
    </row>
    <row r="38" spans="1:10" x14ac:dyDescent="0.3">
      <c r="A38" t="s">
        <v>54</v>
      </c>
      <c r="B38" s="1">
        <v>45665</v>
      </c>
      <c r="C38" t="s">
        <v>12</v>
      </c>
      <c r="D38" t="s">
        <v>13</v>
      </c>
      <c r="E38">
        <v>12.5</v>
      </c>
      <c r="F38">
        <v>18</v>
      </c>
      <c r="G38">
        <v>0.1</v>
      </c>
      <c r="H38">
        <v>202.5</v>
      </c>
      <c r="I38">
        <f>AVERAGEIFS(sales_Data[units_sold], sales_Data[product_id],sales_Data[[#This Row],[product_id]])</f>
        <v>31.794520547945204</v>
      </c>
      <c r="J38">
        <f>_xlfn.XLOOKUP(sales_Data[[#This Row],[product_id]],sales_Data[product_id],sales_Data[unit_price])</f>
        <v>12.5</v>
      </c>
    </row>
    <row r="39" spans="1:10" x14ac:dyDescent="0.3">
      <c r="A39" t="s">
        <v>55</v>
      </c>
      <c r="B39" s="1">
        <v>45665</v>
      </c>
      <c r="C39" t="s">
        <v>15</v>
      </c>
      <c r="D39" t="s">
        <v>16</v>
      </c>
      <c r="E39">
        <v>35</v>
      </c>
      <c r="F39">
        <v>10</v>
      </c>
      <c r="G39">
        <v>0.1</v>
      </c>
      <c r="H39">
        <v>315</v>
      </c>
      <c r="I39">
        <f>AVERAGEIFS(sales_Data[units_sold], sales_Data[product_id],sales_Data[[#This Row],[product_id]])</f>
        <v>30.438356164383563</v>
      </c>
      <c r="J39">
        <f>_xlfn.XLOOKUP(sales_Data[[#This Row],[product_id]],sales_Data[product_id],sales_Data[unit_price])</f>
        <v>35</v>
      </c>
    </row>
    <row r="40" spans="1:10" x14ac:dyDescent="0.3">
      <c r="A40" t="s">
        <v>56</v>
      </c>
      <c r="B40" s="1">
        <v>45665</v>
      </c>
      <c r="C40" t="s">
        <v>18</v>
      </c>
      <c r="D40" t="s">
        <v>19</v>
      </c>
      <c r="E40">
        <v>120</v>
      </c>
      <c r="F40">
        <v>25</v>
      </c>
      <c r="G40">
        <v>0</v>
      </c>
      <c r="H40">
        <v>3000</v>
      </c>
      <c r="I40">
        <f>AVERAGEIFS(sales_Data[units_sold], sales_Data[product_id],sales_Data[[#This Row],[product_id]])</f>
        <v>30.473972602739725</v>
      </c>
      <c r="J40">
        <f>_xlfn.XLOOKUP(sales_Data[[#This Row],[product_id]],sales_Data[product_id],sales_Data[unit_price])</f>
        <v>120</v>
      </c>
    </row>
    <row r="41" spans="1:10" x14ac:dyDescent="0.3">
      <c r="A41" t="s">
        <v>57</v>
      </c>
      <c r="B41" s="1">
        <v>45665</v>
      </c>
      <c r="C41" t="s">
        <v>21</v>
      </c>
      <c r="D41" t="s">
        <v>22</v>
      </c>
      <c r="E41">
        <v>25</v>
      </c>
      <c r="F41">
        <v>5</v>
      </c>
      <c r="G41">
        <v>0</v>
      </c>
      <c r="H41">
        <v>125</v>
      </c>
      <c r="I41">
        <f>AVERAGEIFS(sales_Data[units_sold], sales_Data[product_id],sales_Data[[#This Row],[product_id]])</f>
        <v>29.463013698630139</v>
      </c>
      <c r="J41">
        <f>_xlfn.XLOOKUP(sales_Data[[#This Row],[product_id]],sales_Data[product_id],sales_Data[unit_price])</f>
        <v>25</v>
      </c>
    </row>
    <row r="42" spans="1:10" x14ac:dyDescent="0.3">
      <c r="A42" t="s">
        <v>58</v>
      </c>
      <c r="B42" s="1">
        <v>45666</v>
      </c>
      <c r="C42" t="s">
        <v>9</v>
      </c>
      <c r="D42" t="s">
        <v>10</v>
      </c>
      <c r="E42">
        <v>45</v>
      </c>
      <c r="F42">
        <v>31</v>
      </c>
      <c r="G42">
        <v>0</v>
      </c>
      <c r="H42">
        <v>1395</v>
      </c>
      <c r="I42">
        <f>AVERAGEIFS(sales_Data[units_sold], sales_Data[product_id],sales_Data[[#This Row],[product_id]])</f>
        <v>31.479452054794521</v>
      </c>
      <c r="J42">
        <f>_xlfn.XLOOKUP(sales_Data[[#This Row],[product_id]],sales_Data[product_id],sales_Data[unit_price])</f>
        <v>45</v>
      </c>
    </row>
    <row r="43" spans="1:10" x14ac:dyDescent="0.3">
      <c r="A43" t="s">
        <v>59</v>
      </c>
      <c r="B43" s="1">
        <v>45666</v>
      </c>
      <c r="C43" t="s">
        <v>12</v>
      </c>
      <c r="D43" t="s">
        <v>13</v>
      </c>
      <c r="E43">
        <v>12.5</v>
      </c>
      <c r="F43">
        <v>14</v>
      </c>
      <c r="G43">
        <v>0</v>
      </c>
      <c r="H43">
        <v>175</v>
      </c>
      <c r="I43">
        <f>AVERAGEIFS(sales_Data[units_sold], sales_Data[product_id],sales_Data[[#This Row],[product_id]])</f>
        <v>31.794520547945204</v>
      </c>
      <c r="J43">
        <f>_xlfn.XLOOKUP(sales_Data[[#This Row],[product_id]],sales_Data[product_id],sales_Data[unit_price])</f>
        <v>12.5</v>
      </c>
    </row>
    <row r="44" spans="1:10" x14ac:dyDescent="0.3">
      <c r="A44" t="s">
        <v>60</v>
      </c>
      <c r="B44" s="1">
        <v>45666</v>
      </c>
      <c r="C44" t="s">
        <v>15</v>
      </c>
      <c r="D44" t="s">
        <v>16</v>
      </c>
      <c r="E44">
        <v>35</v>
      </c>
      <c r="F44">
        <v>26</v>
      </c>
      <c r="G44">
        <v>0</v>
      </c>
      <c r="H44">
        <v>910</v>
      </c>
      <c r="I44">
        <f>AVERAGEIFS(sales_Data[units_sold], sales_Data[product_id],sales_Data[[#This Row],[product_id]])</f>
        <v>30.438356164383563</v>
      </c>
      <c r="J44">
        <f>_xlfn.XLOOKUP(sales_Data[[#This Row],[product_id]],sales_Data[product_id],sales_Data[unit_price])</f>
        <v>35</v>
      </c>
    </row>
    <row r="45" spans="1:10" x14ac:dyDescent="0.3">
      <c r="A45" t="s">
        <v>61</v>
      </c>
      <c r="B45" s="1">
        <v>45666</v>
      </c>
      <c r="C45" t="s">
        <v>18</v>
      </c>
      <c r="D45" t="s">
        <v>19</v>
      </c>
      <c r="E45">
        <v>120</v>
      </c>
      <c r="F45">
        <v>45</v>
      </c>
      <c r="G45">
        <v>0</v>
      </c>
      <c r="H45">
        <v>5400</v>
      </c>
      <c r="I45">
        <f>AVERAGEIFS(sales_Data[units_sold], sales_Data[product_id],sales_Data[[#This Row],[product_id]])</f>
        <v>30.473972602739725</v>
      </c>
      <c r="J45">
        <f>_xlfn.XLOOKUP(sales_Data[[#This Row],[product_id]],sales_Data[product_id],sales_Data[unit_price])</f>
        <v>120</v>
      </c>
    </row>
    <row r="46" spans="1:10" x14ac:dyDescent="0.3">
      <c r="A46" t="s">
        <v>62</v>
      </c>
      <c r="B46" s="1">
        <v>45666</v>
      </c>
      <c r="C46" t="s">
        <v>21</v>
      </c>
      <c r="D46" t="s">
        <v>22</v>
      </c>
      <c r="E46">
        <v>25</v>
      </c>
      <c r="F46">
        <v>27</v>
      </c>
      <c r="G46">
        <v>0</v>
      </c>
      <c r="H46">
        <v>675</v>
      </c>
      <c r="I46">
        <f>AVERAGEIFS(sales_Data[units_sold], sales_Data[product_id],sales_Data[[#This Row],[product_id]])</f>
        <v>29.463013698630139</v>
      </c>
      <c r="J46">
        <f>_xlfn.XLOOKUP(sales_Data[[#This Row],[product_id]],sales_Data[product_id],sales_Data[unit_price])</f>
        <v>25</v>
      </c>
    </row>
    <row r="47" spans="1:10" x14ac:dyDescent="0.3">
      <c r="A47" t="s">
        <v>63</v>
      </c>
      <c r="B47" s="1">
        <v>45667</v>
      </c>
      <c r="C47" t="s">
        <v>9</v>
      </c>
      <c r="D47" t="s">
        <v>10</v>
      </c>
      <c r="E47">
        <v>45</v>
      </c>
      <c r="F47">
        <v>33</v>
      </c>
      <c r="G47">
        <v>0</v>
      </c>
      <c r="H47">
        <v>1485</v>
      </c>
      <c r="I47">
        <f>AVERAGEIFS(sales_Data[units_sold], sales_Data[product_id],sales_Data[[#This Row],[product_id]])</f>
        <v>31.479452054794521</v>
      </c>
      <c r="J47">
        <f>_xlfn.XLOOKUP(sales_Data[[#This Row],[product_id]],sales_Data[product_id],sales_Data[unit_price])</f>
        <v>45</v>
      </c>
    </row>
    <row r="48" spans="1:10" x14ac:dyDescent="0.3">
      <c r="A48" t="s">
        <v>64</v>
      </c>
      <c r="B48" s="1">
        <v>45667</v>
      </c>
      <c r="C48" t="s">
        <v>12</v>
      </c>
      <c r="D48" t="s">
        <v>13</v>
      </c>
      <c r="E48">
        <v>12.5</v>
      </c>
      <c r="F48">
        <v>28</v>
      </c>
      <c r="G48">
        <v>0.2</v>
      </c>
      <c r="H48">
        <v>280</v>
      </c>
      <c r="I48">
        <f>AVERAGEIFS(sales_Data[units_sold], sales_Data[product_id],sales_Data[[#This Row],[product_id]])</f>
        <v>31.794520547945204</v>
      </c>
      <c r="J48">
        <f>_xlfn.XLOOKUP(sales_Data[[#This Row],[product_id]],sales_Data[product_id],sales_Data[unit_price])</f>
        <v>12.5</v>
      </c>
    </row>
    <row r="49" spans="1:10" x14ac:dyDescent="0.3">
      <c r="A49" t="s">
        <v>65</v>
      </c>
      <c r="B49" s="1">
        <v>45667</v>
      </c>
      <c r="C49" t="s">
        <v>15</v>
      </c>
      <c r="D49" t="s">
        <v>16</v>
      </c>
      <c r="E49">
        <v>35</v>
      </c>
      <c r="F49">
        <v>20</v>
      </c>
      <c r="G49">
        <v>0</v>
      </c>
      <c r="H49">
        <v>700</v>
      </c>
      <c r="I49">
        <f>AVERAGEIFS(sales_Data[units_sold], sales_Data[product_id],sales_Data[[#This Row],[product_id]])</f>
        <v>30.438356164383563</v>
      </c>
      <c r="J49">
        <f>_xlfn.XLOOKUP(sales_Data[[#This Row],[product_id]],sales_Data[product_id],sales_Data[unit_price])</f>
        <v>35</v>
      </c>
    </row>
    <row r="50" spans="1:10" x14ac:dyDescent="0.3">
      <c r="A50" t="s">
        <v>66</v>
      </c>
      <c r="B50" s="1">
        <v>45667</v>
      </c>
      <c r="C50" t="s">
        <v>18</v>
      </c>
      <c r="D50" t="s">
        <v>19</v>
      </c>
      <c r="E50">
        <v>120</v>
      </c>
      <c r="F50">
        <v>40</v>
      </c>
      <c r="G50">
        <v>0</v>
      </c>
      <c r="H50">
        <v>4800</v>
      </c>
      <c r="I50">
        <f>AVERAGEIFS(sales_Data[units_sold], sales_Data[product_id],sales_Data[[#This Row],[product_id]])</f>
        <v>30.473972602739725</v>
      </c>
      <c r="J50">
        <f>_xlfn.XLOOKUP(sales_Data[[#This Row],[product_id]],sales_Data[product_id],sales_Data[unit_price])</f>
        <v>120</v>
      </c>
    </row>
    <row r="51" spans="1:10" x14ac:dyDescent="0.3">
      <c r="A51" t="s">
        <v>67</v>
      </c>
      <c r="B51" s="1">
        <v>45667</v>
      </c>
      <c r="C51" t="s">
        <v>21</v>
      </c>
      <c r="D51" t="s">
        <v>22</v>
      </c>
      <c r="E51">
        <v>25</v>
      </c>
      <c r="F51">
        <v>12</v>
      </c>
      <c r="G51">
        <v>0.1</v>
      </c>
      <c r="H51">
        <v>270</v>
      </c>
      <c r="I51">
        <f>AVERAGEIFS(sales_Data[units_sold], sales_Data[product_id],sales_Data[[#This Row],[product_id]])</f>
        <v>29.463013698630139</v>
      </c>
      <c r="J51">
        <f>_xlfn.XLOOKUP(sales_Data[[#This Row],[product_id]],sales_Data[product_id],sales_Data[unit_price])</f>
        <v>25</v>
      </c>
    </row>
    <row r="52" spans="1:10" x14ac:dyDescent="0.3">
      <c r="A52" t="s">
        <v>68</v>
      </c>
      <c r="B52" s="1">
        <v>45668</v>
      </c>
      <c r="C52" t="s">
        <v>9</v>
      </c>
      <c r="D52" t="s">
        <v>10</v>
      </c>
      <c r="E52">
        <v>45</v>
      </c>
      <c r="F52">
        <v>69</v>
      </c>
      <c r="G52">
        <v>0.2</v>
      </c>
      <c r="H52">
        <v>2484</v>
      </c>
      <c r="I52">
        <f>AVERAGEIFS(sales_Data[units_sold], sales_Data[product_id],sales_Data[[#This Row],[product_id]])</f>
        <v>31.479452054794521</v>
      </c>
      <c r="J52">
        <f>_xlfn.XLOOKUP(sales_Data[[#This Row],[product_id]],sales_Data[product_id],sales_Data[unit_price])</f>
        <v>45</v>
      </c>
    </row>
    <row r="53" spans="1:10" x14ac:dyDescent="0.3">
      <c r="A53" t="s">
        <v>69</v>
      </c>
      <c r="B53" s="1">
        <v>45668</v>
      </c>
      <c r="C53" t="s">
        <v>12</v>
      </c>
      <c r="D53" t="s">
        <v>13</v>
      </c>
      <c r="E53">
        <v>12.5</v>
      </c>
      <c r="F53">
        <v>61</v>
      </c>
      <c r="G53">
        <v>0.2</v>
      </c>
      <c r="H53">
        <v>610</v>
      </c>
      <c r="I53">
        <f>AVERAGEIFS(sales_Data[units_sold], sales_Data[product_id],sales_Data[[#This Row],[product_id]])</f>
        <v>31.794520547945204</v>
      </c>
      <c r="J53">
        <f>_xlfn.XLOOKUP(sales_Data[[#This Row],[product_id]],sales_Data[product_id],sales_Data[unit_price])</f>
        <v>12.5</v>
      </c>
    </row>
    <row r="54" spans="1:10" x14ac:dyDescent="0.3">
      <c r="A54" t="s">
        <v>70</v>
      </c>
      <c r="B54" s="1">
        <v>45668</v>
      </c>
      <c r="C54" t="s">
        <v>15</v>
      </c>
      <c r="D54" t="s">
        <v>16</v>
      </c>
      <c r="E54">
        <v>35</v>
      </c>
      <c r="F54">
        <v>25</v>
      </c>
      <c r="G54">
        <v>0</v>
      </c>
      <c r="H54">
        <v>875</v>
      </c>
      <c r="I54">
        <f>AVERAGEIFS(sales_Data[units_sold], sales_Data[product_id],sales_Data[[#This Row],[product_id]])</f>
        <v>30.438356164383563</v>
      </c>
      <c r="J54">
        <f>_xlfn.XLOOKUP(sales_Data[[#This Row],[product_id]],sales_Data[product_id],sales_Data[unit_price])</f>
        <v>35</v>
      </c>
    </row>
    <row r="55" spans="1:10" x14ac:dyDescent="0.3">
      <c r="A55" t="s">
        <v>71</v>
      </c>
      <c r="B55" s="1">
        <v>45668</v>
      </c>
      <c r="C55" t="s">
        <v>18</v>
      </c>
      <c r="D55" t="s">
        <v>19</v>
      </c>
      <c r="E55">
        <v>120</v>
      </c>
      <c r="F55">
        <v>13</v>
      </c>
      <c r="G55">
        <v>0.1</v>
      </c>
      <c r="H55">
        <v>1404</v>
      </c>
      <c r="I55">
        <f>AVERAGEIFS(sales_Data[units_sold], sales_Data[product_id],sales_Data[[#This Row],[product_id]])</f>
        <v>30.473972602739725</v>
      </c>
      <c r="J55">
        <f>_xlfn.XLOOKUP(sales_Data[[#This Row],[product_id]],sales_Data[product_id],sales_Data[unit_price])</f>
        <v>120</v>
      </c>
    </row>
    <row r="56" spans="1:10" x14ac:dyDescent="0.3">
      <c r="A56" t="s">
        <v>72</v>
      </c>
      <c r="B56" s="1">
        <v>45668</v>
      </c>
      <c r="C56" t="s">
        <v>21</v>
      </c>
      <c r="D56" t="s">
        <v>22</v>
      </c>
      <c r="E56">
        <v>25</v>
      </c>
      <c r="F56">
        <v>42</v>
      </c>
      <c r="G56">
        <v>0</v>
      </c>
      <c r="H56">
        <v>1050</v>
      </c>
      <c r="I56">
        <f>AVERAGEIFS(sales_Data[units_sold], sales_Data[product_id],sales_Data[[#This Row],[product_id]])</f>
        <v>29.463013698630139</v>
      </c>
      <c r="J56">
        <f>_xlfn.XLOOKUP(sales_Data[[#This Row],[product_id]],sales_Data[product_id],sales_Data[unit_price])</f>
        <v>25</v>
      </c>
    </row>
    <row r="57" spans="1:10" x14ac:dyDescent="0.3">
      <c r="A57" t="s">
        <v>73</v>
      </c>
      <c r="B57" s="1">
        <v>45669</v>
      </c>
      <c r="C57" t="s">
        <v>9</v>
      </c>
      <c r="D57" t="s">
        <v>10</v>
      </c>
      <c r="E57">
        <v>45</v>
      </c>
      <c r="F57">
        <v>61</v>
      </c>
      <c r="G57">
        <v>0</v>
      </c>
      <c r="H57">
        <v>2745</v>
      </c>
      <c r="I57">
        <f>AVERAGEIFS(sales_Data[units_sold], sales_Data[product_id],sales_Data[[#This Row],[product_id]])</f>
        <v>31.479452054794521</v>
      </c>
      <c r="J57">
        <f>_xlfn.XLOOKUP(sales_Data[[#This Row],[product_id]],sales_Data[product_id],sales_Data[unit_price])</f>
        <v>45</v>
      </c>
    </row>
    <row r="58" spans="1:10" x14ac:dyDescent="0.3">
      <c r="A58" t="s">
        <v>74</v>
      </c>
      <c r="B58" s="1">
        <v>45669</v>
      </c>
      <c r="C58" t="s">
        <v>12</v>
      </c>
      <c r="D58" t="s">
        <v>13</v>
      </c>
      <c r="E58">
        <v>12.5</v>
      </c>
      <c r="F58">
        <v>39</v>
      </c>
      <c r="G58">
        <v>0</v>
      </c>
      <c r="H58">
        <v>487.5</v>
      </c>
      <c r="I58">
        <f>AVERAGEIFS(sales_Data[units_sold], sales_Data[product_id],sales_Data[[#This Row],[product_id]])</f>
        <v>31.794520547945204</v>
      </c>
      <c r="J58">
        <f>_xlfn.XLOOKUP(sales_Data[[#This Row],[product_id]],sales_Data[product_id],sales_Data[unit_price])</f>
        <v>12.5</v>
      </c>
    </row>
    <row r="59" spans="1:10" x14ac:dyDescent="0.3">
      <c r="A59" t="s">
        <v>75</v>
      </c>
      <c r="B59" s="1">
        <v>45669</v>
      </c>
      <c r="C59" t="s">
        <v>15</v>
      </c>
      <c r="D59" t="s">
        <v>16</v>
      </c>
      <c r="E59">
        <v>35</v>
      </c>
      <c r="F59">
        <v>73</v>
      </c>
      <c r="G59">
        <v>0</v>
      </c>
      <c r="H59">
        <v>2555</v>
      </c>
      <c r="I59">
        <f>AVERAGEIFS(sales_Data[units_sold], sales_Data[product_id],sales_Data[[#This Row],[product_id]])</f>
        <v>30.438356164383563</v>
      </c>
      <c r="J59">
        <f>_xlfn.XLOOKUP(sales_Data[[#This Row],[product_id]],sales_Data[product_id],sales_Data[unit_price])</f>
        <v>35</v>
      </c>
    </row>
    <row r="60" spans="1:10" x14ac:dyDescent="0.3">
      <c r="A60" t="s">
        <v>76</v>
      </c>
      <c r="B60" s="1">
        <v>45669</v>
      </c>
      <c r="C60" t="s">
        <v>18</v>
      </c>
      <c r="D60" t="s">
        <v>19</v>
      </c>
      <c r="E60">
        <v>120</v>
      </c>
      <c r="F60">
        <v>51</v>
      </c>
      <c r="G60">
        <v>0.1</v>
      </c>
      <c r="H60">
        <v>5508</v>
      </c>
      <c r="I60">
        <f>AVERAGEIFS(sales_Data[units_sold], sales_Data[product_id],sales_Data[[#This Row],[product_id]])</f>
        <v>30.473972602739725</v>
      </c>
      <c r="J60">
        <f>_xlfn.XLOOKUP(sales_Data[[#This Row],[product_id]],sales_Data[product_id],sales_Data[unit_price])</f>
        <v>120</v>
      </c>
    </row>
    <row r="61" spans="1:10" x14ac:dyDescent="0.3">
      <c r="A61" t="s">
        <v>77</v>
      </c>
      <c r="B61" s="1">
        <v>45669</v>
      </c>
      <c r="C61" t="s">
        <v>21</v>
      </c>
      <c r="D61" t="s">
        <v>22</v>
      </c>
      <c r="E61">
        <v>25</v>
      </c>
      <c r="F61">
        <v>15</v>
      </c>
      <c r="G61">
        <v>0</v>
      </c>
      <c r="H61">
        <v>375</v>
      </c>
      <c r="I61">
        <f>AVERAGEIFS(sales_Data[units_sold], sales_Data[product_id],sales_Data[[#This Row],[product_id]])</f>
        <v>29.463013698630139</v>
      </c>
      <c r="J61">
        <f>_xlfn.XLOOKUP(sales_Data[[#This Row],[product_id]],sales_Data[product_id],sales_Data[unit_price])</f>
        <v>25</v>
      </c>
    </row>
    <row r="62" spans="1:10" x14ac:dyDescent="0.3">
      <c r="A62" t="s">
        <v>78</v>
      </c>
      <c r="B62" s="1">
        <v>45670</v>
      </c>
      <c r="C62" t="s">
        <v>9</v>
      </c>
      <c r="D62" t="s">
        <v>10</v>
      </c>
      <c r="E62">
        <v>45</v>
      </c>
      <c r="F62">
        <v>30</v>
      </c>
      <c r="G62">
        <v>0</v>
      </c>
      <c r="H62">
        <v>1350</v>
      </c>
      <c r="I62">
        <f>AVERAGEIFS(sales_Data[units_sold], sales_Data[product_id],sales_Data[[#This Row],[product_id]])</f>
        <v>31.479452054794521</v>
      </c>
      <c r="J62">
        <f>_xlfn.XLOOKUP(sales_Data[[#This Row],[product_id]],sales_Data[product_id],sales_Data[unit_price])</f>
        <v>45</v>
      </c>
    </row>
    <row r="63" spans="1:10" x14ac:dyDescent="0.3">
      <c r="A63" t="s">
        <v>79</v>
      </c>
      <c r="B63" s="1">
        <v>45670</v>
      </c>
      <c r="C63" t="s">
        <v>12</v>
      </c>
      <c r="D63" t="s">
        <v>13</v>
      </c>
      <c r="E63">
        <v>12.5</v>
      </c>
      <c r="F63">
        <v>10</v>
      </c>
      <c r="G63">
        <v>0</v>
      </c>
      <c r="H63">
        <v>125</v>
      </c>
      <c r="I63">
        <f>AVERAGEIFS(sales_Data[units_sold], sales_Data[product_id],sales_Data[[#This Row],[product_id]])</f>
        <v>31.794520547945204</v>
      </c>
      <c r="J63">
        <f>_xlfn.XLOOKUP(sales_Data[[#This Row],[product_id]],sales_Data[product_id],sales_Data[unit_price])</f>
        <v>12.5</v>
      </c>
    </row>
    <row r="64" spans="1:10" x14ac:dyDescent="0.3">
      <c r="A64" t="s">
        <v>80</v>
      </c>
      <c r="B64" s="1">
        <v>45670</v>
      </c>
      <c r="C64" t="s">
        <v>15</v>
      </c>
      <c r="D64" t="s">
        <v>16</v>
      </c>
      <c r="E64">
        <v>35</v>
      </c>
      <c r="F64">
        <v>5</v>
      </c>
      <c r="G64">
        <v>0.1</v>
      </c>
      <c r="H64">
        <v>157.5</v>
      </c>
      <c r="I64">
        <f>AVERAGEIFS(sales_Data[units_sold], sales_Data[product_id],sales_Data[[#This Row],[product_id]])</f>
        <v>30.438356164383563</v>
      </c>
      <c r="J64">
        <f>_xlfn.XLOOKUP(sales_Data[[#This Row],[product_id]],sales_Data[product_id],sales_Data[unit_price])</f>
        <v>35</v>
      </c>
    </row>
    <row r="65" spans="1:10" x14ac:dyDescent="0.3">
      <c r="A65" t="s">
        <v>81</v>
      </c>
      <c r="B65" s="1">
        <v>45670</v>
      </c>
      <c r="C65" t="s">
        <v>18</v>
      </c>
      <c r="D65" t="s">
        <v>19</v>
      </c>
      <c r="E65">
        <v>120</v>
      </c>
      <c r="F65">
        <v>17</v>
      </c>
      <c r="G65">
        <v>0.1</v>
      </c>
      <c r="H65">
        <v>1836</v>
      </c>
      <c r="I65">
        <f>AVERAGEIFS(sales_Data[units_sold], sales_Data[product_id],sales_Data[[#This Row],[product_id]])</f>
        <v>30.473972602739725</v>
      </c>
      <c r="J65">
        <f>_xlfn.XLOOKUP(sales_Data[[#This Row],[product_id]],sales_Data[product_id],sales_Data[unit_price])</f>
        <v>120</v>
      </c>
    </row>
    <row r="66" spans="1:10" x14ac:dyDescent="0.3">
      <c r="A66" t="s">
        <v>82</v>
      </c>
      <c r="B66" s="1">
        <v>45670</v>
      </c>
      <c r="C66" t="s">
        <v>21</v>
      </c>
      <c r="D66" t="s">
        <v>22</v>
      </c>
      <c r="E66">
        <v>25</v>
      </c>
      <c r="F66">
        <v>6</v>
      </c>
      <c r="G66">
        <v>0</v>
      </c>
      <c r="H66">
        <v>150</v>
      </c>
      <c r="I66">
        <f>AVERAGEIFS(sales_Data[units_sold], sales_Data[product_id],sales_Data[[#This Row],[product_id]])</f>
        <v>29.463013698630139</v>
      </c>
      <c r="J66">
        <f>_xlfn.XLOOKUP(sales_Data[[#This Row],[product_id]],sales_Data[product_id],sales_Data[unit_price])</f>
        <v>25</v>
      </c>
    </row>
    <row r="67" spans="1:10" x14ac:dyDescent="0.3">
      <c r="A67" t="s">
        <v>83</v>
      </c>
      <c r="B67" s="1">
        <v>45671</v>
      </c>
      <c r="C67" t="s">
        <v>9</v>
      </c>
      <c r="D67" t="s">
        <v>10</v>
      </c>
      <c r="E67">
        <v>45</v>
      </c>
      <c r="F67">
        <v>5</v>
      </c>
      <c r="G67">
        <v>0</v>
      </c>
      <c r="H67">
        <v>225</v>
      </c>
      <c r="I67">
        <f>AVERAGEIFS(sales_Data[units_sold], sales_Data[product_id],sales_Data[[#This Row],[product_id]])</f>
        <v>31.479452054794521</v>
      </c>
      <c r="J67">
        <f>_xlfn.XLOOKUP(sales_Data[[#This Row],[product_id]],sales_Data[product_id],sales_Data[unit_price])</f>
        <v>45</v>
      </c>
    </row>
    <row r="68" spans="1:10" x14ac:dyDescent="0.3">
      <c r="A68" t="s">
        <v>84</v>
      </c>
      <c r="B68" s="1">
        <v>45671</v>
      </c>
      <c r="C68" t="s">
        <v>12</v>
      </c>
      <c r="D68" t="s">
        <v>13</v>
      </c>
      <c r="E68">
        <v>12.5</v>
      </c>
      <c r="F68">
        <v>25</v>
      </c>
      <c r="G68">
        <v>0</v>
      </c>
      <c r="H68">
        <v>312.5</v>
      </c>
      <c r="I68">
        <f>AVERAGEIFS(sales_Data[units_sold], sales_Data[product_id],sales_Data[[#This Row],[product_id]])</f>
        <v>31.794520547945204</v>
      </c>
      <c r="J68">
        <f>_xlfn.XLOOKUP(sales_Data[[#This Row],[product_id]],sales_Data[product_id],sales_Data[unit_price])</f>
        <v>12.5</v>
      </c>
    </row>
    <row r="69" spans="1:10" x14ac:dyDescent="0.3">
      <c r="A69" t="s">
        <v>85</v>
      </c>
      <c r="B69" s="1">
        <v>45671</v>
      </c>
      <c r="C69" t="s">
        <v>15</v>
      </c>
      <c r="D69" t="s">
        <v>16</v>
      </c>
      <c r="E69">
        <v>35</v>
      </c>
      <c r="F69">
        <v>44</v>
      </c>
      <c r="G69">
        <v>0</v>
      </c>
      <c r="H69">
        <v>1540</v>
      </c>
      <c r="I69">
        <f>AVERAGEIFS(sales_Data[units_sold], sales_Data[product_id],sales_Data[[#This Row],[product_id]])</f>
        <v>30.438356164383563</v>
      </c>
      <c r="J69">
        <f>_xlfn.XLOOKUP(sales_Data[[#This Row],[product_id]],sales_Data[product_id],sales_Data[unit_price])</f>
        <v>35</v>
      </c>
    </row>
    <row r="70" spans="1:10" x14ac:dyDescent="0.3">
      <c r="A70" t="s">
        <v>86</v>
      </c>
      <c r="B70" s="1">
        <v>45671</v>
      </c>
      <c r="C70" t="s">
        <v>18</v>
      </c>
      <c r="D70" t="s">
        <v>19</v>
      </c>
      <c r="E70">
        <v>120</v>
      </c>
      <c r="F70">
        <v>36</v>
      </c>
      <c r="G70">
        <v>0</v>
      </c>
      <c r="H70">
        <v>4320</v>
      </c>
      <c r="I70">
        <f>AVERAGEIFS(sales_Data[units_sold], sales_Data[product_id],sales_Data[[#This Row],[product_id]])</f>
        <v>30.473972602739725</v>
      </c>
      <c r="J70">
        <f>_xlfn.XLOOKUP(sales_Data[[#This Row],[product_id]],sales_Data[product_id],sales_Data[unit_price])</f>
        <v>120</v>
      </c>
    </row>
    <row r="71" spans="1:10" x14ac:dyDescent="0.3">
      <c r="A71" t="s">
        <v>87</v>
      </c>
      <c r="B71" s="1">
        <v>45671</v>
      </c>
      <c r="C71" t="s">
        <v>21</v>
      </c>
      <c r="D71" t="s">
        <v>22</v>
      </c>
      <c r="E71">
        <v>25</v>
      </c>
      <c r="F71">
        <v>14</v>
      </c>
      <c r="G71">
        <v>0</v>
      </c>
      <c r="H71">
        <v>350</v>
      </c>
      <c r="I71">
        <f>AVERAGEIFS(sales_Data[units_sold], sales_Data[product_id],sales_Data[[#This Row],[product_id]])</f>
        <v>29.463013698630139</v>
      </c>
      <c r="J71">
        <f>_xlfn.XLOOKUP(sales_Data[[#This Row],[product_id]],sales_Data[product_id],sales_Data[unit_price])</f>
        <v>25</v>
      </c>
    </row>
    <row r="72" spans="1:10" x14ac:dyDescent="0.3">
      <c r="A72" t="s">
        <v>88</v>
      </c>
      <c r="B72" s="1">
        <v>45672</v>
      </c>
      <c r="C72" t="s">
        <v>9</v>
      </c>
      <c r="D72" t="s">
        <v>10</v>
      </c>
      <c r="E72">
        <v>45</v>
      </c>
      <c r="F72">
        <v>48</v>
      </c>
      <c r="G72">
        <v>0.1</v>
      </c>
      <c r="H72">
        <v>1944</v>
      </c>
      <c r="I72">
        <f>AVERAGEIFS(sales_Data[units_sold], sales_Data[product_id],sales_Data[[#This Row],[product_id]])</f>
        <v>31.479452054794521</v>
      </c>
      <c r="J72">
        <f>_xlfn.XLOOKUP(sales_Data[[#This Row],[product_id]],sales_Data[product_id],sales_Data[unit_price])</f>
        <v>45</v>
      </c>
    </row>
    <row r="73" spans="1:10" x14ac:dyDescent="0.3">
      <c r="A73" t="s">
        <v>89</v>
      </c>
      <c r="B73" s="1">
        <v>45672</v>
      </c>
      <c r="C73" t="s">
        <v>12</v>
      </c>
      <c r="D73" t="s">
        <v>13</v>
      </c>
      <c r="E73">
        <v>12.5</v>
      </c>
      <c r="F73">
        <v>12</v>
      </c>
      <c r="G73">
        <v>0</v>
      </c>
      <c r="H73">
        <v>150</v>
      </c>
      <c r="I73">
        <f>AVERAGEIFS(sales_Data[units_sold], sales_Data[product_id],sales_Data[[#This Row],[product_id]])</f>
        <v>31.794520547945204</v>
      </c>
      <c r="J73">
        <f>_xlfn.XLOOKUP(sales_Data[[#This Row],[product_id]],sales_Data[product_id],sales_Data[unit_price])</f>
        <v>12.5</v>
      </c>
    </row>
    <row r="74" spans="1:10" x14ac:dyDescent="0.3">
      <c r="A74" t="s">
        <v>90</v>
      </c>
      <c r="B74" s="1">
        <v>45672</v>
      </c>
      <c r="C74" t="s">
        <v>15</v>
      </c>
      <c r="D74" t="s">
        <v>16</v>
      </c>
      <c r="E74">
        <v>35</v>
      </c>
      <c r="F74">
        <v>23</v>
      </c>
      <c r="G74">
        <v>0</v>
      </c>
      <c r="H74">
        <v>805</v>
      </c>
      <c r="I74">
        <f>AVERAGEIFS(sales_Data[units_sold], sales_Data[product_id],sales_Data[[#This Row],[product_id]])</f>
        <v>30.438356164383563</v>
      </c>
      <c r="J74">
        <f>_xlfn.XLOOKUP(sales_Data[[#This Row],[product_id]],sales_Data[product_id],sales_Data[unit_price])</f>
        <v>35</v>
      </c>
    </row>
    <row r="75" spans="1:10" x14ac:dyDescent="0.3">
      <c r="A75" t="s">
        <v>91</v>
      </c>
      <c r="B75" s="1">
        <v>45672</v>
      </c>
      <c r="C75" t="s">
        <v>18</v>
      </c>
      <c r="D75" t="s">
        <v>19</v>
      </c>
      <c r="E75">
        <v>120</v>
      </c>
      <c r="F75">
        <v>47</v>
      </c>
      <c r="G75">
        <v>0.1</v>
      </c>
      <c r="H75">
        <v>5076</v>
      </c>
      <c r="I75">
        <f>AVERAGEIFS(sales_Data[units_sold], sales_Data[product_id],sales_Data[[#This Row],[product_id]])</f>
        <v>30.473972602739725</v>
      </c>
      <c r="J75">
        <f>_xlfn.XLOOKUP(sales_Data[[#This Row],[product_id]],sales_Data[product_id],sales_Data[unit_price])</f>
        <v>120</v>
      </c>
    </row>
    <row r="76" spans="1:10" x14ac:dyDescent="0.3">
      <c r="A76" t="s">
        <v>92</v>
      </c>
      <c r="B76" s="1">
        <v>45672</v>
      </c>
      <c r="C76" t="s">
        <v>21</v>
      </c>
      <c r="D76" t="s">
        <v>22</v>
      </c>
      <c r="E76">
        <v>25</v>
      </c>
      <c r="F76">
        <v>10</v>
      </c>
      <c r="G76">
        <v>0</v>
      </c>
      <c r="H76">
        <v>250</v>
      </c>
      <c r="I76">
        <f>AVERAGEIFS(sales_Data[units_sold], sales_Data[product_id],sales_Data[[#This Row],[product_id]])</f>
        <v>29.463013698630139</v>
      </c>
      <c r="J76">
        <f>_xlfn.XLOOKUP(sales_Data[[#This Row],[product_id]],sales_Data[product_id],sales_Data[unit_price])</f>
        <v>25</v>
      </c>
    </row>
    <row r="77" spans="1:10" x14ac:dyDescent="0.3">
      <c r="A77" t="s">
        <v>93</v>
      </c>
      <c r="B77" s="1">
        <v>45673</v>
      </c>
      <c r="C77" t="s">
        <v>9</v>
      </c>
      <c r="D77" t="s">
        <v>10</v>
      </c>
      <c r="E77">
        <v>45</v>
      </c>
      <c r="F77">
        <v>24</v>
      </c>
      <c r="G77">
        <v>0</v>
      </c>
      <c r="H77">
        <v>1080</v>
      </c>
      <c r="I77">
        <f>AVERAGEIFS(sales_Data[units_sold], sales_Data[product_id],sales_Data[[#This Row],[product_id]])</f>
        <v>31.479452054794521</v>
      </c>
      <c r="J77">
        <f>_xlfn.XLOOKUP(sales_Data[[#This Row],[product_id]],sales_Data[product_id],sales_Data[unit_price])</f>
        <v>45</v>
      </c>
    </row>
    <row r="78" spans="1:10" x14ac:dyDescent="0.3">
      <c r="A78" t="s">
        <v>94</v>
      </c>
      <c r="B78" s="1">
        <v>45673</v>
      </c>
      <c r="C78" t="s">
        <v>12</v>
      </c>
      <c r="D78" t="s">
        <v>13</v>
      </c>
      <c r="E78">
        <v>12.5</v>
      </c>
      <c r="F78">
        <v>28</v>
      </c>
      <c r="G78">
        <v>0.2</v>
      </c>
      <c r="H78">
        <v>280</v>
      </c>
      <c r="I78">
        <f>AVERAGEIFS(sales_Data[units_sold], sales_Data[product_id],sales_Data[[#This Row],[product_id]])</f>
        <v>31.794520547945204</v>
      </c>
      <c r="J78">
        <f>_xlfn.XLOOKUP(sales_Data[[#This Row],[product_id]],sales_Data[product_id],sales_Data[unit_price])</f>
        <v>12.5</v>
      </c>
    </row>
    <row r="79" spans="1:10" x14ac:dyDescent="0.3">
      <c r="A79" t="s">
        <v>95</v>
      </c>
      <c r="B79" s="1">
        <v>45673</v>
      </c>
      <c r="C79" t="s">
        <v>15</v>
      </c>
      <c r="D79" t="s">
        <v>16</v>
      </c>
      <c r="E79">
        <v>35</v>
      </c>
      <c r="F79">
        <v>37</v>
      </c>
      <c r="G79">
        <v>0</v>
      </c>
      <c r="H79">
        <v>1295</v>
      </c>
      <c r="I79">
        <f>AVERAGEIFS(sales_Data[units_sold], sales_Data[product_id],sales_Data[[#This Row],[product_id]])</f>
        <v>30.438356164383563</v>
      </c>
      <c r="J79">
        <f>_xlfn.XLOOKUP(sales_Data[[#This Row],[product_id]],sales_Data[product_id],sales_Data[unit_price])</f>
        <v>35</v>
      </c>
    </row>
    <row r="80" spans="1:10" x14ac:dyDescent="0.3">
      <c r="A80" t="s">
        <v>96</v>
      </c>
      <c r="B80" s="1">
        <v>45673</v>
      </c>
      <c r="C80" t="s">
        <v>18</v>
      </c>
      <c r="D80" t="s">
        <v>19</v>
      </c>
      <c r="E80">
        <v>120</v>
      </c>
      <c r="F80">
        <v>36</v>
      </c>
      <c r="G80">
        <v>0</v>
      </c>
      <c r="H80">
        <v>4320</v>
      </c>
      <c r="I80">
        <f>AVERAGEIFS(sales_Data[units_sold], sales_Data[product_id],sales_Data[[#This Row],[product_id]])</f>
        <v>30.473972602739725</v>
      </c>
      <c r="J80">
        <f>_xlfn.XLOOKUP(sales_Data[[#This Row],[product_id]],sales_Data[product_id],sales_Data[unit_price])</f>
        <v>120</v>
      </c>
    </row>
    <row r="81" spans="1:10" x14ac:dyDescent="0.3">
      <c r="A81" t="s">
        <v>97</v>
      </c>
      <c r="B81" s="1">
        <v>45673</v>
      </c>
      <c r="C81" t="s">
        <v>21</v>
      </c>
      <c r="D81" t="s">
        <v>22</v>
      </c>
      <c r="E81">
        <v>25</v>
      </c>
      <c r="F81">
        <v>42</v>
      </c>
      <c r="G81">
        <v>0</v>
      </c>
      <c r="H81">
        <v>1050</v>
      </c>
      <c r="I81">
        <f>AVERAGEIFS(sales_Data[units_sold], sales_Data[product_id],sales_Data[[#This Row],[product_id]])</f>
        <v>29.463013698630139</v>
      </c>
      <c r="J81">
        <f>_xlfn.XLOOKUP(sales_Data[[#This Row],[product_id]],sales_Data[product_id],sales_Data[unit_price])</f>
        <v>25</v>
      </c>
    </row>
    <row r="82" spans="1:10" x14ac:dyDescent="0.3">
      <c r="A82" t="s">
        <v>98</v>
      </c>
      <c r="B82" s="1">
        <v>45674</v>
      </c>
      <c r="C82" t="s">
        <v>9</v>
      </c>
      <c r="D82" t="s">
        <v>10</v>
      </c>
      <c r="E82">
        <v>45</v>
      </c>
      <c r="F82">
        <v>17</v>
      </c>
      <c r="G82">
        <v>0</v>
      </c>
      <c r="H82">
        <v>765</v>
      </c>
      <c r="I82">
        <f>AVERAGEIFS(sales_Data[units_sold], sales_Data[product_id],sales_Data[[#This Row],[product_id]])</f>
        <v>31.479452054794521</v>
      </c>
      <c r="J82">
        <f>_xlfn.XLOOKUP(sales_Data[[#This Row],[product_id]],sales_Data[product_id],sales_Data[unit_price])</f>
        <v>45</v>
      </c>
    </row>
    <row r="83" spans="1:10" x14ac:dyDescent="0.3">
      <c r="A83" t="s">
        <v>99</v>
      </c>
      <c r="B83" s="1">
        <v>45674</v>
      </c>
      <c r="C83" t="s">
        <v>12</v>
      </c>
      <c r="D83" t="s">
        <v>13</v>
      </c>
      <c r="E83">
        <v>12.5</v>
      </c>
      <c r="F83">
        <v>21</v>
      </c>
      <c r="G83">
        <v>0</v>
      </c>
      <c r="H83">
        <v>262.5</v>
      </c>
      <c r="I83">
        <f>AVERAGEIFS(sales_Data[units_sold], sales_Data[product_id],sales_Data[[#This Row],[product_id]])</f>
        <v>31.794520547945204</v>
      </c>
      <c r="J83">
        <f>_xlfn.XLOOKUP(sales_Data[[#This Row],[product_id]],sales_Data[product_id],sales_Data[unit_price])</f>
        <v>12.5</v>
      </c>
    </row>
    <row r="84" spans="1:10" x14ac:dyDescent="0.3">
      <c r="A84" t="s">
        <v>100</v>
      </c>
      <c r="B84" s="1">
        <v>45674</v>
      </c>
      <c r="C84" t="s">
        <v>15</v>
      </c>
      <c r="D84" t="s">
        <v>16</v>
      </c>
      <c r="E84">
        <v>35</v>
      </c>
      <c r="F84">
        <v>22</v>
      </c>
      <c r="G84">
        <v>0.2</v>
      </c>
      <c r="H84">
        <v>616</v>
      </c>
      <c r="I84">
        <f>AVERAGEIFS(sales_Data[units_sold], sales_Data[product_id],sales_Data[[#This Row],[product_id]])</f>
        <v>30.438356164383563</v>
      </c>
      <c r="J84">
        <f>_xlfn.XLOOKUP(sales_Data[[#This Row],[product_id]],sales_Data[product_id],sales_Data[unit_price])</f>
        <v>35</v>
      </c>
    </row>
    <row r="85" spans="1:10" x14ac:dyDescent="0.3">
      <c r="A85" t="s">
        <v>101</v>
      </c>
      <c r="B85" s="1">
        <v>45674</v>
      </c>
      <c r="C85" t="s">
        <v>18</v>
      </c>
      <c r="D85" t="s">
        <v>19</v>
      </c>
      <c r="E85">
        <v>120</v>
      </c>
      <c r="F85">
        <v>18</v>
      </c>
      <c r="G85">
        <v>0</v>
      </c>
      <c r="H85">
        <v>2160</v>
      </c>
      <c r="I85">
        <f>AVERAGEIFS(sales_Data[units_sold], sales_Data[product_id],sales_Data[[#This Row],[product_id]])</f>
        <v>30.473972602739725</v>
      </c>
      <c r="J85">
        <f>_xlfn.XLOOKUP(sales_Data[[#This Row],[product_id]],sales_Data[product_id],sales_Data[unit_price])</f>
        <v>120</v>
      </c>
    </row>
    <row r="86" spans="1:10" x14ac:dyDescent="0.3">
      <c r="A86" t="s">
        <v>102</v>
      </c>
      <c r="B86" s="1">
        <v>45674</v>
      </c>
      <c r="C86" t="s">
        <v>21</v>
      </c>
      <c r="D86" t="s">
        <v>22</v>
      </c>
      <c r="E86">
        <v>25</v>
      </c>
      <c r="F86">
        <v>25</v>
      </c>
      <c r="G86">
        <v>0.2</v>
      </c>
      <c r="H86">
        <v>500</v>
      </c>
      <c r="I86">
        <f>AVERAGEIFS(sales_Data[units_sold], sales_Data[product_id],sales_Data[[#This Row],[product_id]])</f>
        <v>29.463013698630139</v>
      </c>
      <c r="J86">
        <f>_xlfn.XLOOKUP(sales_Data[[#This Row],[product_id]],sales_Data[product_id],sales_Data[unit_price])</f>
        <v>25</v>
      </c>
    </row>
    <row r="87" spans="1:10" x14ac:dyDescent="0.3">
      <c r="A87" t="s">
        <v>103</v>
      </c>
      <c r="B87" s="1">
        <v>45675</v>
      </c>
      <c r="C87" t="s">
        <v>9</v>
      </c>
      <c r="D87" t="s">
        <v>10</v>
      </c>
      <c r="E87">
        <v>45</v>
      </c>
      <c r="F87">
        <v>9</v>
      </c>
      <c r="G87">
        <v>0</v>
      </c>
      <c r="H87">
        <v>405</v>
      </c>
      <c r="I87">
        <f>AVERAGEIFS(sales_Data[units_sold], sales_Data[product_id],sales_Data[[#This Row],[product_id]])</f>
        <v>31.479452054794521</v>
      </c>
      <c r="J87">
        <f>_xlfn.XLOOKUP(sales_Data[[#This Row],[product_id]],sales_Data[product_id],sales_Data[unit_price])</f>
        <v>45</v>
      </c>
    </row>
    <row r="88" spans="1:10" x14ac:dyDescent="0.3">
      <c r="A88" t="s">
        <v>104</v>
      </c>
      <c r="B88" s="1">
        <v>45675</v>
      </c>
      <c r="C88" t="s">
        <v>12</v>
      </c>
      <c r="D88" t="s">
        <v>13</v>
      </c>
      <c r="E88">
        <v>12.5</v>
      </c>
      <c r="F88">
        <v>48</v>
      </c>
      <c r="G88">
        <v>0</v>
      </c>
      <c r="H88">
        <v>600</v>
      </c>
      <c r="I88">
        <f>AVERAGEIFS(sales_Data[units_sold], sales_Data[product_id],sales_Data[[#This Row],[product_id]])</f>
        <v>31.794520547945204</v>
      </c>
      <c r="J88">
        <f>_xlfn.XLOOKUP(sales_Data[[#This Row],[product_id]],sales_Data[product_id],sales_Data[unit_price])</f>
        <v>12.5</v>
      </c>
    </row>
    <row r="89" spans="1:10" x14ac:dyDescent="0.3">
      <c r="A89" t="s">
        <v>105</v>
      </c>
      <c r="B89" s="1">
        <v>45675</v>
      </c>
      <c r="C89" t="s">
        <v>15</v>
      </c>
      <c r="D89" t="s">
        <v>16</v>
      </c>
      <c r="E89">
        <v>35</v>
      </c>
      <c r="F89">
        <v>9</v>
      </c>
      <c r="G89">
        <v>0</v>
      </c>
      <c r="H89">
        <v>315</v>
      </c>
      <c r="I89">
        <f>AVERAGEIFS(sales_Data[units_sold], sales_Data[product_id],sales_Data[[#This Row],[product_id]])</f>
        <v>30.438356164383563</v>
      </c>
      <c r="J89">
        <f>_xlfn.XLOOKUP(sales_Data[[#This Row],[product_id]],sales_Data[product_id],sales_Data[unit_price])</f>
        <v>35</v>
      </c>
    </row>
    <row r="90" spans="1:10" x14ac:dyDescent="0.3">
      <c r="A90" t="s">
        <v>106</v>
      </c>
      <c r="B90" s="1">
        <v>45675</v>
      </c>
      <c r="C90" t="s">
        <v>18</v>
      </c>
      <c r="D90" t="s">
        <v>19</v>
      </c>
      <c r="E90">
        <v>120</v>
      </c>
      <c r="F90">
        <v>70</v>
      </c>
      <c r="G90">
        <v>0.2</v>
      </c>
      <c r="H90">
        <v>6720</v>
      </c>
      <c r="I90">
        <f>AVERAGEIFS(sales_Data[units_sold], sales_Data[product_id],sales_Data[[#This Row],[product_id]])</f>
        <v>30.473972602739725</v>
      </c>
      <c r="J90">
        <f>_xlfn.XLOOKUP(sales_Data[[#This Row],[product_id]],sales_Data[product_id],sales_Data[unit_price])</f>
        <v>120</v>
      </c>
    </row>
    <row r="91" spans="1:10" x14ac:dyDescent="0.3">
      <c r="A91" t="s">
        <v>107</v>
      </c>
      <c r="B91" s="1">
        <v>45675</v>
      </c>
      <c r="C91" t="s">
        <v>21</v>
      </c>
      <c r="D91" t="s">
        <v>22</v>
      </c>
      <c r="E91">
        <v>25</v>
      </c>
      <c r="F91">
        <v>55</v>
      </c>
      <c r="G91">
        <v>0</v>
      </c>
      <c r="H91">
        <v>1375</v>
      </c>
      <c r="I91">
        <f>AVERAGEIFS(sales_Data[units_sold], sales_Data[product_id],sales_Data[[#This Row],[product_id]])</f>
        <v>29.463013698630139</v>
      </c>
      <c r="J91">
        <f>_xlfn.XLOOKUP(sales_Data[[#This Row],[product_id]],sales_Data[product_id],sales_Data[unit_price])</f>
        <v>25</v>
      </c>
    </row>
    <row r="92" spans="1:10" x14ac:dyDescent="0.3">
      <c r="A92" t="s">
        <v>108</v>
      </c>
      <c r="B92" s="1">
        <v>45676</v>
      </c>
      <c r="C92" t="s">
        <v>9</v>
      </c>
      <c r="D92" t="s">
        <v>10</v>
      </c>
      <c r="E92">
        <v>45</v>
      </c>
      <c r="F92">
        <v>60</v>
      </c>
      <c r="G92">
        <v>0</v>
      </c>
      <c r="H92">
        <v>2700</v>
      </c>
      <c r="I92">
        <f>AVERAGEIFS(sales_Data[units_sold], sales_Data[product_id],sales_Data[[#This Row],[product_id]])</f>
        <v>31.479452054794521</v>
      </c>
      <c r="J92">
        <f>_xlfn.XLOOKUP(sales_Data[[#This Row],[product_id]],sales_Data[product_id],sales_Data[unit_price])</f>
        <v>45</v>
      </c>
    </row>
    <row r="93" spans="1:10" x14ac:dyDescent="0.3">
      <c r="A93" t="s">
        <v>109</v>
      </c>
      <c r="B93" s="1">
        <v>45676</v>
      </c>
      <c r="C93" t="s">
        <v>12</v>
      </c>
      <c r="D93" t="s">
        <v>13</v>
      </c>
      <c r="E93">
        <v>12.5</v>
      </c>
      <c r="F93">
        <v>63</v>
      </c>
      <c r="G93">
        <v>0.2</v>
      </c>
      <c r="H93">
        <v>630</v>
      </c>
      <c r="I93">
        <f>AVERAGEIFS(sales_Data[units_sold], sales_Data[product_id],sales_Data[[#This Row],[product_id]])</f>
        <v>31.794520547945204</v>
      </c>
      <c r="J93">
        <f>_xlfn.XLOOKUP(sales_Data[[#This Row],[product_id]],sales_Data[product_id],sales_Data[unit_price])</f>
        <v>12.5</v>
      </c>
    </row>
    <row r="94" spans="1:10" x14ac:dyDescent="0.3">
      <c r="A94" t="s">
        <v>110</v>
      </c>
      <c r="B94" s="1">
        <v>45676</v>
      </c>
      <c r="C94" t="s">
        <v>15</v>
      </c>
      <c r="D94" t="s">
        <v>16</v>
      </c>
      <c r="E94">
        <v>35</v>
      </c>
      <c r="F94">
        <v>27</v>
      </c>
      <c r="G94">
        <v>0</v>
      </c>
      <c r="H94">
        <v>945</v>
      </c>
      <c r="I94">
        <f>AVERAGEIFS(sales_Data[units_sold], sales_Data[product_id],sales_Data[[#This Row],[product_id]])</f>
        <v>30.438356164383563</v>
      </c>
      <c r="J94">
        <f>_xlfn.XLOOKUP(sales_Data[[#This Row],[product_id]],sales_Data[product_id],sales_Data[unit_price])</f>
        <v>35</v>
      </c>
    </row>
    <row r="95" spans="1:10" x14ac:dyDescent="0.3">
      <c r="A95" t="s">
        <v>111</v>
      </c>
      <c r="B95" s="1">
        <v>45676</v>
      </c>
      <c r="C95" t="s">
        <v>18</v>
      </c>
      <c r="D95" t="s">
        <v>19</v>
      </c>
      <c r="E95">
        <v>120</v>
      </c>
      <c r="F95">
        <v>10</v>
      </c>
      <c r="G95">
        <v>0</v>
      </c>
      <c r="H95">
        <v>1200</v>
      </c>
      <c r="I95">
        <f>AVERAGEIFS(sales_Data[units_sold], sales_Data[product_id],sales_Data[[#This Row],[product_id]])</f>
        <v>30.473972602739725</v>
      </c>
      <c r="J95">
        <f>_xlfn.XLOOKUP(sales_Data[[#This Row],[product_id]],sales_Data[product_id],sales_Data[unit_price])</f>
        <v>120</v>
      </c>
    </row>
    <row r="96" spans="1:10" x14ac:dyDescent="0.3">
      <c r="A96" t="s">
        <v>112</v>
      </c>
      <c r="B96" s="1">
        <v>45676</v>
      </c>
      <c r="C96" t="s">
        <v>21</v>
      </c>
      <c r="D96" t="s">
        <v>22</v>
      </c>
      <c r="E96">
        <v>25</v>
      </c>
      <c r="F96">
        <v>7</v>
      </c>
      <c r="G96">
        <v>0</v>
      </c>
      <c r="H96">
        <v>175</v>
      </c>
      <c r="I96">
        <f>AVERAGEIFS(sales_Data[units_sold], sales_Data[product_id],sales_Data[[#This Row],[product_id]])</f>
        <v>29.463013698630139</v>
      </c>
      <c r="J96">
        <f>_xlfn.XLOOKUP(sales_Data[[#This Row],[product_id]],sales_Data[product_id],sales_Data[unit_price])</f>
        <v>25</v>
      </c>
    </row>
    <row r="97" spans="1:10" x14ac:dyDescent="0.3">
      <c r="A97" t="s">
        <v>113</v>
      </c>
      <c r="B97" s="1">
        <v>45677</v>
      </c>
      <c r="C97" t="s">
        <v>9</v>
      </c>
      <c r="D97" t="s">
        <v>10</v>
      </c>
      <c r="E97">
        <v>45</v>
      </c>
      <c r="F97">
        <v>47</v>
      </c>
      <c r="G97">
        <v>0</v>
      </c>
      <c r="H97">
        <v>2115</v>
      </c>
      <c r="I97">
        <f>AVERAGEIFS(sales_Data[units_sold], sales_Data[product_id],sales_Data[[#This Row],[product_id]])</f>
        <v>31.479452054794521</v>
      </c>
      <c r="J97">
        <f>_xlfn.XLOOKUP(sales_Data[[#This Row],[product_id]],sales_Data[product_id],sales_Data[unit_price])</f>
        <v>45</v>
      </c>
    </row>
    <row r="98" spans="1:10" x14ac:dyDescent="0.3">
      <c r="A98" t="s">
        <v>114</v>
      </c>
      <c r="B98" s="1">
        <v>45677</v>
      </c>
      <c r="C98" t="s">
        <v>12</v>
      </c>
      <c r="D98" t="s">
        <v>13</v>
      </c>
      <c r="E98">
        <v>12.5</v>
      </c>
      <c r="F98">
        <v>12</v>
      </c>
      <c r="G98">
        <v>0</v>
      </c>
      <c r="H98">
        <v>150</v>
      </c>
      <c r="I98">
        <f>AVERAGEIFS(sales_Data[units_sold], sales_Data[product_id],sales_Data[[#This Row],[product_id]])</f>
        <v>31.794520547945204</v>
      </c>
      <c r="J98">
        <f>_xlfn.XLOOKUP(sales_Data[[#This Row],[product_id]],sales_Data[product_id],sales_Data[unit_price])</f>
        <v>12.5</v>
      </c>
    </row>
    <row r="99" spans="1:10" x14ac:dyDescent="0.3">
      <c r="A99" t="s">
        <v>115</v>
      </c>
      <c r="B99" s="1">
        <v>45677</v>
      </c>
      <c r="C99" t="s">
        <v>15</v>
      </c>
      <c r="D99" t="s">
        <v>16</v>
      </c>
      <c r="E99">
        <v>35</v>
      </c>
      <c r="F99">
        <v>11</v>
      </c>
      <c r="G99">
        <v>0</v>
      </c>
      <c r="H99">
        <v>385</v>
      </c>
      <c r="I99">
        <f>AVERAGEIFS(sales_Data[units_sold], sales_Data[product_id],sales_Data[[#This Row],[product_id]])</f>
        <v>30.438356164383563</v>
      </c>
      <c r="J99">
        <f>_xlfn.XLOOKUP(sales_Data[[#This Row],[product_id]],sales_Data[product_id],sales_Data[unit_price])</f>
        <v>35</v>
      </c>
    </row>
    <row r="100" spans="1:10" x14ac:dyDescent="0.3">
      <c r="A100" t="s">
        <v>116</v>
      </c>
      <c r="B100" s="1">
        <v>45677</v>
      </c>
      <c r="C100" t="s">
        <v>18</v>
      </c>
      <c r="D100" t="s">
        <v>19</v>
      </c>
      <c r="E100">
        <v>120</v>
      </c>
      <c r="F100">
        <v>11</v>
      </c>
      <c r="G100">
        <v>0</v>
      </c>
      <c r="H100">
        <v>1320</v>
      </c>
      <c r="I100">
        <f>AVERAGEIFS(sales_Data[units_sold], sales_Data[product_id],sales_Data[[#This Row],[product_id]])</f>
        <v>30.473972602739725</v>
      </c>
      <c r="J100">
        <f>_xlfn.XLOOKUP(sales_Data[[#This Row],[product_id]],sales_Data[product_id],sales_Data[unit_price])</f>
        <v>120</v>
      </c>
    </row>
    <row r="101" spans="1:10" x14ac:dyDescent="0.3">
      <c r="A101" t="s">
        <v>117</v>
      </c>
      <c r="B101" s="1">
        <v>45677</v>
      </c>
      <c r="C101" t="s">
        <v>21</v>
      </c>
      <c r="D101" t="s">
        <v>22</v>
      </c>
      <c r="E101">
        <v>25</v>
      </c>
      <c r="F101">
        <v>22</v>
      </c>
      <c r="G101">
        <v>0</v>
      </c>
      <c r="H101">
        <v>550</v>
      </c>
      <c r="I101">
        <f>AVERAGEIFS(sales_Data[units_sold], sales_Data[product_id],sales_Data[[#This Row],[product_id]])</f>
        <v>29.463013698630139</v>
      </c>
      <c r="J101">
        <f>_xlfn.XLOOKUP(sales_Data[[#This Row],[product_id]],sales_Data[product_id],sales_Data[unit_price])</f>
        <v>25</v>
      </c>
    </row>
    <row r="102" spans="1:10" x14ac:dyDescent="0.3">
      <c r="A102" t="s">
        <v>118</v>
      </c>
      <c r="B102" s="1">
        <v>45678</v>
      </c>
      <c r="C102" t="s">
        <v>9</v>
      </c>
      <c r="D102" t="s">
        <v>10</v>
      </c>
      <c r="E102">
        <v>45</v>
      </c>
      <c r="F102">
        <v>17</v>
      </c>
      <c r="G102">
        <v>0</v>
      </c>
      <c r="H102">
        <v>765</v>
      </c>
      <c r="I102">
        <f>AVERAGEIFS(sales_Data[units_sold], sales_Data[product_id],sales_Data[[#This Row],[product_id]])</f>
        <v>31.479452054794521</v>
      </c>
      <c r="J102">
        <f>_xlfn.XLOOKUP(sales_Data[[#This Row],[product_id]],sales_Data[product_id],sales_Data[unit_price])</f>
        <v>45</v>
      </c>
    </row>
    <row r="103" spans="1:10" x14ac:dyDescent="0.3">
      <c r="A103" t="s">
        <v>119</v>
      </c>
      <c r="B103" s="1">
        <v>45678</v>
      </c>
      <c r="C103" t="s">
        <v>12</v>
      </c>
      <c r="D103" t="s">
        <v>13</v>
      </c>
      <c r="E103">
        <v>12.5</v>
      </c>
      <c r="F103">
        <v>46</v>
      </c>
      <c r="G103">
        <v>0</v>
      </c>
      <c r="H103">
        <v>575</v>
      </c>
      <c r="I103">
        <f>AVERAGEIFS(sales_Data[units_sold], sales_Data[product_id],sales_Data[[#This Row],[product_id]])</f>
        <v>31.794520547945204</v>
      </c>
      <c r="J103">
        <f>_xlfn.XLOOKUP(sales_Data[[#This Row],[product_id]],sales_Data[product_id],sales_Data[unit_price])</f>
        <v>12.5</v>
      </c>
    </row>
    <row r="104" spans="1:10" x14ac:dyDescent="0.3">
      <c r="A104" t="s">
        <v>120</v>
      </c>
      <c r="B104" s="1">
        <v>45678</v>
      </c>
      <c r="C104" t="s">
        <v>15</v>
      </c>
      <c r="D104" t="s">
        <v>16</v>
      </c>
      <c r="E104">
        <v>35</v>
      </c>
      <c r="F104">
        <v>20</v>
      </c>
      <c r="G104">
        <v>0</v>
      </c>
      <c r="H104">
        <v>700</v>
      </c>
      <c r="I104">
        <f>AVERAGEIFS(sales_Data[units_sold], sales_Data[product_id],sales_Data[[#This Row],[product_id]])</f>
        <v>30.438356164383563</v>
      </c>
      <c r="J104">
        <f>_xlfn.XLOOKUP(sales_Data[[#This Row],[product_id]],sales_Data[product_id],sales_Data[unit_price])</f>
        <v>35</v>
      </c>
    </row>
    <row r="105" spans="1:10" x14ac:dyDescent="0.3">
      <c r="A105" t="s">
        <v>121</v>
      </c>
      <c r="B105" s="1">
        <v>45678</v>
      </c>
      <c r="C105" t="s">
        <v>18</v>
      </c>
      <c r="D105" t="s">
        <v>19</v>
      </c>
      <c r="E105">
        <v>120</v>
      </c>
      <c r="F105">
        <v>28</v>
      </c>
      <c r="G105">
        <v>0</v>
      </c>
      <c r="H105">
        <v>3360</v>
      </c>
      <c r="I105">
        <f>AVERAGEIFS(sales_Data[units_sold], sales_Data[product_id],sales_Data[[#This Row],[product_id]])</f>
        <v>30.473972602739725</v>
      </c>
      <c r="J105">
        <f>_xlfn.XLOOKUP(sales_Data[[#This Row],[product_id]],sales_Data[product_id],sales_Data[unit_price])</f>
        <v>120</v>
      </c>
    </row>
    <row r="106" spans="1:10" x14ac:dyDescent="0.3">
      <c r="A106" t="s">
        <v>122</v>
      </c>
      <c r="B106" s="1">
        <v>45678</v>
      </c>
      <c r="C106" t="s">
        <v>21</v>
      </c>
      <c r="D106" t="s">
        <v>22</v>
      </c>
      <c r="E106">
        <v>25</v>
      </c>
      <c r="F106">
        <v>10</v>
      </c>
      <c r="G106">
        <v>0</v>
      </c>
      <c r="H106">
        <v>250</v>
      </c>
      <c r="I106">
        <f>AVERAGEIFS(sales_Data[units_sold], sales_Data[product_id],sales_Data[[#This Row],[product_id]])</f>
        <v>29.463013698630139</v>
      </c>
      <c r="J106">
        <f>_xlfn.XLOOKUP(sales_Data[[#This Row],[product_id]],sales_Data[product_id],sales_Data[unit_price])</f>
        <v>25</v>
      </c>
    </row>
    <row r="107" spans="1:10" x14ac:dyDescent="0.3">
      <c r="A107" t="s">
        <v>123</v>
      </c>
      <c r="B107" s="1">
        <v>45679</v>
      </c>
      <c r="C107" t="s">
        <v>9</v>
      </c>
      <c r="D107" t="s">
        <v>10</v>
      </c>
      <c r="E107">
        <v>45</v>
      </c>
      <c r="F107">
        <v>35</v>
      </c>
      <c r="G107">
        <v>0</v>
      </c>
      <c r="H107">
        <v>1575</v>
      </c>
      <c r="I107">
        <f>AVERAGEIFS(sales_Data[units_sold], sales_Data[product_id],sales_Data[[#This Row],[product_id]])</f>
        <v>31.479452054794521</v>
      </c>
      <c r="J107">
        <f>_xlfn.XLOOKUP(sales_Data[[#This Row],[product_id]],sales_Data[product_id],sales_Data[unit_price])</f>
        <v>45</v>
      </c>
    </row>
    <row r="108" spans="1:10" x14ac:dyDescent="0.3">
      <c r="A108" t="s">
        <v>124</v>
      </c>
      <c r="B108" s="1">
        <v>45679</v>
      </c>
      <c r="C108" t="s">
        <v>12</v>
      </c>
      <c r="D108" t="s">
        <v>13</v>
      </c>
      <c r="E108">
        <v>12.5</v>
      </c>
      <c r="F108">
        <v>12</v>
      </c>
      <c r="G108">
        <v>0</v>
      </c>
      <c r="H108">
        <v>150</v>
      </c>
      <c r="I108">
        <f>AVERAGEIFS(sales_Data[units_sold], sales_Data[product_id],sales_Data[[#This Row],[product_id]])</f>
        <v>31.794520547945204</v>
      </c>
      <c r="J108">
        <f>_xlfn.XLOOKUP(sales_Data[[#This Row],[product_id]],sales_Data[product_id],sales_Data[unit_price])</f>
        <v>12.5</v>
      </c>
    </row>
    <row r="109" spans="1:10" x14ac:dyDescent="0.3">
      <c r="A109" t="s">
        <v>125</v>
      </c>
      <c r="B109" s="1">
        <v>45679</v>
      </c>
      <c r="C109" t="s">
        <v>15</v>
      </c>
      <c r="D109" t="s">
        <v>16</v>
      </c>
      <c r="E109">
        <v>35</v>
      </c>
      <c r="F109">
        <v>38</v>
      </c>
      <c r="G109">
        <v>0</v>
      </c>
      <c r="H109">
        <v>1330</v>
      </c>
      <c r="I109">
        <f>AVERAGEIFS(sales_Data[units_sold], sales_Data[product_id],sales_Data[[#This Row],[product_id]])</f>
        <v>30.438356164383563</v>
      </c>
      <c r="J109">
        <f>_xlfn.XLOOKUP(sales_Data[[#This Row],[product_id]],sales_Data[product_id],sales_Data[unit_price])</f>
        <v>35</v>
      </c>
    </row>
    <row r="110" spans="1:10" x14ac:dyDescent="0.3">
      <c r="A110" t="s">
        <v>126</v>
      </c>
      <c r="B110" s="1">
        <v>45679</v>
      </c>
      <c r="C110" t="s">
        <v>18</v>
      </c>
      <c r="D110" t="s">
        <v>19</v>
      </c>
      <c r="E110">
        <v>120</v>
      </c>
      <c r="F110">
        <v>43</v>
      </c>
      <c r="G110">
        <v>0</v>
      </c>
      <c r="H110">
        <v>5160</v>
      </c>
      <c r="I110">
        <f>AVERAGEIFS(sales_Data[units_sold], sales_Data[product_id],sales_Data[[#This Row],[product_id]])</f>
        <v>30.473972602739725</v>
      </c>
      <c r="J110">
        <f>_xlfn.XLOOKUP(sales_Data[[#This Row],[product_id]],sales_Data[product_id],sales_Data[unit_price])</f>
        <v>120</v>
      </c>
    </row>
    <row r="111" spans="1:10" x14ac:dyDescent="0.3">
      <c r="A111" t="s">
        <v>127</v>
      </c>
      <c r="B111" s="1">
        <v>45679</v>
      </c>
      <c r="C111" t="s">
        <v>21</v>
      </c>
      <c r="D111" t="s">
        <v>22</v>
      </c>
      <c r="E111">
        <v>25</v>
      </c>
      <c r="F111">
        <v>29</v>
      </c>
      <c r="G111">
        <v>0.1</v>
      </c>
      <c r="H111">
        <v>652.5</v>
      </c>
      <c r="I111">
        <f>AVERAGEIFS(sales_Data[units_sold], sales_Data[product_id],sales_Data[[#This Row],[product_id]])</f>
        <v>29.463013698630139</v>
      </c>
      <c r="J111">
        <f>_xlfn.XLOOKUP(sales_Data[[#This Row],[product_id]],sales_Data[product_id],sales_Data[unit_price])</f>
        <v>25</v>
      </c>
    </row>
    <row r="112" spans="1:10" x14ac:dyDescent="0.3">
      <c r="A112" t="s">
        <v>128</v>
      </c>
      <c r="B112" s="1">
        <v>45680</v>
      </c>
      <c r="C112" t="s">
        <v>9</v>
      </c>
      <c r="D112" t="s">
        <v>10</v>
      </c>
      <c r="E112">
        <v>45</v>
      </c>
      <c r="F112">
        <v>17</v>
      </c>
      <c r="G112">
        <v>0</v>
      </c>
      <c r="H112">
        <v>765</v>
      </c>
      <c r="I112">
        <f>AVERAGEIFS(sales_Data[units_sold], sales_Data[product_id],sales_Data[[#This Row],[product_id]])</f>
        <v>31.479452054794521</v>
      </c>
      <c r="J112">
        <f>_xlfn.XLOOKUP(sales_Data[[#This Row],[product_id]],sales_Data[product_id],sales_Data[unit_price])</f>
        <v>45</v>
      </c>
    </row>
    <row r="113" spans="1:10" x14ac:dyDescent="0.3">
      <c r="A113" t="s">
        <v>129</v>
      </c>
      <c r="B113" s="1">
        <v>45680</v>
      </c>
      <c r="C113" t="s">
        <v>12</v>
      </c>
      <c r="D113" t="s">
        <v>13</v>
      </c>
      <c r="E113">
        <v>12.5</v>
      </c>
      <c r="F113">
        <v>30</v>
      </c>
      <c r="G113">
        <v>0.1</v>
      </c>
      <c r="H113">
        <v>337.5</v>
      </c>
      <c r="I113">
        <f>AVERAGEIFS(sales_Data[units_sold], sales_Data[product_id],sales_Data[[#This Row],[product_id]])</f>
        <v>31.794520547945204</v>
      </c>
      <c r="J113">
        <f>_xlfn.XLOOKUP(sales_Data[[#This Row],[product_id]],sales_Data[product_id],sales_Data[unit_price])</f>
        <v>12.5</v>
      </c>
    </row>
    <row r="114" spans="1:10" x14ac:dyDescent="0.3">
      <c r="A114" t="s">
        <v>130</v>
      </c>
      <c r="B114" s="1">
        <v>45680</v>
      </c>
      <c r="C114" t="s">
        <v>15</v>
      </c>
      <c r="D114" t="s">
        <v>16</v>
      </c>
      <c r="E114">
        <v>35</v>
      </c>
      <c r="F114">
        <v>25</v>
      </c>
      <c r="G114">
        <v>0</v>
      </c>
      <c r="H114">
        <v>875</v>
      </c>
      <c r="I114">
        <f>AVERAGEIFS(sales_Data[units_sold], sales_Data[product_id],sales_Data[[#This Row],[product_id]])</f>
        <v>30.438356164383563</v>
      </c>
      <c r="J114">
        <f>_xlfn.XLOOKUP(sales_Data[[#This Row],[product_id]],sales_Data[product_id],sales_Data[unit_price])</f>
        <v>35</v>
      </c>
    </row>
    <row r="115" spans="1:10" x14ac:dyDescent="0.3">
      <c r="A115" t="s">
        <v>131</v>
      </c>
      <c r="B115" s="1">
        <v>45680</v>
      </c>
      <c r="C115" t="s">
        <v>18</v>
      </c>
      <c r="D115" t="s">
        <v>19</v>
      </c>
      <c r="E115">
        <v>120</v>
      </c>
      <c r="F115">
        <v>41</v>
      </c>
      <c r="G115">
        <v>0</v>
      </c>
      <c r="H115">
        <v>4920</v>
      </c>
      <c r="I115">
        <f>AVERAGEIFS(sales_Data[units_sold], sales_Data[product_id],sales_Data[[#This Row],[product_id]])</f>
        <v>30.473972602739725</v>
      </c>
      <c r="J115">
        <f>_xlfn.XLOOKUP(sales_Data[[#This Row],[product_id]],sales_Data[product_id],sales_Data[unit_price])</f>
        <v>120</v>
      </c>
    </row>
    <row r="116" spans="1:10" x14ac:dyDescent="0.3">
      <c r="A116" t="s">
        <v>132</v>
      </c>
      <c r="B116" s="1">
        <v>45680</v>
      </c>
      <c r="C116" t="s">
        <v>21</v>
      </c>
      <c r="D116" t="s">
        <v>22</v>
      </c>
      <c r="E116">
        <v>25</v>
      </c>
      <c r="F116">
        <v>23</v>
      </c>
      <c r="G116">
        <v>0</v>
      </c>
      <c r="H116">
        <v>575</v>
      </c>
      <c r="I116">
        <f>AVERAGEIFS(sales_Data[units_sold], sales_Data[product_id],sales_Data[[#This Row],[product_id]])</f>
        <v>29.463013698630139</v>
      </c>
      <c r="J116">
        <f>_xlfn.XLOOKUP(sales_Data[[#This Row],[product_id]],sales_Data[product_id],sales_Data[unit_price])</f>
        <v>25</v>
      </c>
    </row>
    <row r="117" spans="1:10" x14ac:dyDescent="0.3">
      <c r="A117" t="s">
        <v>133</v>
      </c>
      <c r="B117" s="1">
        <v>45681</v>
      </c>
      <c r="C117" t="s">
        <v>9</v>
      </c>
      <c r="D117" t="s">
        <v>10</v>
      </c>
      <c r="E117">
        <v>45</v>
      </c>
      <c r="F117">
        <v>9</v>
      </c>
      <c r="G117">
        <v>0</v>
      </c>
      <c r="H117">
        <v>405</v>
      </c>
      <c r="I117">
        <f>AVERAGEIFS(sales_Data[units_sold], sales_Data[product_id],sales_Data[[#This Row],[product_id]])</f>
        <v>31.479452054794521</v>
      </c>
      <c r="J117">
        <f>_xlfn.XLOOKUP(sales_Data[[#This Row],[product_id]],sales_Data[product_id],sales_Data[unit_price])</f>
        <v>45</v>
      </c>
    </row>
    <row r="118" spans="1:10" x14ac:dyDescent="0.3">
      <c r="A118" t="s">
        <v>134</v>
      </c>
      <c r="B118" s="1">
        <v>45681</v>
      </c>
      <c r="C118" t="s">
        <v>12</v>
      </c>
      <c r="D118" t="s">
        <v>13</v>
      </c>
      <c r="E118">
        <v>12.5</v>
      </c>
      <c r="F118">
        <v>44</v>
      </c>
      <c r="G118">
        <v>0</v>
      </c>
      <c r="H118">
        <v>550</v>
      </c>
      <c r="I118">
        <f>AVERAGEIFS(sales_Data[units_sold], sales_Data[product_id],sales_Data[[#This Row],[product_id]])</f>
        <v>31.794520547945204</v>
      </c>
      <c r="J118">
        <f>_xlfn.XLOOKUP(sales_Data[[#This Row],[product_id]],sales_Data[product_id],sales_Data[unit_price])</f>
        <v>12.5</v>
      </c>
    </row>
    <row r="119" spans="1:10" x14ac:dyDescent="0.3">
      <c r="A119" t="s">
        <v>135</v>
      </c>
      <c r="B119" s="1">
        <v>45681</v>
      </c>
      <c r="C119" t="s">
        <v>15</v>
      </c>
      <c r="D119" t="s">
        <v>16</v>
      </c>
      <c r="E119">
        <v>35</v>
      </c>
      <c r="F119">
        <v>49</v>
      </c>
      <c r="G119">
        <v>0</v>
      </c>
      <c r="H119">
        <v>1715</v>
      </c>
      <c r="I119">
        <f>AVERAGEIFS(sales_Data[units_sold], sales_Data[product_id],sales_Data[[#This Row],[product_id]])</f>
        <v>30.438356164383563</v>
      </c>
      <c r="J119">
        <f>_xlfn.XLOOKUP(sales_Data[[#This Row],[product_id]],sales_Data[product_id],sales_Data[unit_price])</f>
        <v>35</v>
      </c>
    </row>
    <row r="120" spans="1:10" x14ac:dyDescent="0.3">
      <c r="A120" t="s">
        <v>136</v>
      </c>
      <c r="B120" s="1">
        <v>45681</v>
      </c>
      <c r="C120" t="s">
        <v>18</v>
      </c>
      <c r="D120" t="s">
        <v>19</v>
      </c>
      <c r="E120">
        <v>120</v>
      </c>
      <c r="F120">
        <v>42</v>
      </c>
      <c r="G120">
        <v>0</v>
      </c>
      <c r="H120">
        <v>5040</v>
      </c>
      <c r="I120">
        <f>AVERAGEIFS(sales_Data[units_sold], sales_Data[product_id],sales_Data[[#This Row],[product_id]])</f>
        <v>30.473972602739725</v>
      </c>
      <c r="J120">
        <f>_xlfn.XLOOKUP(sales_Data[[#This Row],[product_id]],sales_Data[product_id],sales_Data[unit_price])</f>
        <v>120</v>
      </c>
    </row>
    <row r="121" spans="1:10" x14ac:dyDescent="0.3">
      <c r="A121" t="s">
        <v>137</v>
      </c>
      <c r="B121" s="1">
        <v>45681</v>
      </c>
      <c r="C121" t="s">
        <v>21</v>
      </c>
      <c r="D121" t="s">
        <v>22</v>
      </c>
      <c r="E121">
        <v>25</v>
      </c>
      <c r="F121">
        <v>44</v>
      </c>
      <c r="G121">
        <v>0.2</v>
      </c>
      <c r="H121">
        <v>880</v>
      </c>
      <c r="I121">
        <f>AVERAGEIFS(sales_Data[units_sold], sales_Data[product_id],sales_Data[[#This Row],[product_id]])</f>
        <v>29.463013698630139</v>
      </c>
      <c r="J121">
        <f>_xlfn.XLOOKUP(sales_Data[[#This Row],[product_id]],sales_Data[product_id],sales_Data[unit_price])</f>
        <v>25</v>
      </c>
    </row>
    <row r="122" spans="1:10" x14ac:dyDescent="0.3">
      <c r="A122" t="s">
        <v>138</v>
      </c>
      <c r="B122" s="1">
        <v>45682</v>
      </c>
      <c r="C122" t="s">
        <v>9</v>
      </c>
      <c r="D122" t="s">
        <v>10</v>
      </c>
      <c r="E122">
        <v>45</v>
      </c>
      <c r="F122">
        <v>60</v>
      </c>
      <c r="G122">
        <v>0</v>
      </c>
      <c r="H122">
        <v>2700</v>
      </c>
      <c r="I122">
        <f>AVERAGEIFS(sales_Data[units_sold], sales_Data[product_id],sales_Data[[#This Row],[product_id]])</f>
        <v>31.479452054794521</v>
      </c>
      <c r="J122">
        <f>_xlfn.XLOOKUP(sales_Data[[#This Row],[product_id]],sales_Data[product_id],sales_Data[unit_price])</f>
        <v>45</v>
      </c>
    </row>
    <row r="123" spans="1:10" x14ac:dyDescent="0.3">
      <c r="A123" t="s">
        <v>139</v>
      </c>
      <c r="B123" s="1">
        <v>45682</v>
      </c>
      <c r="C123" t="s">
        <v>12</v>
      </c>
      <c r="D123" t="s">
        <v>13</v>
      </c>
      <c r="E123">
        <v>12.5</v>
      </c>
      <c r="F123">
        <v>36</v>
      </c>
      <c r="G123">
        <v>0</v>
      </c>
      <c r="H123">
        <v>450</v>
      </c>
      <c r="I123">
        <f>AVERAGEIFS(sales_Data[units_sold], sales_Data[product_id],sales_Data[[#This Row],[product_id]])</f>
        <v>31.794520547945204</v>
      </c>
      <c r="J123">
        <f>_xlfn.XLOOKUP(sales_Data[[#This Row],[product_id]],sales_Data[product_id],sales_Data[unit_price])</f>
        <v>12.5</v>
      </c>
    </row>
    <row r="124" spans="1:10" x14ac:dyDescent="0.3">
      <c r="A124" t="s">
        <v>140</v>
      </c>
      <c r="B124" s="1">
        <v>45682</v>
      </c>
      <c r="C124" t="s">
        <v>15</v>
      </c>
      <c r="D124" t="s">
        <v>16</v>
      </c>
      <c r="E124">
        <v>35</v>
      </c>
      <c r="F124">
        <v>72</v>
      </c>
      <c r="G124">
        <v>0</v>
      </c>
      <c r="H124">
        <v>2520</v>
      </c>
      <c r="I124">
        <f>AVERAGEIFS(sales_Data[units_sold], sales_Data[product_id],sales_Data[[#This Row],[product_id]])</f>
        <v>30.438356164383563</v>
      </c>
      <c r="J124">
        <f>_xlfn.XLOOKUP(sales_Data[[#This Row],[product_id]],sales_Data[product_id],sales_Data[unit_price])</f>
        <v>35</v>
      </c>
    </row>
    <row r="125" spans="1:10" x14ac:dyDescent="0.3">
      <c r="A125" t="s">
        <v>141</v>
      </c>
      <c r="B125" s="1">
        <v>45682</v>
      </c>
      <c r="C125" t="s">
        <v>18</v>
      </c>
      <c r="D125" t="s">
        <v>19</v>
      </c>
      <c r="E125">
        <v>120</v>
      </c>
      <c r="F125">
        <v>37</v>
      </c>
      <c r="G125">
        <v>0.2</v>
      </c>
      <c r="H125">
        <v>3552</v>
      </c>
      <c r="I125">
        <f>AVERAGEIFS(sales_Data[units_sold], sales_Data[product_id],sales_Data[[#This Row],[product_id]])</f>
        <v>30.473972602739725</v>
      </c>
      <c r="J125">
        <f>_xlfn.XLOOKUP(sales_Data[[#This Row],[product_id]],sales_Data[product_id],sales_Data[unit_price])</f>
        <v>120</v>
      </c>
    </row>
    <row r="126" spans="1:10" x14ac:dyDescent="0.3">
      <c r="A126" t="s">
        <v>142</v>
      </c>
      <c r="B126" s="1">
        <v>45682</v>
      </c>
      <c r="C126" t="s">
        <v>21</v>
      </c>
      <c r="D126" t="s">
        <v>22</v>
      </c>
      <c r="E126">
        <v>25</v>
      </c>
      <c r="F126">
        <v>64</v>
      </c>
      <c r="G126">
        <v>0</v>
      </c>
      <c r="H126">
        <v>1600</v>
      </c>
      <c r="I126">
        <f>AVERAGEIFS(sales_Data[units_sold], sales_Data[product_id],sales_Data[[#This Row],[product_id]])</f>
        <v>29.463013698630139</v>
      </c>
      <c r="J126">
        <f>_xlfn.XLOOKUP(sales_Data[[#This Row],[product_id]],sales_Data[product_id],sales_Data[unit_price])</f>
        <v>25</v>
      </c>
    </row>
    <row r="127" spans="1:10" x14ac:dyDescent="0.3">
      <c r="A127" t="s">
        <v>143</v>
      </c>
      <c r="B127" s="1">
        <v>45683</v>
      </c>
      <c r="C127" t="s">
        <v>9</v>
      </c>
      <c r="D127" t="s">
        <v>10</v>
      </c>
      <c r="E127">
        <v>45</v>
      </c>
      <c r="F127">
        <v>57</v>
      </c>
      <c r="G127">
        <v>0</v>
      </c>
      <c r="H127">
        <v>2565</v>
      </c>
      <c r="I127">
        <f>AVERAGEIFS(sales_Data[units_sold], sales_Data[product_id],sales_Data[[#This Row],[product_id]])</f>
        <v>31.479452054794521</v>
      </c>
      <c r="J127">
        <f>_xlfn.XLOOKUP(sales_Data[[#This Row],[product_id]],sales_Data[product_id],sales_Data[unit_price])</f>
        <v>45</v>
      </c>
    </row>
    <row r="128" spans="1:10" x14ac:dyDescent="0.3">
      <c r="A128" t="s">
        <v>144</v>
      </c>
      <c r="B128" s="1">
        <v>45683</v>
      </c>
      <c r="C128" t="s">
        <v>12</v>
      </c>
      <c r="D128" t="s">
        <v>13</v>
      </c>
      <c r="E128">
        <v>12.5</v>
      </c>
      <c r="F128">
        <v>57</v>
      </c>
      <c r="G128">
        <v>0</v>
      </c>
      <c r="H128">
        <v>712.5</v>
      </c>
      <c r="I128">
        <f>AVERAGEIFS(sales_Data[units_sold], sales_Data[product_id],sales_Data[[#This Row],[product_id]])</f>
        <v>31.794520547945204</v>
      </c>
      <c r="J128">
        <f>_xlfn.XLOOKUP(sales_Data[[#This Row],[product_id]],sales_Data[product_id],sales_Data[unit_price])</f>
        <v>12.5</v>
      </c>
    </row>
    <row r="129" spans="1:10" x14ac:dyDescent="0.3">
      <c r="A129" t="s">
        <v>145</v>
      </c>
      <c r="B129" s="1">
        <v>45683</v>
      </c>
      <c r="C129" t="s">
        <v>15</v>
      </c>
      <c r="D129" t="s">
        <v>16</v>
      </c>
      <c r="E129">
        <v>35</v>
      </c>
      <c r="F129">
        <v>46</v>
      </c>
      <c r="G129">
        <v>0</v>
      </c>
      <c r="H129">
        <v>1610</v>
      </c>
      <c r="I129">
        <f>AVERAGEIFS(sales_Data[units_sold], sales_Data[product_id],sales_Data[[#This Row],[product_id]])</f>
        <v>30.438356164383563</v>
      </c>
      <c r="J129">
        <f>_xlfn.XLOOKUP(sales_Data[[#This Row],[product_id]],sales_Data[product_id],sales_Data[unit_price])</f>
        <v>35</v>
      </c>
    </row>
    <row r="130" spans="1:10" x14ac:dyDescent="0.3">
      <c r="A130" t="s">
        <v>146</v>
      </c>
      <c r="B130" s="1">
        <v>45683</v>
      </c>
      <c r="C130" t="s">
        <v>18</v>
      </c>
      <c r="D130" t="s">
        <v>19</v>
      </c>
      <c r="E130">
        <v>120</v>
      </c>
      <c r="F130">
        <v>24</v>
      </c>
      <c r="G130">
        <v>0.1</v>
      </c>
      <c r="H130">
        <v>2592</v>
      </c>
      <c r="I130">
        <f>AVERAGEIFS(sales_Data[units_sold], sales_Data[product_id],sales_Data[[#This Row],[product_id]])</f>
        <v>30.473972602739725</v>
      </c>
      <c r="J130">
        <f>_xlfn.XLOOKUP(sales_Data[[#This Row],[product_id]],sales_Data[product_id],sales_Data[unit_price])</f>
        <v>120</v>
      </c>
    </row>
    <row r="131" spans="1:10" x14ac:dyDescent="0.3">
      <c r="A131" t="s">
        <v>147</v>
      </c>
      <c r="B131" s="1">
        <v>45683</v>
      </c>
      <c r="C131" t="s">
        <v>21</v>
      </c>
      <c r="D131" t="s">
        <v>22</v>
      </c>
      <c r="E131">
        <v>25</v>
      </c>
      <c r="F131">
        <v>13</v>
      </c>
      <c r="G131">
        <v>0</v>
      </c>
      <c r="H131">
        <v>325</v>
      </c>
      <c r="I131">
        <f>AVERAGEIFS(sales_Data[units_sold], sales_Data[product_id],sales_Data[[#This Row],[product_id]])</f>
        <v>29.463013698630139</v>
      </c>
      <c r="J131">
        <f>_xlfn.XLOOKUP(sales_Data[[#This Row],[product_id]],sales_Data[product_id],sales_Data[unit_price])</f>
        <v>25</v>
      </c>
    </row>
    <row r="132" spans="1:10" x14ac:dyDescent="0.3">
      <c r="A132" t="s">
        <v>148</v>
      </c>
      <c r="B132" s="1">
        <v>45684</v>
      </c>
      <c r="C132" t="s">
        <v>9</v>
      </c>
      <c r="D132" t="s">
        <v>10</v>
      </c>
      <c r="E132">
        <v>45</v>
      </c>
      <c r="F132">
        <v>12</v>
      </c>
      <c r="G132">
        <v>0.1</v>
      </c>
      <c r="H132">
        <v>486</v>
      </c>
      <c r="I132">
        <f>AVERAGEIFS(sales_Data[units_sold], sales_Data[product_id],sales_Data[[#This Row],[product_id]])</f>
        <v>31.479452054794521</v>
      </c>
      <c r="J132">
        <f>_xlfn.XLOOKUP(sales_Data[[#This Row],[product_id]],sales_Data[product_id],sales_Data[unit_price])</f>
        <v>45</v>
      </c>
    </row>
    <row r="133" spans="1:10" x14ac:dyDescent="0.3">
      <c r="A133" t="s">
        <v>149</v>
      </c>
      <c r="B133" s="1">
        <v>45684</v>
      </c>
      <c r="C133" t="s">
        <v>12</v>
      </c>
      <c r="D133" t="s">
        <v>13</v>
      </c>
      <c r="E133">
        <v>12.5</v>
      </c>
      <c r="F133">
        <v>28</v>
      </c>
      <c r="G133">
        <v>0.1</v>
      </c>
      <c r="H133">
        <v>315</v>
      </c>
      <c r="I133">
        <f>AVERAGEIFS(sales_Data[units_sold], sales_Data[product_id],sales_Data[[#This Row],[product_id]])</f>
        <v>31.794520547945204</v>
      </c>
      <c r="J133">
        <f>_xlfn.XLOOKUP(sales_Data[[#This Row],[product_id]],sales_Data[product_id],sales_Data[unit_price])</f>
        <v>12.5</v>
      </c>
    </row>
    <row r="134" spans="1:10" x14ac:dyDescent="0.3">
      <c r="A134" t="s">
        <v>150</v>
      </c>
      <c r="B134" s="1">
        <v>45684</v>
      </c>
      <c r="C134" t="s">
        <v>15</v>
      </c>
      <c r="D134" t="s">
        <v>16</v>
      </c>
      <c r="E134">
        <v>35</v>
      </c>
      <c r="F134">
        <v>14</v>
      </c>
      <c r="G134">
        <v>0</v>
      </c>
      <c r="H134">
        <v>490</v>
      </c>
      <c r="I134">
        <f>AVERAGEIFS(sales_Data[units_sold], sales_Data[product_id],sales_Data[[#This Row],[product_id]])</f>
        <v>30.438356164383563</v>
      </c>
      <c r="J134">
        <f>_xlfn.XLOOKUP(sales_Data[[#This Row],[product_id]],sales_Data[product_id],sales_Data[unit_price])</f>
        <v>35</v>
      </c>
    </row>
    <row r="135" spans="1:10" x14ac:dyDescent="0.3">
      <c r="A135" t="s">
        <v>151</v>
      </c>
      <c r="B135" s="1">
        <v>45684</v>
      </c>
      <c r="C135" t="s">
        <v>18</v>
      </c>
      <c r="D135" t="s">
        <v>19</v>
      </c>
      <c r="E135">
        <v>120</v>
      </c>
      <c r="F135">
        <v>46</v>
      </c>
      <c r="G135">
        <v>0</v>
      </c>
      <c r="H135">
        <v>5520</v>
      </c>
      <c r="I135">
        <f>AVERAGEIFS(sales_Data[units_sold], sales_Data[product_id],sales_Data[[#This Row],[product_id]])</f>
        <v>30.473972602739725</v>
      </c>
      <c r="J135">
        <f>_xlfn.XLOOKUP(sales_Data[[#This Row],[product_id]],sales_Data[product_id],sales_Data[unit_price])</f>
        <v>120</v>
      </c>
    </row>
    <row r="136" spans="1:10" x14ac:dyDescent="0.3">
      <c r="A136" t="s">
        <v>152</v>
      </c>
      <c r="B136" s="1">
        <v>45684</v>
      </c>
      <c r="C136" t="s">
        <v>21</v>
      </c>
      <c r="D136" t="s">
        <v>22</v>
      </c>
      <c r="E136">
        <v>25</v>
      </c>
      <c r="F136">
        <v>27</v>
      </c>
      <c r="G136">
        <v>0.1</v>
      </c>
      <c r="H136">
        <v>607.5</v>
      </c>
      <c r="I136">
        <f>AVERAGEIFS(sales_Data[units_sold], sales_Data[product_id],sales_Data[[#This Row],[product_id]])</f>
        <v>29.463013698630139</v>
      </c>
      <c r="J136">
        <f>_xlfn.XLOOKUP(sales_Data[[#This Row],[product_id]],sales_Data[product_id],sales_Data[unit_price])</f>
        <v>25</v>
      </c>
    </row>
    <row r="137" spans="1:10" x14ac:dyDescent="0.3">
      <c r="A137" t="s">
        <v>153</v>
      </c>
      <c r="B137" s="1">
        <v>45685</v>
      </c>
      <c r="C137" t="s">
        <v>9</v>
      </c>
      <c r="D137" t="s">
        <v>10</v>
      </c>
      <c r="E137">
        <v>45</v>
      </c>
      <c r="F137">
        <v>5</v>
      </c>
      <c r="G137">
        <v>0</v>
      </c>
      <c r="H137">
        <v>225</v>
      </c>
      <c r="I137">
        <f>AVERAGEIFS(sales_Data[units_sold], sales_Data[product_id],sales_Data[[#This Row],[product_id]])</f>
        <v>31.479452054794521</v>
      </c>
      <c r="J137">
        <f>_xlfn.XLOOKUP(sales_Data[[#This Row],[product_id]],sales_Data[product_id],sales_Data[unit_price])</f>
        <v>45</v>
      </c>
    </row>
    <row r="138" spans="1:10" x14ac:dyDescent="0.3">
      <c r="A138" t="s">
        <v>154</v>
      </c>
      <c r="B138" s="1">
        <v>45685</v>
      </c>
      <c r="C138" t="s">
        <v>12</v>
      </c>
      <c r="D138" t="s">
        <v>13</v>
      </c>
      <c r="E138">
        <v>12.5</v>
      </c>
      <c r="F138">
        <v>31</v>
      </c>
      <c r="G138">
        <v>0</v>
      </c>
      <c r="H138">
        <v>387.5</v>
      </c>
      <c r="I138">
        <f>AVERAGEIFS(sales_Data[units_sold], sales_Data[product_id],sales_Data[[#This Row],[product_id]])</f>
        <v>31.794520547945204</v>
      </c>
      <c r="J138">
        <f>_xlfn.XLOOKUP(sales_Data[[#This Row],[product_id]],sales_Data[product_id],sales_Data[unit_price])</f>
        <v>12.5</v>
      </c>
    </row>
    <row r="139" spans="1:10" x14ac:dyDescent="0.3">
      <c r="A139" t="s">
        <v>155</v>
      </c>
      <c r="B139" s="1">
        <v>45685</v>
      </c>
      <c r="C139" t="s">
        <v>15</v>
      </c>
      <c r="D139" t="s">
        <v>16</v>
      </c>
      <c r="E139">
        <v>35</v>
      </c>
      <c r="F139">
        <v>28</v>
      </c>
      <c r="G139">
        <v>0</v>
      </c>
      <c r="H139">
        <v>980</v>
      </c>
      <c r="I139">
        <f>AVERAGEIFS(sales_Data[units_sold], sales_Data[product_id],sales_Data[[#This Row],[product_id]])</f>
        <v>30.438356164383563</v>
      </c>
      <c r="J139">
        <f>_xlfn.XLOOKUP(sales_Data[[#This Row],[product_id]],sales_Data[product_id],sales_Data[unit_price])</f>
        <v>35</v>
      </c>
    </row>
    <row r="140" spans="1:10" x14ac:dyDescent="0.3">
      <c r="A140" t="s">
        <v>156</v>
      </c>
      <c r="B140" s="1">
        <v>45685</v>
      </c>
      <c r="C140" t="s">
        <v>18</v>
      </c>
      <c r="D140" t="s">
        <v>19</v>
      </c>
      <c r="E140">
        <v>120</v>
      </c>
      <c r="F140">
        <v>11</v>
      </c>
      <c r="G140">
        <v>0.1</v>
      </c>
      <c r="H140">
        <v>1188</v>
      </c>
      <c r="I140">
        <f>AVERAGEIFS(sales_Data[units_sold], sales_Data[product_id],sales_Data[[#This Row],[product_id]])</f>
        <v>30.473972602739725</v>
      </c>
      <c r="J140">
        <f>_xlfn.XLOOKUP(sales_Data[[#This Row],[product_id]],sales_Data[product_id],sales_Data[unit_price])</f>
        <v>120</v>
      </c>
    </row>
    <row r="141" spans="1:10" x14ac:dyDescent="0.3">
      <c r="A141" t="s">
        <v>157</v>
      </c>
      <c r="B141" s="1">
        <v>45685</v>
      </c>
      <c r="C141" t="s">
        <v>21</v>
      </c>
      <c r="D141" t="s">
        <v>22</v>
      </c>
      <c r="E141">
        <v>25</v>
      </c>
      <c r="F141">
        <v>46</v>
      </c>
      <c r="G141">
        <v>0.2</v>
      </c>
      <c r="H141">
        <v>920</v>
      </c>
      <c r="I141">
        <f>AVERAGEIFS(sales_Data[units_sold], sales_Data[product_id],sales_Data[[#This Row],[product_id]])</f>
        <v>29.463013698630139</v>
      </c>
      <c r="J141">
        <f>_xlfn.XLOOKUP(sales_Data[[#This Row],[product_id]],sales_Data[product_id],sales_Data[unit_price])</f>
        <v>25</v>
      </c>
    </row>
    <row r="142" spans="1:10" x14ac:dyDescent="0.3">
      <c r="A142" t="s">
        <v>158</v>
      </c>
      <c r="B142" s="1">
        <v>45686</v>
      </c>
      <c r="C142" t="s">
        <v>9</v>
      </c>
      <c r="D142" t="s">
        <v>10</v>
      </c>
      <c r="E142">
        <v>45</v>
      </c>
      <c r="F142">
        <v>6</v>
      </c>
      <c r="G142">
        <v>0.2</v>
      </c>
      <c r="H142">
        <v>216</v>
      </c>
      <c r="I142">
        <f>AVERAGEIFS(sales_Data[units_sold], sales_Data[product_id],sales_Data[[#This Row],[product_id]])</f>
        <v>31.479452054794521</v>
      </c>
      <c r="J142">
        <f>_xlfn.XLOOKUP(sales_Data[[#This Row],[product_id]],sales_Data[product_id],sales_Data[unit_price])</f>
        <v>45</v>
      </c>
    </row>
    <row r="143" spans="1:10" x14ac:dyDescent="0.3">
      <c r="A143" t="s">
        <v>159</v>
      </c>
      <c r="B143" s="1">
        <v>45686</v>
      </c>
      <c r="C143" t="s">
        <v>12</v>
      </c>
      <c r="D143" t="s">
        <v>13</v>
      </c>
      <c r="E143">
        <v>12.5</v>
      </c>
      <c r="F143">
        <v>46</v>
      </c>
      <c r="G143">
        <v>0</v>
      </c>
      <c r="H143">
        <v>575</v>
      </c>
      <c r="I143">
        <f>AVERAGEIFS(sales_Data[units_sold], sales_Data[product_id],sales_Data[[#This Row],[product_id]])</f>
        <v>31.794520547945204</v>
      </c>
      <c r="J143">
        <f>_xlfn.XLOOKUP(sales_Data[[#This Row],[product_id]],sales_Data[product_id],sales_Data[unit_price])</f>
        <v>12.5</v>
      </c>
    </row>
    <row r="144" spans="1:10" x14ac:dyDescent="0.3">
      <c r="A144" t="s">
        <v>160</v>
      </c>
      <c r="B144" s="1">
        <v>45686</v>
      </c>
      <c r="C144" t="s">
        <v>15</v>
      </c>
      <c r="D144" t="s">
        <v>16</v>
      </c>
      <c r="E144">
        <v>35</v>
      </c>
      <c r="F144">
        <v>6</v>
      </c>
      <c r="G144">
        <v>0</v>
      </c>
      <c r="H144">
        <v>210</v>
      </c>
      <c r="I144">
        <f>AVERAGEIFS(sales_Data[units_sold], sales_Data[product_id],sales_Data[[#This Row],[product_id]])</f>
        <v>30.438356164383563</v>
      </c>
      <c r="J144">
        <f>_xlfn.XLOOKUP(sales_Data[[#This Row],[product_id]],sales_Data[product_id],sales_Data[unit_price])</f>
        <v>35</v>
      </c>
    </row>
    <row r="145" spans="1:10" x14ac:dyDescent="0.3">
      <c r="A145" t="s">
        <v>161</v>
      </c>
      <c r="B145" s="1">
        <v>45686</v>
      </c>
      <c r="C145" t="s">
        <v>18</v>
      </c>
      <c r="D145" t="s">
        <v>19</v>
      </c>
      <c r="E145">
        <v>120</v>
      </c>
      <c r="F145">
        <v>47</v>
      </c>
      <c r="G145">
        <v>0.2</v>
      </c>
      <c r="H145">
        <v>4512</v>
      </c>
      <c r="I145">
        <f>AVERAGEIFS(sales_Data[units_sold], sales_Data[product_id],sales_Data[[#This Row],[product_id]])</f>
        <v>30.473972602739725</v>
      </c>
      <c r="J145">
        <f>_xlfn.XLOOKUP(sales_Data[[#This Row],[product_id]],sales_Data[product_id],sales_Data[unit_price])</f>
        <v>120</v>
      </c>
    </row>
    <row r="146" spans="1:10" x14ac:dyDescent="0.3">
      <c r="A146" t="s">
        <v>162</v>
      </c>
      <c r="B146" s="1">
        <v>45686</v>
      </c>
      <c r="C146" t="s">
        <v>21</v>
      </c>
      <c r="D146" t="s">
        <v>22</v>
      </c>
      <c r="E146">
        <v>25</v>
      </c>
      <c r="F146">
        <v>44</v>
      </c>
      <c r="G146">
        <v>0</v>
      </c>
      <c r="H146">
        <v>1100</v>
      </c>
      <c r="I146">
        <f>AVERAGEIFS(sales_Data[units_sold], sales_Data[product_id],sales_Data[[#This Row],[product_id]])</f>
        <v>29.463013698630139</v>
      </c>
      <c r="J146">
        <f>_xlfn.XLOOKUP(sales_Data[[#This Row],[product_id]],sales_Data[product_id],sales_Data[unit_price])</f>
        <v>25</v>
      </c>
    </row>
    <row r="147" spans="1:10" x14ac:dyDescent="0.3">
      <c r="A147" t="s">
        <v>163</v>
      </c>
      <c r="B147" s="1">
        <v>45687</v>
      </c>
      <c r="C147" t="s">
        <v>9</v>
      </c>
      <c r="D147" t="s">
        <v>10</v>
      </c>
      <c r="E147">
        <v>45</v>
      </c>
      <c r="F147">
        <v>42</v>
      </c>
      <c r="G147">
        <v>0</v>
      </c>
      <c r="H147">
        <v>1890</v>
      </c>
      <c r="I147">
        <f>AVERAGEIFS(sales_Data[units_sold], sales_Data[product_id],sales_Data[[#This Row],[product_id]])</f>
        <v>31.479452054794521</v>
      </c>
      <c r="J147">
        <f>_xlfn.XLOOKUP(sales_Data[[#This Row],[product_id]],sales_Data[product_id],sales_Data[unit_price])</f>
        <v>45</v>
      </c>
    </row>
    <row r="148" spans="1:10" x14ac:dyDescent="0.3">
      <c r="A148" t="s">
        <v>164</v>
      </c>
      <c r="B148" s="1">
        <v>45687</v>
      </c>
      <c r="C148" t="s">
        <v>12</v>
      </c>
      <c r="D148" t="s">
        <v>13</v>
      </c>
      <c r="E148">
        <v>12.5</v>
      </c>
      <c r="F148">
        <v>23</v>
      </c>
      <c r="G148">
        <v>0.2</v>
      </c>
      <c r="H148">
        <v>230</v>
      </c>
      <c r="I148">
        <f>AVERAGEIFS(sales_Data[units_sold], sales_Data[product_id],sales_Data[[#This Row],[product_id]])</f>
        <v>31.794520547945204</v>
      </c>
      <c r="J148">
        <f>_xlfn.XLOOKUP(sales_Data[[#This Row],[product_id]],sales_Data[product_id],sales_Data[unit_price])</f>
        <v>12.5</v>
      </c>
    </row>
    <row r="149" spans="1:10" x14ac:dyDescent="0.3">
      <c r="A149" t="s">
        <v>165</v>
      </c>
      <c r="B149" s="1">
        <v>45687</v>
      </c>
      <c r="C149" t="s">
        <v>15</v>
      </c>
      <c r="D149" t="s">
        <v>16</v>
      </c>
      <c r="E149">
        <v>35</v>
      </c>
      <c r="F149">
        <v>29</v>
      </c>
      <c r="G149">
        <v>0</v>
      </c>
      <c r="H149">
        <v>1015</v>
      </c>
      <c r="I149">
        <f>AVERAGEIFS(sales_Data[units_sold], sales_Data[product_id],sales_Data[[#This Row],[product_id]])</f>
        <v>30.438356164383563</v>
      </c>
      <c r="J149">
        <f>_xlfn.XLOOKUP(sales_Data[[#This Row],[product_id]],sales_Data[product_id],sales_Data[unit_price])</f>
        <v>35</v>
      </c>
    </row>
    <row r="150" spans="1:10" x14ac:dyDescent="0.3">
      <c r="A150" t="s">
        <v>166</v>
      </c>
      <c r="B150" s="1">
        <v>45687</v>
      </c>
      <c r="C150" t="s">
        <v>18</v>
      </c>
      <c r="D150" t="s">
        <v>19</v>
      </c>
      <c r="E150">
        <v>120</v>
      </c>
      <c r="F150">
        <v>42</v>
      </c>
      <c r="G150">
        <v>0</v>
      </c>
      <c r="H150">
        <v>5040</v>
      </c>
      <c r="I150">
        <f>AVERAGEIFS(sales_Data[units_sold], sales_Data[product_id],sales_Data[[#This Row],[product_id]])</f>
        <v>30.473972602739725</v>
      </c>
      <c r="J150">
        <f>_xlfn.XLOOKUP(sales_Data[[#This Row],[product_id]],sales_Data[product_id],sales_Data[unit_price])</f>
        <v>120</v>
      </c>
    </row>
    <row r="151" spans="1:10" x14ac:dyDescent="0.3">
      <c r="A151" t="s">
        <v>167</v>
      </c>
      <c r="B151" s="1">
        <v>45687</v>
      </c>
      <c r="C151" t="s">
        <v>21</v>
      </c>
      <c r="D151" t="s">
        <v>22</v>
      </c>
      <c r="E151">
        <v>25</v>
      </c>
      <c r="F151">
        <v>27</v>
      </c>
      <c r="G151">
        <v>0</v>
      </c>
      <c r="H151">
        <v>675</v>
      </c>
      <c r="I151">
        <f>AVERAGEIFS(sales_Data[units_sold], sales_Data[product_id],sales_Data[[#This Row],[product_id]])</f>
        <v>29.463013698630139</v>
      </c>
      <c r="J151">
        <f>_xlfn.XLOOKUP(sales_Data[[#This Row],[product_id]],sales_Data[product_id],sales_Data[unit_price])</f>
        <v>25</v>
      </c>
    </row>
    <row r="152" spans="1:10" x14ac:dyDescent="0.3">
      <c r="A152" t="s">
        <v>168</v>
      </c>
      <c r="B152" s="1">
        <v>45688</v>
      </c>
      <c r="C152" t="s">
        <v>9</v>
      </c>
      <c r="D152" t="s">
        <v>10</v>
      </c>
      <c r="E152">
        <v>45</v>
      </c>
      <c r="F152">
        <v>24</v>
      </c>
      <c r="G152">
        <v>0</v>
      </c>
      <c r="H152">
        <v>1080</v>
      </c>
      <c r="I152">
        <f>AVERAGEIFS(sales_Data[units_sold], sales_Data[product_id],sales_Data[[#This Row],[product_id]])</f>
        <v>31.479452054794521</v>
      </c>
      <c r="J152">
        <f>_xlfn.XLOOKUP(sales_Data[[#This Row],[product_id]],sales_Data[product_id],sales_Data[unit_price])</f>
        <v>45</v>
      </c>
    </row>
    <row r="153" spans="1:10" x14ac:dyDescent="0.3">
      <c r="A153" t="s">
        <v>169</v>
      </c>
      <c r="B153" s="1">
        <v>45688</v>
      </c>
      <c r="C153" t="s">
        <v>12</v>
      </c>
      <c r="D153" t="s">
        <v>13</v>
      </c>
      <c r="E153">
        <v>12.5</v>
      </c>
      <c r="F153">
        <v>25</v>
      </c>
      <c r="G153">
        <v>0.2</v>
      </c>
      <c r="H153">
        <v>250</v>
      </c>
      <c r="I153">
        <f>AVERAGEIFS(sales_Data[units_sold], sales_Data[product_id],sales_Data[[#This Row],[product_id]])</f>
        <v>31.794520547945204</v>
      </c>
      <c r="J153">
        <f>_xlfn.XLOOKUP(sales_Data[[#This Row],[product_id]],sales_Data[product_id],sales_Data[unit_price])</f>
        <v>12.5</v>
      </c>
    </row>
    <row r="154" spans="1:10" x14ac:dyDescent="0.3">
      <c r="A154" t="s">
        <v>170</v>
      </c>
      <c r="B154" s="1">
        <v>45688</v>
      </c>
      <c r="C154" t="s">
        <v>15</v>
      </c>
      <c r="D154" t="s">
        <v>16</v>
      </c>
      <c r="E154">
        <v>35</v>
      </c>
      <c r="F154">
        <v>13</v>
      </c>
      <c r="G154">
        <v>0</v>
      </c>
      <c r="H154">
        <v>455</v>
      </c>
      <c r="I154">
        <f>AVERAGEIFS(sales_Data[units_sold], sales_Data[product_id],sales_Data[[#This Row],[product_id]])</f>
        <v>30.438356164383563</v>
      </c>
      <c r="J154">
        <f>_xlfn.XLOOKUP(sales_Data[[#This Row],[product_id]],sales_Data[product_id],sales_Data[unit_price])</f>
        <v>35</v>
      </c>
    </row>
    <row r="155" spans="1:10" x14ac:dyDescent="0.3">
      <c r="A155" t="s">
        <v>171</v>
      </c>
      <c r="B155" s="1">
        <v>45688</v>
      </c>
      <c r="C155" t="s">
        <v>18</v>
      </c>
      <c r="D155" t="s">
        <v>19</v>
      </c>
      <c r="E155">
        <v>120</v>
      </c>
      <c r="F155">
        <v>21</v>
      </c>
      <c r="G155">
        <v>0</v>
      </c>
      <c r="H155">
        <v>2520</v>
      </c>
      <c r="I155">
        <f>AVERAGEIFS(sales_Data[units_sold], sales_Data[product_id],sales_Data[[#This Row],[product_id]])</f>
        <v>30.473972602739725</v>
      </c>
      <c r="J155">
        <f>_xlfn.XLOOKUP(sales_Data[[#This Row],[product_id]],sales_Data[product_id],sales_Data[unit_price])</f>
        <v>120</v>
      </c>
    </row>
    <row r="156" spans="1:10" x14ac:dyDescent="0.3">
      <c r="A156" t="s">
        <v>172</v>
      </c>
      <c r="B156" s="1">
        <v>45688</v>
      </c>
      <c r="C156" t="s">
        <v>21</v>
      </c>
      <c r="D156" t="s">
        <v>22</v>
      </c>
      <c r="E156">
        <v>25</v>
      </c>
      <c r="F156">
        <v>26</v>
      </c>
      <c r="G156">
        <v>0.2</v>
      </c>
      <c r="H156">
        <v>520</v>
      </c>
      <c r="I156">
        <f>AVERAGEIFS(sales_Data[units_sold], sales_Data[product_id],sales_Data[[#This Row],[product_id]])</f>
        <v>29.463013698630139</v>
      </c>
      <c r="J156">
        <f>_xlfn.XLOOKUP(sales_Data[[#This Row],[product_id]],sales_Data[product_id],sales_Data[unit_price])</f>
        <v>25</v>
      </c>
    </row>
    <row r="157" spans="1:10" x14ac:dyDescent="0.3">
      <c r="A157" t="s">
        <v>173</v>
      </c>
      <c r="B157" s="1">
        <v>45689</v>
      </c>
      <c r="C157" t="s">
        <v>9</v>
      </c>
      <c r="D157" t="s">
        <v>10</v>
      </c>
      <c r="E157">
        <v>45</v>
      </c>
      <c r="F157">
        <v>30</v>
      </c>
      <c r="G157">
        <v>0</v>
      </c>
      <c r="H157">
        <v>1350</v>
      </c>
      <c r="I157">
        <f>AVERAGEIFS(sales_Data[units_sold], sales_Data[product_id],sales_Data[[#This Row],[product_id]])</f>
        <v>31.479452054794521</v>
      </c>
      <c r="J157">
        <f>_xlfn.XLOOKUP(sales_Data[[#This Row],[product_id]],sales_Data[product_id],sales_Data[unit_price])</f>
        <v>45</v>
      </c>
    </row>
    <row r="158" spans="1:10" x14ac:dyDescent="0.3">
      <c r="A158" t="s">
        <v>174</v>
      </c>
      <c r="B158" s="1">
        <v>45689</v>
      </c>
      <c r="C158" t="s">
        <v>12</v>
      </c>
      <c r="D158" t="s">
        <v>13</v>
      </c>
      <c r="E158">
        <v>12.5</v>
      </c>
      <c r="F158">
        <v>58</v>
      </c>
      <c r="G158">
        <v>0</v>
      </c>
      <c r="H158">
        <v>725</v>
      </c>
      <c r="I158">
        <f>AVERAGEIFS(sales_Data[units_sold], sales_Data[product_id],sales_Data[[#This Row],[product_id]])</f>
        <v>31.794520547945204</v>
      </c>
      <c r="J158">
        <f>_xlfn.XLOOKUP(sales_Data[[#This Row],[product_id]],sales_Data[product_id],sales_Data[unit_price])</f>
        <v>12.5</v>
      </c>
    </row>
    <row r="159" spans="1:10" x14ac:dyDescent="0.3">
      <c r="A159" t="s">
        <v>175</v>
      </c>
      <c r="B159" s="1">
        <v>45689</v>
      </c>
      <c r="C159" t="s">
        <v>15</v>
      </c>
      <c r="D159" t="s">
        <v>16</v>
      </c>
      <c r="E159">
        <v>35</v>
      </c>
      <c r="F159">
        <v>7</v>
      </c>
      <c r="G159">
        <v>0</v>
      </c>
      <c r="H159">
        <v>245</v>
      </c>
      <c r="I159">
        <f>AVERAGEIFS(sales_Data[units_sold], sales_Data[product_id],sales_Data[[#This Row],[product_id]])</f>
        <v>30.438356164383563</v>
      </c>
      <c r="J159">
        <f>_xlfn.XLOOKUP(sales_Data[[#This Row],[product_id]],sales_Data[product_id],sales_Data[unit_price])</f>
        <v>35</v>
      </c>
    </row>
    <row r="160" spans="1:10" x14ac:dyDescent="0.3">
      <c r="A160" t="s">
        <v>176</v>
      </c>
      <c r="B160" s="1">
        <v>45689</v>
      </c>
      <c r="C160" t="s">
        <v>18</v>
      </c>
      <c r="D160" t="s">
        <v>19</v>
      </c>
      <c r="E160">
        <v>120</v>
      </c>
      <c r="F160">
        <v>57</v>
      </c>
      <c r="G160">
        <v>0</v>
      </c>
      <c r="H160">
        <v>6840</v>
      </c>
      <c r="I160">
        <f>AVERAGEIFS(sales_Data[units_sold], sales_Data[product_id],sales_Data[[#This Row],[product_id]])</f>
        <v>30.473972602739725</v>
      </c>
      <c r="J160">
        <f>_xlfn.XLOOKUP(sales_Data[[#This Row],[product_id]],sales_Data[product_id],sales_Data[unit_price])</f>
        <v>120</v>
      </c>
    </row>
    <row r="161" spans="1:10" x14ac:dyDescent="0.3">
      <c r="A161" t="s">
        <v>177</v>
      </c>
      <c r="B161" s="1">
        <v>45689</v>
      </c>
      <c r="C161" t="s">
        <v>21</v>
      </c>
      <c r="D161" t="s">
        <v>22</v>
      </c>
      <c r="E161">
        <v>25</v>
      </c>
      <c r="F161">
        <v>33</v>
      </c>
      <c r="G161">
        <v>0</v>
      </c>
      <c r="H161">
        <v>825</v>
      </c>
      <c r="I161">
        <f>AVERAGEIFS(sales_Data[units_sold], sales_Data[product_id],sales_Data[[#This Row],[product_id]])</f>
        <v>29.463013698630139</v>
      </c>
      <c r="J161">
        <f>_xlfn.XLOOKUP(sales_Data[[#This Row],[product_id]],sales_Data[product_id],sales_Data[unit_price])</f>
        <v>25</v>
      </c>
    </row>
    <row r="162" spans="1:10" x14ac:dyDescent="0.3">
      <c r="A162" t="s">
        <v>178</v>
      </c>
      <c r="B162" s="1">
        <v>45690</v>
      </c>
      <c r="C162" t="s">
        <v>9</v>
      </c>
      <c r="D162" t="s">
        <v>10</v>
      </c>
      <c r="E162">
        <v>45</v>
      </c>
      <c r="F162">
        <v>54</v>
      </c>
      <c r="G162">
        <v>0.1</v>
      </c>
      <c r="H162">
        <v>2187</v>
      </c>
      <c r="I162">
        <f>AVERAGEIFS(sales_Data[units_sold], sales_Data[product_id],sales_Data[[#This Row],[product_id]])</f>
        <v>31.479452054794521</v>
      </c>
      <c r="J162">
        <f>_xlfn.XLOOKUP(sales_Data[[#This Row],[product_id]],sales_Data[product_id],sales_Data[unit_price])</f>
        <v>45</v>
      </c>
    </row>
    <row r="163" spans="1:10" x14ac:dyDescent="0.3">
      <c r="A163" t="s">
        <v>179</v>
      </c>
      <c r="B163" s="1">
        <v>45690</v>
      </c>
      <c r="C163" t="s">
        <v>12</v>
      </c>
      <c r="D163" t="s">
        <v>13</v>
      </c>
      <c r="E163">
        <v>12.5</v>
      </c>
      <c r="F163">
        <v>43</v>
      </c>
      <c r="G163">
        <v>0</v>
      </c>
      <c r="H163">
        <v>537.5</v>
      </c>
      <c r="I163">
        <f>AVERAGEIFS(sales_Data[units_sold], sales_Data[product_id],sales_Data[[#This Row],[product_id]])</f>
        <v>31.794520547945204</v>
      </c>
      <c r="J163">
        <f>_xlfn.XLOOKUP(sales_Data[[#This Row],[product_id]],sales_Data[product_id],sales_Data[unit_price])</f>
        <v>12.5</v>
      </c>
    </row>
    <row r="164" spans="1:10" x14ac:dyDescent="0.3">
      <c r="A164" t="s">
        <v>180</v>
      </c>
      <c r="B164" s="1">
        <v>45690</v>
      </c>
      <c r="C164" t="s">
        <v>15</v>
      </c>
      <c r="D164" t="s">
        <v>16</v>
      </c>
      <c r="E164">
        <v>35</v>
      </c>
      <c r="F164">
        <v>42</v>
      </c>
      <c r="G164">
        <v>0.2</v>
      </c>
      <c r="H164">
        <v>1176</v>
      </c>
      <c r="I164">
        <f>AVERAGEIFS(sales_Data[units_sold], sales_Data[product_id],sales_Data[[#This Row],[product_id]])</f>
        <v>30.438356164383563</v>
      </c>
      <c r="J164">
        <f>_xlfn.XLOOKUP(sales_Data[[#This Row],[product_id]],sales_Data[product_id],sales_Data[unit_price])</f>
        <v>35</v>
      </c>
    </row>
    <row r="165" spans="1:10" x14ac:dyDescent="0.3">
      <c r="A165" t="s">
        <v>181</v>
      </c>
      <c r="B165" s="1">
        <v>45690</v>
      </c>
      <c r="C165" t="s">
        <v>18</v>
      </c>
      <c r="D165" t="s">
        <v>19</v>
      </c>
      <c r="E165">
        <v>120</v>
      </c>
      <c r="F165">
        <v>24</v>
      </c>
      <c r="G165">
        <v>0.1</v>
      </c>
      <c r="H165">
        <v>2592</v>
      </c>
      <c r="I165">
        <f>AVERAGEIFS(sales_Data[units_sold], sales_Data[product_id],sales_Data[[#This Row],[product_id]])</f>
        <v>30.473972602739725</v>
      </c>
      <c r="J165">
        <f>_xlfn.XLOOKUP(sales_Data[[#This Row],[product_id]],sales_Data[product_id],sales_Data[unit_price])</f>
        <v>120</v>
      </c>
    </row>
    <row r="166" spans="1:10" x14ac:dyDescent="0.3">
      <c r="A166" t="s">
        <v>182</v>
      </c>
      <c r="B166" s="1">
        <v>45690</v>
      </c>
      <c r="C166" t="s">
        <v>21</v>
      </c>
      <c r="D166" t="s">
        <v>22</v>
      </c>
      <c r="E166">
        <v>25</v>
      </c>
      <c r="F166">
        <v>58</v>
      </c>
      <c r="G166">
        <v>0</v>
      </c>
      <c r="H166">
        <v>1450</v>
      </c>
      <c r="I166">
        <f>AVERAGEIFS(sales_Data[units_sold], sales_Data[product_id],sales_Data[[#This Row],[product_id]])</f>
        <v>29.463013698630139</v>
      </c>
      <c r="J166">
        <f>_xlfn.XLOOKUP(sales_Data[[#This Row],[product_id]],sales_Data[product_id],sales_Data[unit_price])</f>
        <v>25</v>
      </c>
    </row>
    <row r="167" spans="1:10" x14ac:dyDescent="0.3">
      <c r="A167" t="s">
        <v>183</v>
      </c>
      <c r="B167" s="1">
        <v>45691</v>
      </c>
      <c r="C167" t="s">
        <v>9</v>
      </c>
      <c r="D167" t="s">
        <v>10</v>
      </c>
      <c r="E167">
        <v>45</v>
      </c>
      <c r="F167">
        <v>44</v>
      </c>
      <c r="G167">
        <v>0.2</v>
      </c>
      <c r="H167">
        <v>1584</v>
      </c>
      <c r="I167">
        <f>AVERAGEIFS(sales_Data[units_sold], sales_Data[product_id],sales_Data[[#This Row],[product_id]])</f>
        <v>31.479452054794521</v>
      </c>
      <c r="J167">
        <f>_xlfn.XLOOKUP(sales_Data[[#This Row],[product_id]],sales_Data[product_id],sales_Data[unit_price])</f>
        <v>45</v>
      </c>
    </row>
    <row r="168" spans="1:10" x14ac:dyDescent="0.3">
      <c r="A168" t="s">
        <v>184</v>
      </c>
      <c r="B168" s="1">
        <v>45691</v>
      </c>
      <c r="C168" t="s">
        <v>12</v>
      </c>
      <c r="D168" t="s">
        <v>13</v>
      </c>
      <c r="E168">
        <v>12.5</v>
      </c>
      <c r="F168">
        <v>36</v>
      </c>
      <c r="G168">
        <v>0</v>
      </c>
      <c r="H168">
        <v>450</v>
      </c>
      <c r="I168">
        <f>AVERAGEIFS(sales_Data[units_sold], sales_Data[product_id],sales_Data[[#This Row],[product_id]])</f>
        <v>31.794520547945204</v>
      </c>
      <c r="J168">
        <f>_xlfn.XLOOKUP(sales_Data[[#This Row],[product_id]],sales_Data[product_id],sales_Data[unit_price])</f>
        <v>12.5</v>
      </c>
    </row>
    <row r="169" spans="1:10" x14ac:dyDescent="0.3">
      <c r="A169" t="s">
        <v>185</v>
      </c>
      <c r="B169" s="1">
        <v>45691</v>
      </c>
      <c r="C169" t="s">
        <v>15</v>
      </c>
      <c r="D169" t="s">
        <v>16</v>
      </c>
      <c r="E169">
        <v>35</v>
      </c>
      <c r="F169">
        <v>31</v>
      </c>
      <c r="G169">
        <v>0</v>
      </c>
      <c r="H169">
        <v>1085</v>
      </c>
      <c r="I169">
        <f>AVERAGEIFS(sales_Data[units_sold], sales_Data[product_id],sales_Data[[#This Row],[product_id]])</f>
        <v>30.438356164383563</v>
      </c>
      <c r="J169">
        <f>_xlfn.XLOOKUP(sales_Data[[#This Row],[product_id]],sales_Data[product_id],sales_Data[unit_price])</f>
        <v>35</v>
      </c>
    </row>
    <row r="170" spans="1:10" x14ac:dyDescent="0.3">
      <c r="A170" t="s">
        <v>186</v>
      </c>
      <c r="B170" s="1">
        <v>45691</v>
      </c>
      <c r="C170" t="s">
        <v>18</v>
      </c>
      <c r="D170" t="s">
        <v>19</v>
      </c>
      <c r="E170">
        <v>120</v>
      </c>
      <c r="F170">
        <v>20</v>
      </c>
      <c r="G170">
        <v>0</v>
      </c>
      <c r="H170">
        <v>2400</v>
      </c>
      <c r="I170">
        <f>AVERAGEIFS(sales_Data[units_sold], sales_Data[product_id],sales_Data[[#This Row],[product_id]])</f>
        <v>30.473972602739725</v>
      </c>
      <c r="J170">
        <f>_xlfn.XLOOKUP(sales_Data[[#This Row],[product_id]],sales_Data[product_id],sales_Data[unit_price])</f>
        <v>120</v>
      </c>
    </row>
    <row r="171" spans="1:10" x14ac:dyDescent="0.3">
      <c r="A171" t="s">
        <v>187</v>
      </c>
      <c r="B171" s="1">
        <v>45691</v>
      </c>
      <c r="C171" t="s">
        <v>21</v>
      </c>
      <c r="D171" t="s">
        <v>22</v>
      </c>
      <c r="E171">
        <v>25</v>
      </c>
      <c r="F171">
        <v>9</v>
      </c>
      <c r="G171">
        <v>0.1</v>
      </c>
      <c r="H171">
        <v>202.5</v>
      </c>
      <c r="I171">
        <f>AVERAGEIFS(sales_Data[units_sold], sales_Data[product_id],sales_Data[[#This Row],[product_id]])</f>
        <v>29.463013698630139</v>
      </c>
      <c r="J171">
        <f>_xlfn.XLOOKUP(sales_Data[[#This Row],[product_id]],sales_Data[product_id],sales_Data[unit_price])</f>
        <v>25</v>
      </c>
    </row>
    <row r="172" spans="1:10" x14ac:dyDescent="0.3">
      <c r="A172" t="s">
        <v>188</v>
      </c>
      <c r="B172" s="1">
        <v>45692</v>
      </c>
      <c r="C172" t="s">
        <v>9</v>
      </c>
      <c r="D172" t="s">
        <v>10</v>
      </c>
      <c r="E172">
        <v>45</v>
      </c>
      <c r="F172">
        <v>24</v>
      </c>
      <c r="G172">
        <v>0</v>
      </c>
      <c r="H172">
        <v>1080</v>
      </c>
      <c r="I172">
        <f>AVERAGEIFS(sales_Data[units_sold], sales_Data[product_id],sales_Data[[#This Row],[product_id]])</f>
        <v>31.479452054794521</v>
      </c>
      <c r="J172">
        <f>_xlfn.XLOOKUP(sales_Data[[#This Row],[product_id]],sales_Data[product_id],sales_Data[unit_price])</f>
        <v>45</v>
      </c>
    </row>
    <row r="173" spans="1:10" x14ac:dyDescent="0.3">
      <c r="A173" t="s">
        <v>189</v>
      </c>
      <c r="B173" s="1">
        <v>45692</v>
      </c>
      <c r="C173" t="s">
        <v>12</v>
      </c>
      <c r="D173" t="s">
        <v>13</v>
      </c>
      <c r="E173">
        <v>12.5</v>
      </c>
      <c r="F173">
        <v>14</v>
      </c>
      <c r="G173">
        <v>0</v>
      </c>
      <c r="H173">
        <v>175</v>
      </c>
      <c r="I173">
        <f>AVERAGEIFS(sales_Data[units_sold], sales_Data[product_id],sales_Data[[#This Row],[product_id]])</f>
        <v>31.794520547945204</v>
      </c>
      <c r="J173">
        <f>_xlfn.XLOOKUP(sales_Data[[#This Row],[product_id]],sales_Data[product_id],sales_Data[unit_price])</f>
        <v>12.5</v>
      </c>
    </row>
    <row r="174" spans="1:10" x14ac:dyDescent="0.3">
      <c r="A174" t="s">
        <v>190</v>
      </c>
      <c r="B174" s="1">
        <v>45692</v>
      </c>
      <c r="C174" t="s">
        <v>15</v>
      </c>
      <c r="D174" t="s">
        <v>16</v>
      </c>
      <c r="E174">
        <v>35</v>
      </c>
      <c r="F174">
        <v>5</v>
      </c>
      <c r="G174">
        <v>0.1</v>
      </c>
      <c r="H174">
        <v>157.5</v>
      </c>
      <c r="I174">
        <f>AVERAGEIFS(sales_Data[units_sold], sales_Data[product_id],sales_Data[[#This Row],[product_id]])</f>
        <v>30.438356164383563</v>
      </c>
      <c r="J174">
        <f>_xlfn.XLOOKUP(sales_Data[[#This Row],[product_id]],sales_Data[product_id],sales_Data[unit_price])</f>
        <v>35</v>
      </c>
    </row>
    <row r="175" spans="1:10" x14ac:dyDescent="0.3">
      <c r="A175" t="s">
        <v>191</v>
      </c>
      <c r="B175" s="1">
        <v>45692</v>
      </c>
      <c r="C175" t="s">
        <v>18</v>
      </c>
      <c r="D175" t="s">
        <v>19</v>
      </c>
      <c r="E175">
        <v>120</v>
      </c>
      <c r="F175">
        <v>15</v>
      </c>
      <c r="G175">
        <v>0</v>
      </c>
      <c r="H175">
        <v>1800</v>
      </c>
      <c r="I175">
        <f>AVERAGEIFS(sales_Data[units_sold], sales_Data[product_id],sales_Data[[#This Row],[product_id]])</f>
        <v>30.473972602739725</v>
      </c>
      <c r="J175">
        <f>_xlfn.XLOOKUP(sales_Data[[#This Row],[product_id]],sales_Data[product_id],sales_Data[unit_price])</f>
        <v>120</v>
      </c>
    </row>
    <row r="176" spans="1:10" x14ac:dyDescent="0.3">
      <c r="A176" t="s">
        <v>192</v>
      </c>
      <c r="B176" s="1">
        <v>45692</v>
      </c>
      <c r="C176" t="s">
        <v>21</v>
      </c>
      <c r="D176" t="s">
        <v>22</v>
      </c>
      <c r="E176">
        <v>25</v>
      </c>
      <c r="F176">
        <v>14</v>
      </c>
      <c r="G176">
        <v>0</v>
      </c>
      <c r="H176">
        <v>350</v>
      </c>
      <c r="I176">
        <f>AVERAGEIFS(sales_Data[units_sold], sales_Data[product_id],sales_Data[[#This Row],[product_id]])</f>
        <v>29.463013698630139</v>
      </c>
      <c r="J176">
        <f>_xlfn.XLOOKUP(sales_Data[[#This Row],[product_id]],sales_Data[product_id],sales_Data[unit_price])</f>
        <v>25</v>
      </c>
    </row>
    <row r="177" spans="1:10" x14ac:dyDescent="0.3">
      <c r="A177" t="s">
        <v>193</v>
      </c>
      <c r="B177" s="1">
        <v>45693</v>
      </c>
      <c r="C177" t="s">
        <v>9</v>
      </c>
      <c r="D177" t="s">
        <v>10</v>
      </c>
      <c r="E177">
        <v>45</v>
      </c>
      <c r="F177">
        <v>19</v>
      </c>
      <c r="G177">
        <v>0</v>
      </c>
      <c r="H177">
        <v>855</v>
      </c>
      <c r="I177">
        <f>AVERAGEIFS(sales_Data[units_sold], sales_Data[product_id],sales_Data[[#This Row],[product_id]])</f>
        <v>31.479452054794521</v>
      </c>
      <c r="J177">
        <f>_xlfn.XLOOKUP(sales_Data[[#This Row],[product_id]],sales_Data[product_id],sales_Data[unit_price])</f>
        <v>45</v>
      </c>
    </row>
    <row r="178" spans="1:10" x14ac:dyDescent="0.3">
      <c r="A178" t="s">
        <v>194</v>
      </c>
      <c r="B178" s="1">
        <v>45693</v>
      </c>
      <c r="C178" t="s">
        <v>12</v>
      </c>
      <c r="D178" t="s">
        <v>13</v>
      </c>
      <c r="E178">
        <v>12.5</v>
      </c>
      <c r="F178">
        <v>20</v>
      </c>
      <c r="G178">
        <v>0</v>
      </c>
      <c r="H178">
        <v>250</v>
      </c>
      <c r="I178">
        <f>AVERAGEIFS(sales_Data[units_sold], sales_Data[product_id],sales_Data[[#This Row],[product_id]])</f>
        <v>31.794520547945204</v>
      </c>
      <c r="J178">
        <f>_xlfn.XLOOKUP(sales_Data[[#This Row],[product_id]],sales_Data[product_id],sales_Data[unit_price])</f>
        <v>12.5</v>
      </c>
    </row>
    <row r="179" spans="1:10" x14ac:dyDescent="0.3">
      <c r="A179" t="s">
        <v>195</v>
      </c>
      <c r="B179" s="1">
        <v>45693</v>
      </c>
      <c r="C179" t="s">
        <v>15</v>
      </c>
      <c r="D179" t="s">
        <v>16</v>
      </c>
      <c r="E179">
        <v>35</v>
      </c>
      <c r="F179">
        <v>24</v>
      </c>
      <c r="G179">
        <v>0.1</v>
      </c>
      <c r="H179">
        <v>756</v>
      </c>
      <c r="I179">
        <f>AVERAGEIFS(sales_Data[units_sold], sales_Data[product_id],sales_Data[[#This Row],[product_id]])</f>
        <v>30.438356164383563</v>
      </c>
      <c r="J179">
        <f>_xlfn.XLOOKUP(sales_Data[[#This Row],[product_id]],sales_Data[product_id],sales_Data[unit_price])</f>
        <v>35</v>
      </c>
    </row>
    <row r="180" spans="1:10" x14ac:dyDescent="0.3">
      <c r="A180" t="s">
        <v>196</v>
      </c>
      <c r="B180" s="1">
        <v>45693</v>
      </c>
      <c r="C180" t="s">
        <v>18</v>
      </c>
      <c r="D180" t="s">
        <v>19</v>
      </c>
      <c r="E180">
        <v>120</v>
      </c>
      <c r="F180">
        <v>42</v>
      </c>
      <c r="G180">
        <v>0</v>
      </c>
      <c r="H180">
        <v>5040</v>
      </c>
      <c r="I180">
        <f>AVERAGEIFS(sales_Data[units_sold], sales_Data[product_id],sales_Data[[#This Row],[product_id]])</f>
        <v>30.473972602739725</v>
      </c>
      <c r="J180">
        <f>_xlfn.XLOOKUP(sales_Data[[#This Row],[product_id]],sales_Data[product_id],sales_Data[unit_price])</f>
        <v>120</v>
      </c>
    </row>
    <row r="181" spans="1:10" x14ac:dyDescent="0.3">
      <c r="A181" t="s">
        <v>197</v>
      </c>
      <c r="B181" s="1">
        <v>45693</v>
      </c>
      <c r="C181" t="s">
        <v>21</v>
      </c>
      <c r="D181" t="s">
        <v>22</v>
      </c>
      <c r="E181">
        <v>25</v>
      </c>
      <c r="F181">
        <v>12</v>
      </c>
      <c r="G181">
        <v>0</v>
      </c>
      <c r="H181">
        <v>300</v>
      </c>
      <c r="I181">
        <f>AVERAGEIFS(sales_Data[units_sold], sales_Data[product_id],sales_Data[[#This Row],[product_id]])</f>
        <v>29.463013698630139</v>
      </c>
      <c r="J181">
        <f>_xlfn.XLOOKUP(sales_Data[[#This Row],[product_id]],sales_Data[product_id],sales_Data[unit_price])</f>
        <v>25</v>
      </c>
    </row>
    <row r="182" spans="1:10" x14ac:dyDescent="0.3">
      <c r="A182" t="s">
        <v>198</v>
      </c>
      <c r="B182" s="1">
        <v>45694</v>
      </c>
      <c r="C182" t="s">
        <v>9</v>
      </c>
      <c r="D182" t="s">
        <v>10</v>
      </c>
      <c r="E182">
        <v>45</v>
      </c>
      <c r="F182">
        <v>29</v>
      </c>
      <c r="G182">
        <v>0.1</v>
      </c>
      <c r="H182">
        <v>1174.5</v>
      </c>
      <c r="I182">
        <f>AVERAGEIFS(sales_Data[units_sold], sales_Data[product_id],sales_Data[[#This Row],[product_id]])</f>
        <v>31.479452054794521</v>
      </c>
      <c r="J182">
        <f>_xlfn.XLOOKUP(sales_Data[[#This Row],[product_id]],sales_Data[product_id],sales_Data[unit_price])</f>
        <v>45</v>
      </c>
    </row>
    <row r="183" spans="1:10" x14ac:dyDescent="0.3">
      <c r="A183" t="s">
        <v>199</v>
      </c>
      <c r="B183" s="1">
        <v>45694</v>
      </c>
      <c r="C183" t="s">
        <v>12</v>
      </c>
      <c r="D183" t="s">
        <v>13</v>
      </c>
      <c r="E183">
        <v>12.5</v>
      </c>
      <c r="F183">
        <v>19</v>
      </c>
      <c r="G183">
        <v>0.1</v>
      </c>
      <c r="H183">
        <v>213.75</v>
      </c>
      <c r="I183">
        <f>AVERAGEIFS(sales_Data[units_sold], sales_Data[product_id],sales_Data[[#This Row],[product_id]])</f>
        <v>31.794520547945204</v>
      </c>
      <c r="J183">
        <f>_xlfn.XLOOKUP(sales_Data[[#This Row],[product_id]],sales_Data[product_id],sales_Data[unit_price])</f>
        <v>12.5</v>
      </c>
    </row>
    <row r="184" spans="1:10" x14ac:dyDescent="0.3">
      <c r="A184" t="s">
        <v>200</v>
      </c>
      <c r="B184" s="1">
        <v>45694</v>
      </c>
      <c r="C184" t="s">
        <v>15</v>
      </c>
      <c r="D184" t="s">
        <v>16</v>
      </c>
      <c r="E184">
        <v>35</v>
      </c>
      <c r="F184">
        <v>6</v>
      </c>
      <c r="G184">
        <v>0.1</v>
      </c>
      <c r="H184">
        <v>189</v>
      </c>
      <c r="I184">
        <f>AVERAGEIFS(sales_Data[units_sold], sales_Data[product_id],sales_Data[[#This Row],[product_id]])</f>
        <v>30.438356164383563</v>
      </c>
      <c r="J184">
        <f>_xlfn.XLOOKUP(sales_Data[[#This Row],[product_id]],sales_Data[product_id],sales_Data[unit_price])</f>
        <v>35</v>
      </c>
    </row>
    <row r="185" spans="1:10" x14ac:dyDescent="0.3">
      <c r="A185" t="s">
        <v>201</v>
      </c>
      <c r="B185" s="1">
        <v>45694</v>
      </c>
      <c r="C185" t="s">
        <v>18</v>
      </c>
      <c r="D185" t="s">
        <v>19</v>
      </c>
      <c r="E185">
        <v>120</v>
      </c>
      <c r="F185">
        <v>43</v>
      </c>
      <c r="G185">
        <v>0</v>
      </c>
      <c r="H185">
        <v>5160</v>
      </c>
      <c r="I185">
        <f>AVERAGEIFS(sales_Data[units_sold], sales_Data[product_id],sales_Data[[#This Row],[product_id]])</f>
        <v>30.473972602739725</v>
      </c>
      <c r="J185">
        <f>_xlfn.XLOOKUP(sales_Data[[#This Row],[product_id]],sales_Data[product_id],sales_Data[unit_price])</f>
        <v>120</v>
      </c>
    </row>
    <row r="186" spans="1:10" x14ac:dyDescent="0.3">
      <c r="A186" t="s">
        <v>202</v>
      </c>
      <c r="B186" s="1">
        <v>45694</v>
      </c>
      <c r="C186" t="s">
        <v>21</v>
      </c>
      <c r="D186" t="s">
        <v>22</v>
      </c>
      <c r="E186">
        <v>25</v>
      </c>
      <c r="F186">
        <v>11</v>
      </c>
      <c r="G186">
        <v>0</v>
      </c>
      <c r="H186">
        <v>275</v>
      </c>
      <c r="I186">
        <f>AVERAGEIFS(sales_Data[units_sold], sales_Data[product_id],sales_Data[[#This Row],[product_id]])</f>
        <v>29.463013698630139</v>
      </c>
      <c r="J186">
        <f>_xlfn.XLOOKUP(sales_Data[[#This Row],[product_id]],sales_Data[product_id],sales_Data[unit_price])</f>
        <v>25</v>
      </c>
    </row>
    <row r="187" spans="1:10" x14ac:dyDescent="0.3">
      <c r="A187" t="s">
        <v>203</v>
      </c>
      <c r="B187" s="1">
        <v>45695</v>
      </c>
      <c r="C187" t="s">
        <v>9</v>
      </c>
      <c r="D187" t="s">
        <v>10</v>
      </c>
      <c r="E187">
        <v>45</v>
      </c>
      <c r="F187">
        <v>46</v>
      </c>
      <c r="G187">
        <v>0</v>
      </c>
      <c r="H187">
        <v>2070</v>
      </c>
      <c r="I187">
        <f>AVERAGEIFS(sales_Data[units_sold], sales_Data[product_id],sales_Data[[#This Row],[product_id]])</f>
        <v>31.479452054794521</v>
      </c>
      <c r="J187">
        <f>_xlfn.XLOOKUP(sales_Data[[#This Row],[product_id]],sales_Data[product_id],sales_Data[unit_price])</f>
        <v>45</v>
      </c>
    </row>
    <row r="188" spans="1:10" x14ac:dyDescent="0.3">
      <c r="A188" t="s">
        <v>204</v>
      </c>
      <c r="B188" s="1">
        <v>45695</v>
      </c>
      <c r="C188" t="s">
        <v>12</v>
      </c>
      <c r="D188" t="s">
        <v>13</v>
      </c>
      <c r="E188">
        <v>12.5</v>
      </c>
      <c r="F188">
        <v>24</v>
      </c>
      <c r="G188">
        <v>0</v>
      </c>
      <c r="H188">
        <v>300</v>
      </c>
      <c r="I188">
        <f>AVERAGEIFS(sales_Data[units_sold], sales_Data[product_id],sales_Data[[#This Row],[product_id]])</f>
        <v>31.794520547945204</v>
      </c>
      <c r="J188">
        <f>_xlfn.XLOOKUP(sales_Data[[#This Row],[product_id]],sales_Data[product_id],sales_Data[unit_price])</f>
        <v>12.5</v>
      </c>
    </row>
    <row r="189" spans="1:10" x14ac:dyDescent="0.3">
      <c r="A189" t="s">
        <v>205</v>
      </c>
      <c r="B189" s="1">
        <v>45695</v>
      </c>
      <c r="C189" t="s">
        <v>15</v>
      </c>
      <c r="D189" t="s">
        <v>16</v>
      </c>
      <c r="E189">
        <v>35</v>
      </c>
      <c r="F189">
        <v>6</v>
      </c>
      <c r="G189">
        <v>0.2</v>
      </c>
      <c r="H189">
        <v>168</v>
      </c>
      <c r="I189">
        <f>AVERAGEIFS(sales_Data[units_sold], sales_Data[product_id],sales_Data[[#This Row],[product_id]])</f>
        <v>30.438356164383563</v>
      </c>
      <c r="J189">
        <f>_xlfn.XLOOKUP(sales_Data[[#This Row],[product_id]],sales_Data[product_id],sales_Data[unit_price])</f>
        <v>35</v>
      </c>
    </row>
    <row r="190" spans="1:10" x14ac:dyDescent="0.3">
      <c r="A190" t="s">
        <v>206</v>
      </c>
      <c r="B190" s="1">
        <v>45695</v>
      </c>
      <c r="C190" t="s">
        <v>18</v>
      </c>
      <c r="D190" t="s">
        <v>19</v>
      </c>
      <c r="E190">
        <v>120</v>
      </c>
      <c r="F190">
        <v>23</v>
      </c>
      <c r="G190">
        <v>0</v>
      </c>
      <c r="H190">
        <v>2760</v>
      </c>
      <c r="I190">
        <f>AVERAGEIFS(sales_Data[units_sold], sales_Data[product_id],sales_Data[[#This Row],[product_id]])</f>
        <v>30.473972602739725</v>
      </c>
      <c r="J190">
        <f>_xlfn.XLOOKUP(sales_Data[[#This Row],[product_id]],sales_Data[product_id],sales_Data[unit_price])</f>
        <v>120</v>
      </c>
    </row>
    <row r="191" spans="1:10" x14ac:dyDescent="0.3">
      <c r="A191" t="s">
        <v>207</v>
      </c>
      <c r="B191" s="1">
        <v>45695</v>
      </c>
      <c r="C191" t="s">
        <v>21</v>
      </c>
      <c r="D191" t="s">
        <v>22</v>
      </c>
      <c r="E191">
        <v>25</v>
      </c>
      <c r="F191">
        <v>26</v>
      </c>
      <c r="G191">
        <v>0</v>
      </c>
      <c r="H191">
        <v>650</v>
      </c>
      <c r="I191">
        <f>AVERAGEIFS(sales_Data[units_sold], sales_Data[product_id],sales_Data[[#This Row],[product_id]])</f>
        <v>29.463013698630139</v>
      </c>
      <c r="J191">
        <f>_xlfn.XLOOKUP(sales_Data[[#This Row],[product_id]],sales_Data[product_id],sales_Data[unit_price])</f>
        <v>25</v>
      </c>
    </row>
    <row r="192" spans="1:10" x14ac:dyDescent="0.3">
      <c r="A192" t="s">
        <v>208</v>
      </c>
      <c r="B192" s="1">
        <v>45696</v>
      </c>
      <c r="C192" t="s">
        <v>9</v>
      </c>
      <c r="D192" t="s">
        <v>10</v>
      </c>
      <c r="E192">
        <v>45</v>
      </c>
      <c r="F192">
        <v>43</v>
      </c>
      <c r="G192">
        <v>0.1</v>
      </c>
      <c r="H192">
        <v>1741.5</v>
      </c>
      <c r="I192">
        <f>AVERAGEIFS(sales_Data[units_sold], sales_Data[product_id],sales_Data[[#This Row],[product_id]])</f>
        <v>31.479452054794521</v>
      </c>
      <c r="J192">
        <f>_xlfn.XLOOKUP(sales_Data[[#This Row],[product_id]],sales_Data[product_id],sales_Data[unit_price])</f>
        <v>45</v>
      </c>
    </row>
    <row r="193" spans="1:10" x14ac:dyDescent="0.3">
      <c r="A193" t="s">
        <v>209</v>
      </c>
      <c r="B193" s="1">
        <v>45696</v>
      </c>
      <c r="C193" t="s">
        <v>12</v>
      </c>
      <c r="D193" t="s">
        <v>13</v>
      </c>
      <c r="E193">
        <v>12.5</v>
      </c>
      <c r="F193">
        <v>42</v>
      </c>
      <c r="G193">
        <v>0.1</v>
      </c>
      <c r="H193">
        <v>472.5</v>
      </c>
      <c r="I193">
        <f>AVERAGEIFS(sales_Data[units_sold], sales_Data[product_id],sales_Data[[#This Row],[product_id]])</f>
        <v>31.794520547945204</v>
      </c>
      <c r="J193">
        <f>_xlfn.XLOOKUP(sales_Data[[#This Row],[product_id]],sales_Data[product_id],sales_Data[unit_price])</f>
        <v>12.5</v>
      </c>
    </row>
    <row r="194" spans="1:10" x14ac:dyDescent="0.3">
      <c r="A194" t="s">
        <v>210</v>
      </c>
      <c r="B194" s="1">
        <v>45696</v>
      </c>
      <c r="C194" t="s">
        <v>15</v>
      </c>
      <c r="D194" t="s">
        <v>16</v>
      </c>
      <c r="E194">
        <v>35</v>
      </c>
      <c r="F194">
        <v>15</v>
      </c>
      <c r="G194">
        <v>0</v>
      </c>
      <c r="H194">
        <v>525</v>
      </c>
      <c r="I194">
        <f>AVERAGEIFS(sales_Data[units_sold], sales_Data[product_id],sales_Data[[#This Row],[product_id]])</f>
        <v>30.438356164383563</v>
      </c>
      <c r="J194">
        <f>_xlfn.XLOOKUP(sales_Data[[#This Row],[product_id]],sales_Data[product_id],sales_Data[unit_price])</f>
        <v>35</v>
      </c>
    </row>
    <row r="195" spans="1:10" x14ac:dyDescent="0.3">
      <c r="A195" t="s">
        <v>211</v>
      </c>
      <c r="B195" s="1">
        <v>45696</v>
      </c>
      <c r="C195" t="s">
        <v>18</v>
      </c>
      <c r="D195" t="s">
        <v>19</v>
      </c>
      <c r="E195">
        <v>120</v>
      </c>
      <c r="F195">
        <v>67</v>
      </c>
      <c r="G195">
        <v>0</v>
      </c>
      <c r="H195">
        <v>8040</v>
      </c>
      <c r="I195">
        <f>AVERAGEIFS(sales_Data[units_sold], sales_Data[product_id],sales_Data[[#This Row],[product_id]])</f>
        <v>30.473972602739725</v>
      </c>
      <c r="J195">
        <f>_xlfn.XLOOKUP(sales_Data[[#This Row],[product_id]],sales_Data[product_id],sales_Data[unit_price])</f>
        <v>120</v>
      </c>
    </row>
    <row r="196" spans="1:10" x14ac:dyDescent="0.3">
      <c r="A196" t="s">
        <v>212</v>
      </c>
      <c r="B196" s="1">
        <v>45696</v>
      </c>
      <c r="C196" t="s">
        <v>21</v>
      </c>
      <c r="D196" t="s">
        <v>22</v>
      </c>
      <c r="E196">
        <v>25</v>
      </c>
      <c r="F196">
        <v>49</v>
      </c>
      <c r="G196">
        <v>0</v>
      </c>
      <c r="H196">
        <v>1225</v>
      </c>
      <c r="I196">
        <f>AVERAGEIFS(sales_Data[units_sold], sales_Data[product_id],sales_Data[[#This Row],[product_id]])</f>
        <v>29.463013698630139</v>
      </c>
      <c r="J196">
        <f>_xlfn.XLOOKUP(sales_Data[[#This Row],[product_id]],sales_Data[product_id],sales_Data[unit_price])</f>
        <v>25</v>
      </c>
    </row>
    <row r="197" spans="1:10" x14ac:dyDescent="0.3">
      <c r="A197" t="s">
        <v>213</v>
      </c>
      <c r="B197" s="1">
        <v>45697</v>
      </c>
      <c r="C197" t="s">
        <v>9</v>
      </c>
      <c r="D197" t="s">
        <v>10</v>
      </c>
      <c r="E197">
        <v>45</v>
      </c>
      <c r="F197">
        <v>43</v>
      </c>
      <c r="G197">
        <v>0.2</v>
      </c>
      <c r="H197">
        <v>1548</v>
      </c>
      <c r="I197">
        <f>AVERAGEIFS(sales_Data[units_sold], sales_Data[product_id],sales_Data[[#This Row],[product_id]])</f>
        <v>31.479452054794521</v>
      </c>
      <c r="J197">
        <f>_xlfn.XLOOKUP(sales_Data[[#This Row],[product_id]],sales_Data[product_id],sales_Data[unit_price])</f>
        <v>45</v>
      </c>
    </row>
    <row r="198" spans="1:10" x14ac:dyDescent="0.3">
      <c r="A198" t="s">
        <v>214</v>
      </c>
      <c r="B198" s="1">
        <v>45697</v>
      </c>
      <c r="C198" t="s">
        <v>12</v>
      </c>
      <c r="D198" t="s">
        <v>13</v>
      </c>
      <c r="E198">
        <v>12.5</v>
      </c>
      <c r="F198">
        <v>60</v>
      </c>
      <c r="G198">
        <v>0.1</v>
      </c>
      <c r="H198">
        <v>675</v>
      </c>
      <c r="I198">
        <f>AVERAGEIFS(sales_Data[units_sold], sales_Data[product_id],sales_Data[[#This Row],[product_id]])</f>
        <v>31.794520547945204</v>
      </c>
      <c r="J198">
        <f>_xlfn.XLOOKUP(sales_Data[[#This Row],[product_id]],sales_Data[product_id],sales_Data[unit_price])</f>
        <v>12.5</v>
      </c>
    </row>
    <row r="199" spans="1:10" x14ac:dyDescent="0.3">
      <c r="A199" t="s">
        <v>215</v>
      </c>
      <c r="B199" s="1">
        <v>45697</v>
      </c>
      <c r="C199" t="s">
        <v>15</v>
      </c>
      <c r="D199" t="s">
        <v>16</v>
      </c>
      <c r="E199">
        <v>35</v>
      </c>
      <c r="F199">
        <v>67</v>
      </c>
      <c r="G199">
        <v>0.1</v>
      </c>
      <c r="H199">
        <v>2110.5</v>
      </c>
      <c r="I199">
        <f>AVERAGEIFS(sales_Data[units_sold], sales_Data[product_id],sales_Data[[#This Row],[product_id]])</f>
        <v>30.438356164383563</v>
      </c>
      <c r="J199">
        <f>_xlfn.XLOOKUP(sales_Data[[#This Row],[product_id]],sales_Data[product_id],sales_Data[unit_price])</f>
        <v>35</v>
      </c>
    </row>
    <row r="200" spans="1:10" x14ac:dyDescent="0.3">
      <c r="A200" t="s">
        <v>216</v>
      </c>
      <c r="B200" s="1">
        <v>45697</v>
      </c>
      <c r="C200" t="s">
        <v>18</v>
      </c>
      <c r="D200" t="s">
        <v>19</v>
      </c>
      <c r="E200">
        <v>120</v>
      </c>
      <c r="F200">
        <v>10</v>
      </c>
      <c r="G200">
        <v>0</v>
      </c>
      <c r="H200">
        <v>1200</v>
      </c>
      <c r="I200">
        <f>AVERAGEIFS(sales_Data[units_sold], sales_Data[product_id],sales_Data[[#This Row],[product_id]])</f>
        <v>30.473972602739725</v>
      </c>
      <c r="J200">
        <f>_xlfn.XLOOKUP(sales_Data[[#This Row],[product_id]],sales_Data[product_id],sales_Data[unit_price])</f>
        <v>120</v>
      </c>
    </row>
    <row r="201" spans="1:10" x14ac:dyDescent="0.3">
      <c r="A201" t="s">
        <v>217</v>
      </c>
      <c r="B201" s="1">
        <v>45697</v>
      </c>
      <c r="C201" t="s">
        <v>21</v>
      </c>
      <c r="D201" t="s">
        <v>22</v>
      </c>
      <c r="E201">
        <v>25</v>
      </c>
      <c r="F201">
        <v>73</v>
      </c>
      <c r="G201">
        <v>0</v>
      </c>
      <c r="H201">
        <v>1825</v>
      </c>
      <c r="I201">
        <f>AVERAGEIFS(sales_Data[units_sold], sales_Data[product_id],sales_Data[[#This Row],[product_id]])</f>
        <v>29.463013698630139</v>
      </c>
      <c r="J201">
        <f>_xlfn.XLOOKUP(sales_Data[[#This Row],[product_id]],sales_Data[product_id],sales_Data[unit_price])</f>
        <v>25</v>
      </c>
    </row>
    <row r="202" spans="1:10" x14ac:dyDescent="0.3">
      <c r="A202" t="s">
        <v>218</v>
      </c>
      <c r="B202" s="1">
        <v>45698</v>
      </c>
      <c r="C202" t="s">
        <v>9</v>
      </c>
      <c r="D202" t="s">
        <v>10</v>
      </c>
      <c r="E202">
        <v>45</v>
      </c>
      <c r="F202">
        <v>5</v>
      </c>
      <c r="G202">
        <v>0.2</v>
      </c>
      <c r="H202">
        <v>180</v>
      </c>
      <c r="I202">
        <f>AVERAGEIFS(sales_Data[units_sold], sales_Data[product_id],sales_Data[[#This Row],[product_id]])</f>
        <v>31.479452054794521</v>
      </c>
      <c r="J202">
        <f>_xlfn.XLOOKUP(sales_Data[[#This Row],[product_id]],sales_Data[product_id],sales_Data[unit_price])</f>
        <v>45</v>
      </c>
    </row>
    <row r="203" spans="1:10" x14ac:dyDescent="0.3">
      <c r="A203" t="s">
        <v>219</v>
      </c>
      <c r="B203" s="1">
        <v>45698</v>
      </c>
      <c r="C203" t="s">
        <v>12</v>
      </c>
      <c r="D203" t="s">
        <v>13</v>
      </c>
      <c r="E203">
        <v>12.5</v>
      </c>
      <c r="F203">
        <v>33</v>
      </c>
      <c r="G203">
        <v>0</v>
      </c>
      <c r="H203">
        <v>412.5</v>
      </c>
      <c r="I203">
        <f>AVERAGEIFS(sales_Data[units_sold], sales_Data[product_id],sales_Data[[#This Row],[product_id]])</f>
        <v>31.794520547945204</v>
      </c>
      <c r="J203">
        <f>_xlfn.XLOOKUP(sales_Data[[#This Row],[product_id]],sales_Data[product_id],sales_Data[unit_price])</f>
        <v>12.5</v>
      </c>
    </row>
    <row r="204" spans="1:10" x14ac:dyDescent="0.3">
      <c r="A204" t="s">
        <v>220</v>
      </c>
      <c r="B204" s="1">
        <v>45698</v>
      </c>
      <c r="C204" t="s">
        <v>15</v>
      </c>
      <c r="D204" t="s">
        <v>16</v>
      </c>
      <c r="E204">
        <v>35</v>
      </c>
      <c r="F204">
        <v>26</v>
      </c>
      <c r="G204">
        <v>0</v>
      </c>
      <c r="H204">
        <v>910</v>
      </c>
      <c r="I204">
        <f>AVERAGEIFS(sales_Data[units_sold], sales_Data[product_id],sales_Data[[#This Row],[product_id]])</f>
        <v>30.438356164383563</v>
      </c>
      <c r="J204">
        <f>_xlfn.XLOOKUP(sales_Data[[#This Row],[product_id]],sales_Data[product_id],sales_Data[unit_price])</f>
        <v>35</v>
      </c>
    </row>
    <row r="205" spans="1:10" x14ac:dyDescent="0.3">
      <c r="A205" t="s">
        <v>221</v>
      </c>
      <c r="B205" s="1">
        <v>45698</v>
      </c>
      <c r="C205" t="s">
        <v>18</v>
      </c>
      <c r="D205" t="s">
        <v>19</v>
      </c>
      <c r="E205">
        <v>120</v>
      </c>
      <c r="F205">
        <v>17</v>
      </c>
      <c r="G205">
        <v>0.1</v>
      </c>
      <c r="H205">
        <v>1836</v>
      </c>
      <c r="I205">
        <f>AVERAGEIFS(sales_Data[units_sold], sales_Data[product_id],sales_Data[[#This Row],[product_id]])</f>
        <v>30.473972602739725</v>
      </c>
      <c r="J205">
        <f>_xlfn.XLOOKUP(sales_Data[[#This Row],[product_id]],sales_Data[product_id],sales_Data[unit_price])</f>
        <v>120</v>
      </c>
    </row>
    <row r="206" spans="1:10" x14ac:dyDescent="0.3">
      <c r="A206" t="s">
        <v>222</v>
      </c>
      <c r="B206" s="1">
        <v>45698</v>
      </c>
      <c r="C206" t="s">
        <v>21</v>
      </c>
      <c r="D206" t="s">
        <v>22</v>
      </c>
      <c r="E206">
        <v>25</v>
      </c>
      <c r="F206">
        <v>9</v>
      </c>
      <c r="G206">
        <v>0.1</v>
      </c>
      <c r="H206">
        <v>202.5</v>
      </c>
      <c r="I206">
        <f>AVERAGEIFS(sales_Data[units_sold], sales_Data[product_id],sales_Data[[#This Row],[product_id]])</f>
        <v>29.463013698630139</v>
      </c>
      <c r="J206">
        <f>_xlfn.XLOOKUP(sales_Data[[#This Row],[product_id]],sales_Data[product_id],sales_Data[unit_price])</f>
        <v>25</v>
      </c>
    </row>
    <row r="207" spans="1:10" x14ac:dyDescent="0.3">
      <c r="A207" t="s">
        <v>223</v>
      </c>
      <c r="B207" s="1">
        <v>45699</v>
      </c>
      <c r="C207" t="s">
        <v>9</v>
      </c>
      <c r="D207" t="s">
        <v>10</v>
      </c>
      <c r="E207">
        <v>45</v>
      </c>
      <c r="F207">
        <v>45</v>
      </c>
      <c r="G207">
        <v>0</v>
      </c>
      <c r="H207">
        <v>2025</v>
      </c>
      <c r="I207">
        <f>AVERAGEIFS(sales_Data[units_sold], sales_Data[product_id],sales_Data[[#This Row],[product_id]])</f>
        <v>31.479452054794521</v>
      </c>
      <c r="J207">
        <f>_xlfn.XLOOKUP(sales_Data[[#This Row],[product_id]],sales_Data[product_id],sales_Data[unit_price])</f>
        <v>45</v>
      </c>
    </row>
    <row r="208" spans="1:10" x14ac:dyDescent="0.3">
      <c r="A208" t="s">
        <v>224</v>
      </c>
      <c r="B208" s="1">
        <v>45699</v>
      </c>
      <c r="C208" t="s">
        <v>12</v>
      </c>
      <c r="D208" t="s">
        <v>13</v>
      </c>
      <c r="E208">
        <v>12.5</v>
      </c>
      <c r="F208">
        <v>28</v>
      </c>
      <c r="G208">
        <v>0.1</v>
      </c>
      <c r="H208">
        <v>315</v>
      </c>
      <c r="I208">
        <f>AVERAGEIFS(sales_Data[units_sold], sales_Data[product_id],sales_Data[[#This Row],[product_id]])</f>
        <v>31.794520547945204</v>
      </c>
      <c r="J208">
        <f>_xlfn.XLOOKUP(sales_Data[[#This Row],[product_id]],sales_Data[product_id],sales_Data[unit_price])</f>
        <v>12.5</v>
      </c>
    </row>
    <row r="209" spans="1:10" x14ac:dyDescent="0.3">
      <c r="A209" t="s">
        <v>225</v>
      </c>
      <c r="B209" s="1">
        <v>45699</v>
      </c>
      <c r="C209" t="s">
        <v>15</v>
      </c>
      <c r="D209" t="s">
        <v>16</v>
      </c>
      <c r="E209">
        <v>35</v>
      </c>
      <c r="F209">
        <v>46</v>
      </c>
      <c r="G209">
        <v>0</v>
      </c>
      <c r="H209">
        <v>1610</v>
      </c>
      <c r="I209">
        <f>AVERAGEIFS(sales_Data[units_sold], sales_Data[product_id],sales_Data[[#This Row],[product_id]])</f>
        <v>30.438356164383563</v>
      </c>
      <c r="J209">
        <f>_xlfn.XLOOKUP(sales_Data[[#This Row],[product_id]],sales_Data[product_id],sales_Data[unit_price])</f>
        <v>35</v>
      </c>
    </row>
    <row r="210" spans="1:10" x14ac:dyDescent="0.3">
      <c r="A210" t="s">
        <v>226</v>
      </c>
      <c r="B210" s="1">
        <v>45699</v>
      </c>
      <c r="C210" t="s">
        <v>18</v>
      </c>
      <c r="D210" t="s">
        <v>19</v>
      </c>
      <c r="E210">
        <v>120</v>
      </c>
      <c r="F210">
        <v>26</v>
      </c>
      <c r="G210">
        <v>0</v>
      </c>
      <c r="H210">
        <v>3120</v>
      </c>
      <c r="I210">
        <f>AVERAGEIFS(sales_Data[units_sold], sales_Data[product_id],sales_Data[[#This Row],[product_id]])</f>
        <v>30.473972602739725</v>
      </c>
      <c r="J210">
        <f>_xlfn.XLOOKUP(sales_Data[[#This Row],[product_id]],sales_Data[product_id],sales_Data[unit_price])</f>
        <v>120</v>
      </c>
    </row>
    <row r="211" spans="1:10" x14ac:dyDescent="0.3">
      <c r="A211" t="s">
        <v>227</v>
      </c>
      <c r="B211" s="1">
        <v>45699</v>
      </c>
      <c r="C211" t="s">
        <v>21</v>
      </c>
      <c r="D211" t="s">
        <v>22</v>
      </c>
      <c r="E211">
        <v>25</v>
      </c>
      <c r="F211">
        <v>24</v>
      </c>
      <c r="G211">
        <v>0.2</v>
      </c>
      <c r="H211">
        <v>480</v>
      </c>
      <c r="I211">
        <f>AVERAGEIFS(sales_Data[units_sold], sales_Data[product_id],sales_Data[[#This Row],[product_id]])</f>
        <v>29.463013698630139</v>
      </c>
      <c r="J211">
        <f>_xlfn.XLOOKUP(sales_Data[[#This Row],[product_id]],sales_Data[product_id],sales_Data[unit_price])</f>
        <v>25</v>
      </c>
    </row>
    <row r="212" spans="1:10" x14ac:dyDescent="0.3">
      <c r="A212" t="s">
        <v>228</v>
      </c>
      <c r="B212" s="1">
        <v>45700</v>
      </c>
      <c r="C212" t="s">
        <v>9</v>
      </c>
      <c r="D212" t="s">
        <v>10</v>
      </c>
      <c r="E212">
        <v>45</v>
      </c>
      <c r="F212">
        <v>27</v>
      </c>
      <c r="G212">
        <v>0</v>
      </c>
      <c r="H212">
        <v>1215</v>
      </c>
      <c r="I212">
        <f>AVERAGEIFS(sales_Data[units_sold], sales_Data[product_id],sales_Data[[#This Row],[product_id]])</f>
        <v>31.479452054794521</v>
      </c>
      <c r="J212">
        <f>_xlfn.XLOOKUP(sales_Data[[#This Row],[product_id]],sales_Data[product_id],sales_Data[unit_price])</f>
        <v>45</v>
      </c>
    </row>
    <row r="213" spans="1:10" x14ac:dyDescent="0.3">
      <c r="A213" t="s">
        <v>229</v>
      </c>
      <c r="B213" s="1">
        <v>45700</v>
      </c>
      <c r="C213" t="s">
        <v>12</v>
      </c>
      <c r="D213" t="s">
        <v>13</v>
      </c>
      <c r="E213">
        <v>12.5</v>
      </c>
      <c r="F213">
        <v>43</v>
      </c>
      <c r="G213">
        <v>0</v>
      </c>
      <c r="H213">
        <v>537.5</v>
      </c>
      <c r="I213">
        <f>AVERAGEIFS(sales_Data[units_sold], sales_Data[product_id],sales_Data[[#This Row],[product_id]])</f>
        <v>31.794520547945204</v>
      </c>
      <c r="J213">
        <f>_xlfn.XLOOKUP(sales_Data[[#This Row],[product_id]],sales_Data[product_id],sales_Data[unit_price])</f>
        <v>12.5</v>
      </c>
    </row>
    <row r="214" spans="1:10" x14ac:dyDescent="0.3">
      <c r="A214" t="s">
        <v>230</v>
      </c>
      <c r="B214" s="1">
        <v>45700</v>
      </c>
      <c r="C214" t="s">
        <v>15</v>
      </c>
      <c r="D214" t="s">
        <v>16</v>
      </c>
      <c r="E214">
        <v>35</v>
      </c>
      <c r="F214">
        <v>8</v>
      </c>
      <c r="G214">
        <v>0</v>
      </c>
      <c r="H214">
        <v>280</v>
      </c>
      <c r="I214">
        <f>AVERAGEIFS(sales_Data[units_sold], sales_Data[product_id],sales_Data[[#This Row],[product_id]])</f>
        <v>30.438356164383563</v>
      </c>
      <c r="J214">
        <f>_xlfn.XLOOKUP(sales_Data[[#This Row],[product_id]],sales_Data[product_id],sales_Data[unit_price])</f>
        <v>35</v>
      </c>
    </row>
    <row r="215" spans="1:10" x14ac:dyDescent="0.3">
      <c r="A215" t="s">
        <v>231</v>
      </c>
      <c r="B215" s="1">
        <v>45700</v>
      </c>
      <c r="C215" t="s">
        <v>18</v>
      </c>
      <c r="D215" t="s">
        <v>19</v>
      </c>
      <c r="E215">
        <v>120</v>
      </c>
      <c r="F215">
        <v>38</v>
      </c>
      <c r="G215">
        <v>0</v>
      </c>
      <c r="H215">
        <v>4560</v>
      </c>
      <c r="I215">
        <f>AVERAGEIFS(sales_Data[units_sold], sales_Data[product_id],sales_Data[[#This Row],[product_id]])</f>
        <v>30.473972602739725</v>
      </c>
      <c r="J215">
        <f>_xlfn.XLOOKUP(sales_Data[[#This Row],[product_id]],sales_Data[product_id],sales_Data[unit_price])</f>
        <v>120</v>
      </c>
    </row>
    <row r="216" spans="1:10" x14ac:dyDescent="0.3">
      <c r="A216" t="s">
        <v>232</v>
      </c>
      <c r="B216" s="1">
        <v>45700</v>
      </c>
      <c r="C216" t="s">
        <v>21</v>
      </c>
      <c r="D216" t="s">
        <v>22</v>
      </c>
      <c r="E216">
        <v>25</v>
      </c>
      <c r="F216">
        <v>34</v>
      </c>
      <c r="G216">
        <v>0</v>
      </c>
      <c r="H216">
        <v>850</v>
      </c>
      <c r="I216">
        <f>AVERAGEIFS(sales_Data[units_sold], sales_Data[product_id],sales_Data[[#This Row],[product_id]])</f>
        <v>29.463013698630139</v>
      </c>
      <c r="J216">
        <f>_xlfn.XLOOKUP(sales_Data[[#This Row],[product_id]],sales_Data[product_id],sales_Data[unit_price])</f>
        <v>25</v>
      </c>
    </row>
    <row r="217" spans="1:10" x14ac:dyDescent="0.3">
      <c r="A217" t="s">
        <v>233</v>
      </c>
      <c r="B217" s="1">
        <v>45701</v>
      </c>
      <c r="C217" t="s">
        <v>9</v>
      </c>
      <c r="D217" t="s">
        <v>10</v>
      </c>
      <c r="E217">
        <v>45</v>
      </c>
      <c r="F217">
        <v>5</v>
      </c>
      <c r="G217">
        <v>0</v>
      </c>
      <c r="H217">
        <v>225</v>
      </c>
      <c r="I217">
        <f>AVERAGEIFS(sales_Data[units_sold], sales_Data[product_id],sales_Data[[#This Row],[product_id]])</f>
        <v>31.479452054794521</v>
      </c>
      <c r="J217">
        <f>_xlfn.XLOOKUP(sales_Data[[#This Row],[product_id]],sales_Data[product_id],sales_Data[unit_price])</f>
        <v>45</v>
      </c>
    </row>
    <row r="218" spans="1:10" x14ac:dyDescent="0.3">
      <c r="A218" t="s">
        <v>234</v>
      </c>
      <c r="B218" s="1">
        <v>45701</v>
      </c>
      <c r="C218" t="s">
        <v>12</v>
      </c>
      <c r="D218" t="s">
        <v>13</v>
      </c>
      <c r="E218">
        <v>12.5</v>
      </c>
      <c r="F218">
        <v>36</v>
      </c>
      <c r="G218">
        <v>0</v>
      </c>
      <c r="H218">
        <v>450</v>
      </c>
      <c r="I218">
        <f>AVERAGEIFS(sales_Data[units_sold], sales_Data[product_id],sales_Data[[#This Row],[product_id]])</f>
        <v>31.794520547945204</v>
      </c>
      <c r="J218">
        <f>_xlfn.XLOOKUP(sales_Data[[#This Row],[product_id]],sales_Data[product_id],sales_Data[unit_price])</f>
        <v>12.5</v>
      </c>
    </row>
    <row r="219" spans="1:10" x14ac:dyDescent="0.3">
      <c r="A219" t="s">
        <v>235</v>
      </c>
      <c r="B219" s="1">
        <v>45701</v>
      </c>
      <c r="C219" t="s">
        <v>15</v>
      </c>
      <c r="D219" t="s">
        <v>16</v>
      </c>
      <c r="E219">
        <v>35</v>
      </c>
      <c r="F219">
        <v>22</v>
      </c>
      <c r="G219">
        <v>0.1</v>
      </c>
      <c r="H219">
        <v>693</v>
      </c>
      <c r="I219">
        <f>AVERAGEIFS(sales_Data[units_sold], sales_Data[product_id],sales_Data[[#This Row],[product_id]])</f>
        <v>30.438356164383563</v>
      </c>
      <c r="J219">
        <f>_xlfn.XLOOKUP(sales_Data[[#This Row],[product_id]],sales_Data[product_id],sales_Data[unit_price])</f>
        <v>35</v>
      </c>
    </row>
    <row r="220" spans="1:10" x14ac:dyDescent="0.3">
      <c r="A220" t="s">
        <v>236</v>
      </c>
      <c r="B220" s="1">
        <v>45701</v>
      </c>
      <c r="C220" t="s">
        <v>18</v>
      </c>
      <c r="D220" t="s">
        <v>19</v>
      </c>
      <c r="E220">
        <v>120</v>
      </c>
      <c r="F220">
        <v>31</v>
      </c>
      <c r="G220">
        <v>0</v>
      </c>
      <c r="H220">
        <v>3720</v>
      </c>
      <c r="I220">
        <f>AVERAGEIFS(sales_Data[units_sold], sales_Data[product_id],sales_Data[[#This Row],[product_id]])</f>
        <v>30.473972602739725</v>
      </c>
      <c r="J220">
        <f>_xlfn.XLOOKUP(sales_Data[[#This Row],[product_id]],sales_Data[product_id],sales_Data[unit_price])</f>
        <v>120</v>
      </c>
    </row>
    <row r="221" spans="1:10" x14ac:dyDescent="0.3">
      <c r="A221" t="s">
        <v>237</v>
      </c>
      <c r="B221" s="1">
        <v>45701</v>
      </c>
      <c r="C221" t="s">
        <v>21</v>
      </c>
      <c r="D221" t="s">
        <v>22</v>
      </c>
      <c r="E221">
        <v>25</v>
      </c>
      <c r="F221">
        <v>30</v>
      </c>
      <c r="G221">
        <v>0</v>
      </c>
      <c r="H221">
        <v>750</v>
      </c>
      <c r="I221">
        <f>AVERAGEIFS(sales_Data[units_sold], sales_Data[product_id],sales_Data[[#This Row],[product_id]])</f>
        <v>29.463013698630139</v>
      </c>
      <c r="J221">
        <f>_xlfn.XLOOKUP(sales_Data[[#This Row],[product_id]],sales_Data[product_id],sales_Data[unit_price])</f>
        <v>25</v>
      </c>
    </row>
    <row r="222" spans="1:10" x14ac:dyDescent="0.3">
      <c r="A222" t="s">
        <v>238</v>
      </c>
      <c r="B222" s="1">
        <v>45702</v>
      </c>
      <c r="C222" t="s">
        <v>9</v>
      </c>
      <c r="D222" t="s">
        <v>10</v>
      </c>
      <c r="E222">
        <v>45</v>
      </c>
      <c r="F222">
        <v>39</v>
      </c>
      <c r="G222">
        <v>0.1</v>
      </c>
      <c r="H222">
        <v>1579.5</v>
      </c>
      <c r="I222">
        <f>AVERAGEIFS(sales_Data[units_sold], sales_Data[product_id],sales_Data[[#This Row],[product_id]])</f>
        <v>31.479452054794521</v>
      </c>
      <c r="J222">
        <f>_xlfn.XLOOKUP(sales_Data[[#This Row],[product_id]],sales_Data[product_id],sales_Data[unit_price])</f>
        <v>45</v>
      </c>
    </row>
    <row r="223" spans="1:10" x14ac:dyDescent="0.3">
      <c r="A223" t="s">
        <v>239</v>
      </c>
      <c r="B223" s="1">
        <v>45702</v>
      </c>
      <c r="C223" t="s">
        <v>12</v>
      </c>
      <c r="D223" t="s">
        <v>13</v>
      </c>
      <c r="E223">
        <v>12.5</v>
      </c>
      <c r="F223">
        <v>24</v>
      </c>
      <c r="G223">
        <v>0.1</v>
      </c>
      <c r="H223">
        <v>270</v>
      </c>
      <c r="I223">
        <f>AVERAGEIFS(sales_Data[units_sold], sales_Data[product_id],sales_Data[[#This Row],[product_id]])</f>
        <v>31.794520547945204</v>
      </c>
      <c r="J223">
        <f>_xlfn.XLOOKUP(sales_Data[[#This Row],[product_id]],sales_Data[product_id],sales_Data[unit_price])</f>
        <v>12.5</v>
      </c>
    </row>
    <row r="224" spans="1:10" x14ac:dyDescent="0.3">
      <c r="A224" t="s">
        <v>240</v>
      </c>
      <c r="B224" s="1">
        <v>45702</v>
      </c>
      <c r="C224" t="s">
        <v>15</v>
      </c>
      <c r="D224" t="s">
        <v>16</v>
      </c>
      <c r="E224">
        <v>35</v>
      </c>
      <c r="F224">
        <v>43</v>
      </c>
      <c r="G224">
        <v>0</v>
      </c>
      <c r="H224">
        <v>1505</v>
      </c>
      <c r="I224">
        <f>AVERAGEIFS(sales_Data[units_sold], sales_Data[product_id],sales_Data[[#This Row],[product_id]])</f>
        <v>30.438356164383563</v>
      </c>
      <c r="J224">
        <f>_xlfn.XLOOKUP(sales_Data[[#This Row],[product_id]],sales_Data[product_id],sales_Data[unit_price])</f>
        <v>35</v>
      </c>
    </row>
    <row r="225" spans="1:10" x14ac:dyDescent="0.3">
      <c r="A225" t="s">
        <v>241</v>
      </c>
      <c r="B225" s="1">
        <v>45702</v>
      </c>
      <c r="C225" t="s">
        <v>18</v>
      </c>
      <c r="D225" t="s">
        <v>19</v>
      </c>
      <c r="E225">
        <v>120</v>
      </c>
      <c r="F225">
        <v>8</v>
      </c>
      <c r="G225">
        <v>0</v>
      </c>
      <c r="H225">
        <v>960</v>
      </c>
      <c r="I225">
        <f>AVERAGEIFS(sales_Data[units_sold], sales_Data[product_id],sales_Data[[#This Row],[product_id]])</f>
        <v>30.473972602739725</v>
      </c>
      <c r="J225">
        <f>_xlfn.XLOOKUP(sales_Data[[#This Row],[product_id]],sales_Data[product_id],sales_Data[unit_price])</f>
        <v>120</v>
      </c>
    </row>
    <row r="226" spans="1:10" x14ac:dyDescent="0.3">
      <c r="A226" t="s">
        <v>242</v>
      </c>
      <c r="B226" s="1">
        <v>45702</v>
      </c>
      <c r="C226" t="s">
        <v>21</v>
      </c>
      <c r="D226" t="s">
        <v>22</v>
      </c>
      <c r="E226">
        <v>25</v>
      </c>
      <c r="F226">
        <v>6</v>
      </c>
      <c r="G226">
        <v>0</v>
      </c>
      <c r="H226">
        <v>150</v>
      </c>
      <c r="I226">
        <f>AVERAGEIFS(sales_Data[units_sold], sales_Data[product_id],sales_Data[[#This Row],[product_id]])</f>
        <v>29.463013698630139</v>
      </c>
      <c r="J226">
        <f>_xlfn.XLOOKUP(sales_Data[[#This Row],[product_id]],sales_Data[product_id],sales_Data[unit_price])</f>
        <v>25</v>
      </c>
    </row>
    <row r="227" spans="1:10" x14ac:dyDescent="0.3">
      <c r="A227" t="s">
        <v>243</v>
      </c>
      <c r="B227" s="1">
        <v>45703</v>
      </c>
      <c r="C227" t="s">
        <v>9</v>
      </c>
      <c r="D227" t="s">
        <v>10</v>
      </c>
      <c r="E227">
        <v>45</v>
      </c>
      <c r="F227">
        <v>40</v>
      </c>
      <c r="G227">
        <v>0</v>
      </c>
      <c r="H227">
        <v>1800</v>
      </c>
      <c r="I227">
        <f>AVERAGEIFS(sales_Data[units_sold], sales_Data[product_id],sales_Data[[#This Row],[product_id]])</f>
        <v>31.479452054794521</v>
      </c>
      <c r="J227">
        <f>_xlfn.XLOOKUP(sales_Data[[#This Row],[product_id]],sales_Data[product_id],sales_Data[unit_price])</f>
        <v>45</v>
      </c>
    </row>
    <row r="228" spans="1:10" x14ac:dyDescent="0.3">
      <c r="A228" t="s">
        <v>244</v>
      </c>
      <c r="B228" s="1">
        <v>45703</v>
      </c>
      <c r="C228" t="s">
        <v>12</v>
      </c>
      <c r="D228" t="s">
        <v>13</v>
      </c>
      <c r="E228">
        <v>12.5</v>
      </c>
      <c r="F228">
        <v>13</v>
      </c>
      <c r="G228">
        <v>0.1</v>
      </c>
      <c r="H228">
        <v>146.25</v>
      </c>
      <c r="I228">
        <f>AVERAGEIFS(sales_Data[units_sold], sales_Data[product_id],sales_Data[[#This Row],[product_id]])</f>
        <v>31.794520547945204</v>
      </c>
      <c r="J228">
        <f>_xlfn.XLOOKUP(sales_Data[[#This Row],[product_id]],sales_Data[product_id],sales_Data[unit_price])</f>
        <v>12.5</v>
      </c>
    </row>
    <row r="229" spans="1:10" x14ac:dyDescent="0.3">
      <c r="A229" t="s">
        <v>245</v>
      </c>
      <c r="B229" s="1">
        <v>45703</v>
      </c>
      <c r="C229" t="s">
        <v>15</v>
      </c>
      <c r="D229" t="s">
        <v>16</v>
      </c>
      <c r="E229">
        <v>35</v>
      </c>
      <c r="F229">
        <v>49</v>
      </c>
      <c r="G229">
        <v>0</v>
      </c>
      <c r="H229">
        <v>1715</v>
      </c>
      <c r="I229">
        <f>AVERAGEIFS(sales_Data[units_sold], sales_Data[product_id],sales_Data[[#This Row],[product_id]])</f>
        <v>30.438356164383563</v>
      </c>
      <c r="J229">
        <f>_xlfn.XLOOKUP(sales_Data[[#This Row],[product_id]],sales_Data[product_id],sales_Data[unit_price])</f>
        <v>35</v>
      </c>
    </row>
    <row r="230" spans="1:10" x14ac:dyDescent="0.3">
      <c r="A230" t="s">
        <v>246</v>
      </c>
      <c r="B230" s="1">
        <v>45703</v>
      </c>
      <c r="C230" t="s">
        <v>18</v>
      </c>
      <c r="D230" t="s">
        <v>19</v>
      </c>
      <c r="E230">
        <v>120</v>
      </c>
      <c r="F230">
        <v>39</v>
      </c>
      <c r="G230">
        <v>0</v>
      </c>
      <c r="H230">
        <v>4680</v>
      </c>
      <c r="I230">
        <f>AVERAGEIFS(sales_Data[units_sold], sales_Data[product_id],sales_Data[[#This Row],[product_id]])</f>
        <v>30.473972602739725</v>
      </c>
      <c r="J230">
        <f>_xlfn.XLOOKUP(sales_Data[[#This Row],[product_id]],sales_Data[product_id],sales_Data[unit_price])</f>
        <v>120</v>
      </c>
    </row>
    <row r="231" spans="1:10" x14ac:dyDescent="0.3">
      <c r="A231" t="s">
        <v>247</v>
      </c>
      <c r="B231" s="1">
        <v>45703</v>
      </c>
      <c r="C231" t="s">
        <v>21</v>
      </c>
      <c r="D231" t="s">
        <v>22</v>
      </c>
      <c r="E231">
        <v>25</v>
      </c>
      <c r="F231">
        <v>10</v>
      </c>
      <c r="G231">
        <v>0</v>
      </c>
      <c r="H231">
        <v>250</v>
      </c>
      <c r="I231">
        <f>AVERAGEIFS(sales_Data[units_sold], sales_Data[product_id],sales_Data[[#This Row],[product_id]])</f>
        <v>29.463013698630139</v>
      </c>
      <c r="J231">
        <f>_xlfn.XLOOKUP(sales_Data[[#This Row],[product_id]],sales_Data[product_id],sales_Data[unit_price])</f>
        <v>25</v>
      </c>
    </row>
    <row r="232" spans="1:10" x14ac:dyDescent="0.3">
      <c r="A232" t="s">
        <v>248</v>
      </c>
      <c r="B232" s="1">
        <v>45704</v>
      </c>
      <c r="C232" t="s">
        <v>9</v>
      </c>
      <c r="D232" t="s">
        <v>10</v>
      </c>
      <c r="E232">
        <v>45</v>
      </c>
      <c r="F232">
        <v>36</v>
      </c>
      <c r="G232">
        <v>0</v>
      </c>
      <c r="H232">
        <v>1620</v>
      </c>
      <c r="I232">
        <f>AVERAGEIFS(sales_Data[units_sold], sales_Data[product_id],sales_Data[[#This Row],[product_id]])</f>
        <v>31.479452054794521</v>
      </c>
      <c r="J232">
        <f>_xlfn.XLOOKUP(sales_Data[[#This Row],[product_id]],sales_Data[product_id],sales_Data[unit_price])</f>
        <v>45</v>
      </c>
    </row>
    <row r="233" spans="1:10" x14ac:dyDescent="0.3">
      <c r="A233" t="s">
        <v>249</v>
      </c>
      <c r="B233" s="1">
        <v>45704</v>
      </c>
      <c r="C233" t="s">
        <v>12</v>
      </c>
      <c r="D233" t="s">
        <v>13</v>
      </c>
      <c r="E233">
        <v>12.5</v>
      </c>
      <c r="F233">
        <v>25</v>
      </c>
      <c r="G233">
        <v>0.1</v>
      </c>
      <c r="H233">
        <v>281.25</v>
      </c>
      <c r="I233">
        <f>AVERAGEIFS(sales_Data[units_sold], sales_Data[product_id],sales_Data[[#This Row],[product_id]])</f>
        <v>31.794520547945204</v>
      </c>
      <c r="J233">
        <f>_xlfn.XLOOKUP(sales_Data[[#This Row],[product_id]],sales_Data[product_id],sales_Data[unit_price])</f>
        <v>12.5</v>
      </c>
    </row>
    <row r="234" spans="1:10" x14ac:dyDescent="0.3">
      <c r="A234" t="s">
        <v>250</v>
      </c>
      <c r="B234" s="1">
        <v>45704</v>
      </c>
      <c r="C234" t="s">
        <v>15</v>
      </c>
      <c r="D234" t="s">
        <v>16</v>
      </c>
      <c r="E234">
        <v>35</v>
      </c>
      <c r="F234">
        <v>54</v>
      </c>
      <c r="G234">
        <v>0</v>
      </c>
      <c r="H234">
        <v>1890</v>
      </c>
      <c r="I234">
        <f>AVERAGEIFS(sales_Data[units_sold], sales_Data[product_id],sales_Data[[#This Row],[product_id]])</f>
        <v>30.438356164383563</v>
      </c>
      <c r="J234">
        <f>_xlfn.XLOOKUP(sales_Data[[#This Row],[product_id]],sales_Data[product_id],sales_Data[unit_price])</f>
        <v>35</v>
      </c>
    </row>
    <row r="235" spans="1:10" x14ac:dyDescent="0.3">
      <c r="A235" t="s">
        <v>251</v>
      </c>
      <c r="B235" s="1">
        <v>45704</v>
      </c>
      <c r="C235" t="s">
        <v>18</v>
      </c>
      <c r="D235" t="s">
        <v>19</v>
      </c>
      <c r="E235">
        <v>120</v>
      </c>
      <c r="F235">
        <v>16</v>
      </c>
      <c r="G235">
        <v>0.1</v>
      </c>
      <c r="H235">
        <v>1728</v>
      </c>
      <c r="I235">
        <f>AVERAGEIFS(sales_Data[units_sold], sales_Data[product_id],sales_Data[[#This Row],[product_id]])</f>
        <v>30.473972602739725</v>
      </c>
      <c r="J235">
        <f>_xlfn.XLOOKUP(sales_Data[[#This Row],[product_id]],sales_Data[product_id],sales_Data[unit_price])</f>
        <v>120</v>
      </c>
    </row>
    <row r="236" spans="1:10" x14ac:dyDescent="0.3">
      <c r="A236" t="s">
        <v>252</v>
      </c>
      <c r="B236" s="1">
        <v>45704</v>
      </c>
      <c r="C236" t="s">
        <v>21</v>
      </c>
      <c r="D236" t="s">
        <v>22</v>
      </c>
      <c r="E236">
        <v>25</v>
      </c>
      <c r="F236">
        <v>31</v>
      </c>
      <c r="G236">
        <v>0</v>
      </c>
      <c r="H236">
        <v>775</v>
      </c>
      <c r="I236">
        <f>AVERAGEIFS(sales_Data[units_sold], sales_Data[product_id],sales_Data[[#This Row],[product_id]])</f>
        <v>29.463013698630139</v>
      </c>
      <c r="J236">
        <f>_xlfn.XLOOKUP(sales_Data[[#This Row],[product_id]],sales_Data[product_id],sales_Data[unit_price])</f>
        <v>25</v>
      </c>
    </row>
    <row r="237" spans="1:10" x14ac:dyDescent="0.3">
      <c r="A237" t="s">
        <v>253</v>
      </c>
      <c r="B237" s="1">
        <v>45705</v>
      </c>
      <c r="C237" t="s">
        <v>9</v>
      </c>
      <c r="D237" t="s">
        <v>10</v>
      </c>
      <c r="E237">
        <v>45</v>
      </c>
      <c r="F237">
        <v>42</v>
      </c>
      <c r="G237">
        <v>0</v>
      </c>
      <c r="H237">
        <v>1890</v>
      </c>
      <c r="I237">
        <f>AVERAGEIFS(sales_Data[units_sold], sales_Data[product_id],sales_Data[[#This Row],[product_id]])</f>
        <v>31.479452054794521</v>
      </c>
      <c r="J237">
        <f>_xlfn.XLOOKUP(sales_Data[[#This Row],[product_id]],sales_Data[product_id],sales_Data[unit_price])</f>
        <v>45</v>
      </c>
    </row>
    <row r="238" spans="1:10" x14ac:dyDescent="0.3">
      <c r="A238" t="s">
        <v>254</v>
      </c>
      <c r="B238" s="1">
        <v>45705</v>
      </c>
      <c r="C238" t="s">
        <v>12</v>
      </c>
      <c r="D238" t="s">
        <v>13</v>
      </c>
      <c r="E238">
        <v>12.5</v>
      </c>
      <c r="F238">
        <v>47</v>
      </c>
      <c r="G238">
        <v>0</v>
      </c>
      <c r="H238">
        <v>587.5</v>
      </c>
      <c r="I238">
        <f>AVERAGEIFS(sales_Data[units_sold], sales_Data[product_id],sales_Data[[#This Row],[product_id]])</f>
        <v>31.794520547945204</v>
      </c>
      <c r="J238">
        <f>_xlfn.XLOOKUP(sales_Data[[#This Row],[product_id]],sales_Data[product_id],sales_Data[unit_price])</f>
        <v>12.5</v>
      </c>
    </row>
    <row r="239" spans="1:10" x14ac:dyDescent="0.3">
      <c r="A239" t="s">
        <v>255</v>
      </c>
      <c r="B239" s="1">
        <v>45705</v>
      </c>
      <c r="C239" t="s">
        <v>15</v>
      </c>
      <c r="D239" t="s">
        <v>16</v>
      </c>
      <c r="E239">
        <v>35</v>
      </c>
      <c r="F239">
        <v>36</v>
      </c>
      <c r="G239">
        <v>0</v>
      </c>
      <c r="H239">
        <v>1260</v>
      </c>
      <c r="I239">
        <f>AVERAGEIFS(sales_Data[units_sold], sales_Data[product_id],sales_Data[[#This Row],[product_id]])</f>
        <v>30.438356164383563</v>
      </c>
      <c r="J239">
        <f>_xlfn.XLOOKUP(sales_Data[[#This Row],[product_id]],sales_Data[product_id],sales_Data[unit_price])</f>
        <v>35</v>
      </c>
    </row>
    <row r="240" spans="1:10" x14ac:dyDescent="0.3">
      <c r="A240" t="s">
        <v>256</v>
      </c>
      <c r="B240" s="1">
        <v>45705</v>
      </c>
      <c r="C240" t="s">
        <v>18</v>
      </c>
      <c r="D240" t="s">
        <v>19</v>
      </c>
      <c r="E240">
        <v>120</v>
      </c>
      <c r="F240">
        <v>45</v>
      </c>
      <c r="G240">
        <v>0.1</v>
      </c>
      <c r="H240">
        <v>4860</v>
      </c>
      <c r="I240">
        <f>AVERAGEIFS(sales_Data[units_sold], sales_Data[product_id],sales_Data[[#This Row],[product_id]])</f>
        <v>30.473972602739725</v>
      </c>
      <c r="J240">
        <f>_xlfn.XLOOKUP(sales_Data[[#This Row],[product_id]],sales_Data[product_id],sales_Data[unit_price])</f>
        <v>120</v>
      </c>
    </row>
    <row r="241" spans="1:10" x14ac:dyDescent="0.3">
      <c r="A241" t="s">
        <v>257</v>
      </c>
      <c r="B241" s="1">
        <v>45705</v>
      </c>
      <c r="C241" t="s">
        <v>21</v>
      </c>
      <c r="D241" t="s">
        <v>22</v>
      </c>
      <c r="E241">
        <v>25</v>
      </c>
      <c r="F241">
        <v>19</v>
      </c>
      <c r="G241">
        <v>0</v>
      </c>
      <c r="H241">
        <v>475</v>
      </c>
      <c r="I241">
        <f>AVERAGEIFS(sales_Data[units_sold], sales_Data[product_id],sales_Data[[#This Row],[product_id]])</f>
        <v>29.463013698630139</v>
      </c>
      <c r="J241">
        <f>_xlfn.XLOOKUP(sales_Data[[#This Row],[product_id]],sales_Data[product_id],sales_Data[unit_price])</f>
        <v>25</v>
      </c>
    </row>
    <row r="242" spans="1:10" x14ac:dyDescent="0.3">
      <c r="A242" t="s">
        <v>258</v>
      </c>
      <c r="B242" s="1">
        <v>45706</v>
      </c>
      <c r="C242" t="s">
        <v>9</v>
      </c>
      <c r="D242" t="s">
        <v>10</v>
      </c>
      <c r="E242">
        <v>45</v>
      </c>
      <c r="F242">
        <v>21</v>
      </c>
      <c r="G242">
        <v>0.1</v>
      </c>
      <c r="H242">
        <v>850.5</v>
      </c>
      <c r="I242">
        <f>AVERAGEIFS(sales_Data[units_sold], sales_Data[product_id],sales_Data[[#This Row],[product_id]])</f>
        <v>31.479452054794521</v>
      </c>
      <c r="J242">
        <f>_xlfn.XLOOKUP(sales_Data[[#This Row],[product_id]],sales_Data[product_id],sales_Data[unit_price])</f>
        <v>45</v>
      </c>
    </row>
    <row r="243" spans="1:10" x14ac:dyDescent="0.3">
      <c r="A243" t="s">
        <v>259</v>
      </c>
      <c r="B243" s="1">
        <v>45706</v>
      </c>
      <c r="C243" t="s">
        <v>12</v>
      </c>
      <c r="D243" t="s">
        <v>13</v>
      </c>
      <c r="E243">
        <v>12.5</v>
      </c>
      <c r="F243">
        <v>7</v>
      </c>
      <c r="G243">
        <v>0</v>
      </c>
      <c r="H243">
        <v>87.5</v>
      </c>
      <c r="I243">
        <f>AVERAGEIFS(sales_Data[units_sold], sales_Data[product_id],sales_Data[[#This Row],[product_id]])</f>
        <v>31.794520547945204</v>
      </c>
      <c r="J243">
        <f>_xlfn.XLOOKUP(sales_Data[[#This Row],[product_id]],sales_Data[product_id],sales_Data[unit_price])</f>
        <v>12.5</v>
      </c>
    </row>
    <row r="244" spans="1:10" x14ac:dyDescent="0.3">
      <c r="A244" t="s">
        <v>260</v>
      </c>
      <c r="B244" s="1">
        <v>45706</v>
      </c>
      <c r="C244" t="s">
        <v>15</v>
      </c>
      <c r="D244" t="s">
        <v>16</v>
      </c>
      <c r="E244">
        <v>35</v>
      </c>
      <c r="F244">
        <v>41</v>
      </c>
      <c r="G244">
        <v>0</v>
      </c>
      <c r="H244">
        <v>1435</v>
      </c>
      <c r="I244">
        <f>AVERAGEIFS(sales_Data[units_sold], sales_Data[product_id],sales_Data[[#This Row],[product_id]])</f>
        <v>30.438356164383563</v>
      </c>
      <c r="J244">
        <f>_xlfn.XLOOKUP(sales_Data[[#This Row],[product_id]],sales_Data[product_id],sales_Data[unit_price])</f>
        <v>35</v>
      </c>
    </row>
    <row r="245" spans="1:10" x14ac:dyDescent="0.3">
      <c r="A245" t="s">
        <v>261</v>
      </c>
      <c r="B245" s="1">
        <v>45706</v>
      </c>
      <c r="C245" t="s">
        <v>18</v>
      </c>
      <c r="D245" t="s">
        <v>19</v>
      </c>
      <c r="E245">
        <v>120</v>
      </c>
      <c r="F245">
        <v>22</v>
      </c>
      <c r="G245">
        <v>0</v>
      </c>
      <c r="H245">
        <v>2640</v>
      </c>
      <c r="I245">
        <f>AVERAGEIFS(sales_Data[units_sold], sales_Data[product_id],sales_Data[[#This Row],[product_id]])</f>
        <v>30.473972602739725</v>
      </c>
      <c r="J245">
        <f>_xlfn.XLOOKUP(sales_Data[[#This Row],[product_id]],sales_Data[product_id],sales_Data[unit_price])</f>
        <v>120</v>
      </c>
    </row>
    <row r="246" spans="1:10" x14ac:dyDescent="0.3">
      <c r="A246" t="s">
        <v>262</v>
      </c>
      <c r="B246" s="1">
        <v>45706</v>
      </c>
      <c r="C246" t="s">
        <v>21</v>
      </c>
      <c r="D246" t="s">
        <v>22</v>
      </c>
      <c r="E246">
        <v>25</v>
      </c>
      <c r="F246">
        <v>31</v>
      </c>
      <c r="G246">
        <v>0</v>
      </c>
      <c r="H246">
        <v>775</v>
      </c>
      <c r="I246">
        <f>AVERAGEIFS(sales_Data[units_sold], sales_Data[product_id],sales_Data[[#This Row],[product_id]])</f>
        <v>29.463013698630139</v>
      </c>
      <c r="J246">
        <f>_xlfn.XLOOKUP(sales_Data[[#This Row],[product_id]],sales_Data[product_id],sales_Data[unit_price])</f>
        <v>25</v>
      </c>
    </row>
    <row r="247" spans="1:10" x14ac:dyDescent="0.3">
      <c r="A247" t="s">
        <v>263</v>
      </c>
      <c r="B247" s="1">
        <v>45707</v>
      </c>
      <c r="C247" t="s">
        <v>9</v>
      </c>
      <c r="D247" t="s">
        <v>10</v>
      </c>
      <c r="E247">
        <v>45</v>
      </c>
      <c r="F247">
        <v>27</v>
      </c>
      <c r="G247">
        <v>0.2</v>
      </c>
      <c r="H247">
        <v>972</v>
      </c>
      <c r="I247">
        <f>AVERAGEIFS(sales_Data[units_sold], sales_Data[product_id],sales_Data[[#This Row],[product_id]])</f>
        <v>31.479452054794521</v>
      </c>
      <c r="J247">
        <f>_xlfn.XLOOKUP(sales_Data[[#This Row],[product_id]],sales_Data[product_id],sales_Data[unit_price])</f>
        <v>45</v>
      </c>
    </row>
    <row r="248" spans="1:10" x14ac:dyDescent="0.3">
      <c r="A248" t="s">
        <v>264</v>
      </c>
      <c r="B248" s="1">
        <v>45707</v>
      </c>
      <c r="C248" t="s">
        <v>12</v>
      </c>
      <c r="D248" t="s">
        <v>13</v>
      </c>
      <c r="E248">
        <v>12.5</v>
      </c>
      <c r="F248">
        <v>28</v>
      </c>
      <c r="G248">
        <v>0.1</v>
      </c>
      <c r="H248">
        <v>315</v>
      </c>
      <c r="I248">
        <f>AVERAGEIFS(sales_Data[units_sold], sales_Data[product_id],sales_Data[[#This Row],[product_id]])</f>
        <v>31.794520547945204</v>
      </c>
      <c r="J248">
        <f>_xlfn.XLOOKUP(sales_Data[[#This Row],[product_id]],sales_Data[product_id],sales_Data[unit_price])</f>
        <v>12.5</v>
      </c>
    </row>
    <row r="249" spans="1:10" x14ac:dyDescent="0.3">
      <c r="A249" t="s">
        <v>265</v>
      </c>
      <c r="B249" s="1">
        <v>45707</v>
      </c>
      <c r="C249" t="s">
        <v>15</v>
      </c>
      <c r="D249" t="s">
        <v>16</v>
      </c>
      <c r="E249">
        <v>35</v>
      </c>
      <c r="F249">
        <v>33</v>
      </c>
      <c r="G249">
        <v>0</v>
      </c>
      <c r="H249">
        <v>1155</v>
      </c>
      <c r="I249">
        <f>AVERAGEIFS(sales_Data[units_sold], sales_Data[product_id],sales_Data[[#This Row],[product_id]])</f>
        <v>30.438356164383563</v>
      </c>
      <c r="J249">
        <f>_xlfn.XLOOKUP(sales_Data[[#This Row],[product_id]],sales_Data[product_id],sales_Data[unit_price])</f>
        <v>35</v>
      </c>
    </row>
    <row r="250" spans="1:10" x14ac:dyDescent="0.3">
      <c r="A250" t="s">
        <v>266</v>
      </c>
      <c r="B250" s="1">
        <v>45707</v>
      </c>
      <c r="C250" t="s">
        <v>18</v>
      </c>
      <c r="D250" t="s">
        <v>19</v>
      </c>
      <c r="E250">
        <v>120</v>
      </c>
      <c r="F250">
        <v>26</v>
      </c>
      <c r="G250">
        <v>0</v>
      </c>
      <c r="H250">
        <v>3120</v>
      </c>
      <c r="I250">
        <f>AVERAGEIFS(sales_Data[units_sold], sales_Data[product_id],sales_Data[[#This Row],[product_id]])</f>
        <v>30.473972602739725</v>
      </c>
      <c r="J250">
        <f>_xlfn.XLOOKUP(sales_Data[[#This Row],[product_id]],sales_Data[product_id],sales_Data[unit_price])</f>
        <v>120</v>
      </c>
    </row>
    <row r="251" spans="1:10" x14ac:dyDescent="0.3">
      <c r="A251" t="s">
        <v>267</v>
      </c>
      <c r="B251" s="1">
        <v>45707</v>
      </c>
      <c r="C251" t="s">
        <v>21</v>
      </c>
      <c r="D251" t="s">
        <v>22</v>
      </c>
      <c r="E251">
        <v>25</v>
      </c>
      <c r="F251">
        <v>11</v>
      </c>
      <c r="G251">
        <v>0</v>
      </c>
      <c r="H251">
        <v>275</v>
      </c>
      <c r="I251">
        <f>AVERAGEIFS(sales_Data[units_sold], sales_Data[product_id],sales_Data[[#This Row],[product_id]])</f>
        <v>29.463013698630139</v>
      </c>
      <c r="J251">
        <f>_xlfn.XLOOKUP(sales_Data[[#This Row],[product_id]],sales_Data[product_id],sales_Data[unit_price])</f>
        <v>25</v>
      </c>
    </row>
    <row r="252" spans="1:10" x14ac:dyDescent="0.3">
      <c r="A252" t="s">
        <v>268</v>
      </c>
      <c r="B252" s="1">
        <v>45708</v>
      </c>
      <c r="C252" t="s">
        <v>9</v>
      </c>
      <c r="D252" t="s">
        <v>10</v>
      </c>
      <c r="E252">
        <v>45</v>
      </c>
      <c r="F252">
        <v>30</v>
      </c>
      <c r="G252">
        <v>0</v>
      </c>
      <c r="H252">
        <v>1350</v>
      </c>
      <c r="I252">
        <f>AVERAGEIFS(sales_Data[units_sold], sales_Data[product_id],sales_Data[[#This Row],[product_id]])</f>
        <v>31.479452054794521</v>
      </c>
      <c r="J252">
        <f>_xlfn.XLOOKUP(sales_Data[[#This Row],[product_id]],sales_Data[product_id],sales_Data[unit_price])</f>
        <v>45</v>
      </c>
    </row>
    <row r="253" spans="1:10" x14ac:dyDescent="0.3">
      <c r="A253" t="s">
        <v>269</v>
      </c>
      <c r="B253" s="1">
        <v>45708</v>
      </c>
      <c r="C253" t="s">
        <v>12</v>
      </c>
      <c r="D253" t="s">
        <v>13</v>
      </c>
      <c r="E253">
        <v>12.5</v>
      </c>
      <c r="F253">
        <v>17</v>
      </c>
      <c r="G253">
        <v>0</v>
      </c>
      <c r="H253">
        <v>212.5</v>
      </c>
      <c r="I253">
        <f>AVERAGEIFS(sales_Data[units_sold], sales_Data[product_id],sales_Data[[#This Row],[product_id]])</f>
        <v>31.794520547945204</v>
      </c>
      <c r="J253">
        <f>_xlfn.XLOOKUP(sales_Data[[#This Row],[product_id]],sales_Data[product_id],sales_Data[unit_price])</f>
        <v>12.5</v>
      </c>
    </row>
    <row r="254" spans="1:10" x14ac:dyDescent="0.3">
      <c r="A254" t="s">
        <v>270</v>
      </c>
      <c r="B254" s="1">
        <v>45708</v>
      </c>
      <c r="C254" t="s">
        <v>15</v>
      </c>
      <c r="D254" t="s">
        <v>16</v>
      </c>
      <c r="E254">
        <v>35</v>
      </c>
      <c r="F254">
        <v>30</v>
      </c>
      <c r="G254">
        <v>0</v>
      </c>
      <c r="H254">
        <v>1050</v>
      </c>
      <c r="I254">
        <f>AVERAGEIFS(sales_Data[units_sold], sales_Data[product_id],sales_Data[[#This Row],[product_id]])</f>
        <v>30.438356164383563</v>
      </c>
      <c r="J254">
        <f>_xlfn.XLOOKUP(sales_Data[[#This Row],[product_id]],sales_Data[product_id],sales_Data[unit_price])</f>
        <v>35</v>
      </c>
    </row>
    <row r="255" spans="1:10" x14ac:dyDescent="0.3">
      <c r="A255" t="s">
        <v>271</v>
      </c>
      <c r="B255" s="1">
        <v>45708</v>
      </c>
      <c r="C255" t="s">
        <v>18</v>
      </c>
      <c r="D255" t="s">
        <v>19</v>
      </c>
      <c r="E255">
        <v>120</v>
      </c>
      <c r="F255">
        <v>8</v>
      </c>
      <c r="G255">
        <v>0.2</v>
      </c>
      <c r="H255">
        <v>768</v>
      </c>
      <c r="I255">
        <f>AVERAGEIFS(sales_Data[units_sold], sales_Data[product_id],sales_Data[[#This Row],[product_id]])</f>
        <v>30.473972602739725</v>
      </c>
      <c r="J255">
        <f>_xlfn.XLOOKUP(sales_Data[[#This Row],[product_id]],sales_Data[product_id],sales_Data[unit_price])</f>
        <v>120</v>
      </c>
    </row>
    <row r="256" spans="1:10" x14ac:dyDescent="0.3">
      <c r="A256" t="s">
        <v>272</v>
      </c>
      <c r="B256" s="1">
        <v>45708</v>
      </c>
      <c r="C256" t="s">
        <v>21</v>
      </c>
      <c r="D256" t="s">
        <v>22</v>
      </c>
      <c r="E256">
        <v>25</v>
      </c>
      <c r="F256">
        <v>22</v>
      </c>
      <c r="G256">
        <v>0</v>
      </c>
      <c r="H256">
        <v>550</v>
      </c>
      <c r="I256">
        <f>AVERAGEIFS(sales_Data[units_sold], sales_Data[product_id],sales_Data[[#This Row],[product_id]])</f>
        <v>29.463013698630139</v>
      </c>
      <c r="J256">
        <f>_xlfn.XLOOKUP(sales_Data[[#This Row],[product_id]],sales_Data[product_id],sales_Data[unit_price])</f>
        <v>25</v>
      </c>
    </row>
    <row r="257" spans="1:10" x14ac:dyDescent="0.3">
      <c r="A257" t="s">
        <v>273</v>
      </c>
      <c r="B257" s="1">
        <v>45709</v>
      </c>
      <c r="C257" t="s">
        <v>9</v>
      </c>
      <c r="D257" t="s">
        <v>10</v>
      </c>
      <c r="E257">
        <v>45</v>
      </c>
      <c r="F257">
        <v>20</v>
      </c>
      <c r="G257">
        <v>0.1</v>
      </c>
      <c r="H257">
        <v>810</v>
      </c>
      <c r="I257">
        <f>AVERAGEIFS(sales_Data[units_sold], sales_Data[product_id],sales_Data[[#This Row],[product_id]])</f>
        <v>31.479452054794521</v>
      </c>
      <c r="J257">
        <f>_xlfn.XLOOKUP(sales_Data[[#This Row],[product_id]],sales_Data[product_id],sales_Data[unit_price])</f>
        <v>45</v>
      </c>
    </row>
    <row r="258" spans="1:10" x14ac:dyDescent="0.3">
      <c r="A258" t="s">
        <v>274</v>
      </c>
      <c r="B258" s="1">
        <v>45709</v>
      </c>
      <c r="C258" t="s">
        <v>12</v>
      </c>
      <c r="D258" t="s">
        <v>13</v>
      </c>
      <c r="E258">
        <v>12.5</v>
      </c>
      <c r="F258">
        <v>5</v>
      </c>
      <c r="G258">
        <v>0.1</v>
      </c>
      <c r="H258">
        <v>56.25</v>
      </c>
      <c r="I258">
        <f>AVERAGEIFS(sales_Data[units_sold], sales_Data[product_id],sales_Data[[#This Row],[product_id]])</f>
        <v>31.794520547945204</v>
      </c>
      <c r="J258">
        <f>_xlfn.XLOOKUP(sales_Data[[#This Row],[product_id]],sales_Data[product_id],sales_Data[unit_price])</f>
        <v>12.5</v>
      </c>
    </row>
    <row r="259" spans="1:10" x14ac:dyDescent="0.3">
      <c r="A259" t="s">
        <v>275</v>
      </c>
      <c r="B259" s="1">
        <v>45709</v>
      </c>
      <c r="C259" t="s">
        <v>15</v>
      </c>
      <c r="D259" t="s">
        <v>16</v>
      </c>
      <c r="E259">
        <v>35</v>
      </c>
      <c r="F259">
        <v>34</v>
      </c>
      <c r="G259">
        <v>0</v>
      </c>
      <c r="H259">
        <v>1190</v>
      </c>
      <c r="I259">
        <f>AVERAGEIFS(sales_Data[units_sold], sales_Data[product_id],sales_Data[[#This Row],[product_id]])</f>
        <v>30.438356164383563</v>
      </c>
      <c r="J259">
        <f>_xlfn.XLOOKUP(sales_Data[[#This Row],[product_id]],sales_Data[product_id],sales_Data[unit_price])</f>
        <v>35</v>
      </c>
    </row>
    <row r="260" spans="1:10" x14ac:dyDescent="0.3">
      <c r="A260" t="s">
        <v>276</v>
      </c>
      <c r="B260" s="1">
        <v>45709</v>
      </c>
      <c r="C260" t="s">
        <v>18</v>
      </c>
      <c r="D260" t="s">
        <v>19</v>
      </c>
      <c r="E260">
        <v>120</v>
      </c>
      <c r="F260">
        <v>12</v>
      </c>
      <c r="G260">
        <v>0.2</v>
      </c>
      <c r="H260">
        <v>1152</v>
      </c>
      <c r="I260">
        <f>AVERAGEIFS(sales_Data[units_sold], sales_Data[product_id],sales_Data[[#This Row],[product_id]])</f>
        <v>30.473972602739725</v>
      </c>
      <c r="J260">
        <f>_xlfn.XLOOKUP(sales_Data[[#This Row],[product_id]],sales_Data[product_id],sales_Data[unit_price])</f>
        <v>120</v>
      </c>
    </row>
    <row r="261" spans="1:10" x14ac:dyDescent="0.3">
      <c r="A261" t="s">
        <v>277</v>
      </c>
      <c r="B261" s="1">
        <v>45709</v>
      </c>
      <c r="C261" t="s">
        <v>21</v>
      </c>
      <c r="D261" t="s">
        <v>22</v>
      </c>
      <c r="E261">
        <v>25</v>
      </c>
      <c r="F261">
        <v>11</v>
      </c>
      <c r="G261">
        <v>0.2</v>
      </c>
      <c r="H261">
        <v>220</v>
      </c>
      <c r="I261">
        <f>AVERAGEIFS(sales_Data[units_sold], sales_Data[product_id],sales_Data[[#This Row],[product_id]])</f>
        <v>29.463013698630139</v>
      </c>
      <c r="J261">
        <f>_xlfn.XLOOKUP(sales_Data[[#This Row],[product_id]],sales_Data[product_id],sales_Data[unit_price])</f>
        <v>25</v>
      </c>
    </row>
    <row r="262" spans="1:10" x14ac:dyDescent="0.3">
      <c r="A262" t="s">
        <v>278</v>
      </c>
      <c r="B262" s="1">
        <v>45710</v>
      </c>
      <c r="C262" t="s">
        <v>9</v>
      </c>
      <c r="D262" t="s">
        <v>10</v>
      </c>
      <c r="E262">
        <v>45</v>
      </c>
      <c r="F262">
        <v>19</v>
      </c>
      <c r="G262">
        <v>0</v>
      </c>
      <c r="H262">
        <v>855</v>
      </c>
      <c r="I262">
        <f>AVERAGEIFS(sales_Data[units_sold], sales_Data[product_id],sales_Data[[#This Row],[product_id]])</f>
        <v>31.479452054794521</v>
      </c>
      <c r="J262">
        <f>_xlfn.XLOOKUP(sales_Data[[#This Row],[product_id]],sales_Data[product_id],sales_Data[unit_price])</f>
        <v>45</v>
      </c>
    </row>
    <row r="263" spans="1:10" x14ac:dyDescent="0.3">
      <c r="A263" t="s">
        <v>279</v>
      </c>
      <c r="B263" s="1">
        <v>45710</v>
      </c>
      <c r="C263" t="s">
        <v>12</v>
      </c>
      <c r="D263" t="s">
        <v>13</v>
      </c>
      <c r="E263">
        <v>12.5</v>
      </c>
      <c r="F263">
        <v>34</v>
      </c>
      <c r="G263">
        <v>0</v>
      </c>
      <c r="H263">
        <v>425</v>
      </c>
      <c r="I263">
        <f>AVERAGEIFS(sales_Data[units_sold], sales_Data[product_id],sales_Data[[#This Row],[product_id]])</f>
        <v>31.794520547945204</v>
      </c>
      <c r="J263">
        <f>_xlfn.XLOOKUP(sales_Data[[#This Row],[product_id]],sales_Data[product_id],sales_Data[unit_price])</f>
        <v>12.5</v>
      </c>
    </row>
    <row r="264" spans="1:10" x14ac:dyDescent="0.3">
      <c r="A264" t="s">
        <v>280</v>
      </c>
      <c r="B264" s="1">
        <v>45710</v>
      </c>
      <c r="C264" t="s">
        <v>15</v>
      </c>
      <c r="D264" t="s">
        <v>16</v>
      </c>
      <c r="E264">
        <v>35</v>
      </c>
      <c r="F264">
        <v>54</v>
      </c>
      <c r="G264">
        <v>0</v>
      </c>
      <c r="H264">
        <v>1890</v>
      </c>
      <c r="I264">
        <f>AVERAGEIFS(sales_Data[units_sold], sales_Data[product_id],sales_Data[[#This Row],[product_id]])</f>
        <v>30.438356164383563</v>
      </c>
      <c r="J264">
        <f>_xlfn.XLOOKUP(sales_Data[[#This Row],[product_id]],sales_Data[product_id],sales_Data[unit_price])</f>
        <v>35</v>
      </c>
    </row>
    <row r="265" spans="1:10" x14ac:dyDescent="0.3">
      <c r="A265" t="s">
        <v>281</v>
      </c>
      <c r="B265" s="1">
        <v>45710</v>
      </c>
      <c r="C265" t="s">
        <v>18</v>
      </c>
      <c r="D265" t="s">
        <v>19</v>
      </c>
      <c r="E265">
        <v>120</v>
      </c>
      <c r="F265">
        <v>42</v>
      </c>
      <c r="G265">
        <v>0</v>
      </c>
      <c r="H265">
        <v>5040</v>
      </c>
      <c r="I265">
        <f>AVERAGEIFS(sales_Data[units_sold], sales_Data[product_id],sales_Data[[#This Row],[product_id]])</f>
        <v>30.473972602739725</v>
      </c>
      <c r="J265">
        <f>_xlfn.XLOOKUP(sales_Data[[#This Row],[product_id]],sales_Data[product_id],sales_Data[unit_price])</f>
        <v>120</v>
      </c>
    </row>
    <row r="266" spans="1:10" x14ac:dyDescent="0.3">
      <c r="A266" t="s">
        <v>282</v>
      </c>
      <c r="B266" s="1">
        <v>45710</v>
      </c>
      <c r="C266" t="s">
        <v>21</v>
      </c>
      <c r="D266" t="s">
        <v>22</v>
      </c>
      <c r="E266">
        <v>25</v>
      </c>
      <c r="F266">
        <v>10</v>
      </c>
      <c r="G266">
        <v>0.1</v>
      </c>
      <c r="H266">
        <v>225</v>
      </c>
      <c r="I266">
        <f>AVERAGEIFS(sales_Data[units_sold], sales_Data[product_id],sales_Data[[#This Row],[product_id]])</f>
        <v>29.463013698630139</v>
      </c>
      <c r="J266">
        <f>_xlfn.XLOOKUP(sales_Data[[#This Row],[product_id]],sales_Data[product_id],sales_Data[unit_price])</f>
        <v>25</v>
      </c>
    </row>
    <row r="267" spans="1:10" x14ac:dyDescent="0.3">
      <c r="A267" t="s">
        <v>283</v>
      </c>
      <c r="B267" s="1">
        <v>45711</v>
      </c>
      <c r="C267" t="s">
        <v>9</v>
      </c>
      <c r="D267" t="s">
        <v>10</v>
      </c>
      <c r="E267">
        <v>45</v>
      </c>
      <c r="F267">
        <v>54</v>
      </c>
      <c r="G267">
        <v>0</v>
      </c>
      <c r="H267">
        <v>2430</v>
      </c>
      <c r="I267">
        <f>AVERAGEIFS(sales_Data[units_sold], sales_Data[product_id],sales_Data[[#This Row],[product_id]])</f>
        <v>31.479452054794521</v>
      </c>
      <c r="J267">
        <f>_xlfn.XLOOKUP(sales_Data[[#This Row],[product_id]],sales_Data[product_id],sales_Data[unit_price])</f>
        <v>45</v>
      </c>
    </row>
    <row r="268" spans="1:10" x14ac:dyDescent="0.3">
      <c r="A268" t="s">
        <v>284</v>
      </c>
      <c r="B268" s="1">
        <v>45711</v>
      </c>
      <c r="C268" t="s">
        <v>12</v>
      </c>
      <c r="D268" t="s">
        <v>13</v>
      </c>
      <c r="E268">
        <v>12.5</v>
      </c>
      <c r="F268">
        <v>64</v>
      </c>
      <c r="G268">
        <v>0</v>
      </c>
      <c r="H268">
        <v>800</v>
      </c>
      <c r="I268">
        <f>AVERAGEIFS(sales_Data[units_sold], sales_Data[product_id],sales_Data[[#This Row],[product_id]])</f>
        <v>31.794520547945204</v>
      </c>
      <c r="J268">
        <f>_xlfn.XLOOKUP(sales_Data[[#This Row],[product_id]],sales_Data[product_id],sales_Data[unit_price])</f>
        <v>12.5</v>
      </c>
    </row>
    <row r="269" spans="1:10" x14ac:dyDescent="0.3">
      <c r="A269" t="s">
        <v>285</v>
      </c>
      <c r="B269" s="1">
        <v>45711</v>
      </c>
      <c r="C269" t="s">
        <v>15</v>
      </c>
      <c r="D269" t="s">
        <v>16</v>
      </c>
      <c r="E269">
        <v>35</v>
      </c>
      <c r="F269">
        <v>7</v>
      </c>
      <c r="G269">
        <v>0.1</v>
      </c>
      <c r="H269">
        <v>220.5</v>
      </c>
      <c r="I269">
        <f>AVERAGEIFS(sales_Data[units_sold], sales_Data[product_id],sales_Data[[#This Row],[product_id]])</f>
        <v>30.438356164383563</v>
      </c>
      <c r="J269">
        <f>_xlfn.XLOOKUP(sales_Data[[#This Row],[product_id]],sales_Data[product_id],sales_Data[unit_price])</f>
        <v>35</v>
      </c>
    </row>
    <row r="270" spans="1:10" x14ac:dyDescent="0.3">
      <c r="A270" t="s">
        <v>286</v>
      </c>
      <c r="B270" s="1">
        <v>45711</v>
      </c>
      <c r="C270" t="s">
        <v>18</v>
      </c>
      <c r="D270" t="s">
        <v>19</v>
      </c>
      <c r="E270">
        <v>120</v>
      </c>
      <c r="F270">
        <v>48</v>
      </c>
      <c r="G270">
        <v>0</v>
      </c>
      <c r="H270">
        <v>5760</v>
      </c>
      <c r="I270">
        <f>AVERAGEIFS(sales_Data[units_sold], sales_Data[product_id],sales_Data[[#This Row],[product_id]])</f>
        <v>30.473972602739725</v>
      </c>
      <c r="J270">
        <f>_xlfn.XLOOKUP(sales_Data[[#This Row],[product_id]],sales_Data[product_id],sales_Data[unit_price])</f>
        <v>120</v>
      </c>
    </row>
    <row r="271" spans="1:10" x14ac:dyDescent="0.3">
      <c r="A271" t="s">
        <v>287</v>
      </c>
      <c r="B271" s="1">
        <v>45711</v>
      </c>
      <c r="C271" t="s">
        <v>21</v>
      </c>
      <c r="D271" t="s">
        <v>22</v>
      </c>
      <c r="E271">
        <v>25</v>
      </c>
      <c r="F271">
        <v>66</v>
      </c>
      <c r="G271">
        <v>0.2</v>
      </c>
      <c r="H271">
        <v>1320</v>
      </c>
      <c r="I271">
        <f>AVERAGEIFS(sales_Data[units_sold], sales_Data[product_id],sales_Data[[#This Row],[product_id]])</f>
        <v>29.463013698630139</v>
      </c>
      <c r="J271">
        <f>_xlfn.XLOOKUP(sales_Data[[#This Row],[product_id]],sales_Data[product_id],sales_Data[unit_price])</f>
        <v>25</v>
      </c>
    </row>
    <row r="272" spans="1:10" x14ac:dyDescent="0.3">
      <c r="A272" t="s">
        <v>288</v>
      </c>
      <c r="B272" s="1">
        <v>45712</v>
      </c>
      <c r="C272" t="s">
        <v>9</v>
      </c>
      <c r="D272" t="s">
        <v>10</v>
      </c>
      <c r="E272">
        <v>45</v>
      </c>
      <c r="F272">
        <v>29</v>
      </c>
      <c r="G272">
        <v>0.1</v>
      </c>
      <c r="H272">
        <v>1174.5</v>
      </c>
      <c r="I272">
        <f>AVERAGEIFS(sales_Data[units_sold], sales_Data[product_id],sales_Data[[#This Row],[product_id]])</f>
        <v>31.479452054794521</v>
      </c>
      <c r="J272">
        <f>_xlfn.XLOOKUP(sales_Data[[#This Row],[product_id]],sales_Data[product_id],sales_Data[unit_price])</f>
        <v>45</v>
      </c>
    </row>
    <row r="273" spans="1:10" x14ac:dyDescent="0.3">
      <c r="A273" t="s">
        <v>289</v>
      </c>
      <c r="B273" s="1">
        <v>45712</v>
      </c>
      <c r="C273" t="s">
        <v>12</v>
      </c>
      <c r="D273" t="s">
        <v>13</v>
      </c>
      <c r="E273">
        <v>12.5</v>
      </c>
      <c r="F273">
        <v>47</v>
      </c>
      <c r="G273">
        <v>0.1</v>
      </c>
      <c r="H273">
        <v>528.75</v>
      </c>
      <c r="I273">
        <f>AVERAGEIFS(sales_Data[units_sold], sales_Data[product_id],sales_Data[[#This Row],[product_id]])</f>
        <v>31.794520547945204</v>
      </c>
      <c r="J273">
        <f>_xlfn.XLOOKUP(sales_Data[[#This Row],[product_id]],sales_Data[product_id],sales_Data[unit_price])</f>
        <v>12.5</v>
      </c>
    </row>
    <row r="274" spans="1:10" x14ac:dyDescent="0.3">
      <c r="A274" t="s">
        <v>290</v>
      </c>
      <c r="B274" s="1">
        <v>45712</v>
      </c>
      <c r="C274" t="s">
        <v>15</v>
      </c>
      <c r="D274" t="s">
        <v>16</v>
      </c>
      <c r="E274">
        <v>35</v>
      </c>
      <c r="F274">
        <v>6</v>
      </c>
      <c r="G274">
        <v>0</v>
      </c>
      <c r="H274">
        <v>210</v>
      </c>
      <c r="I274">
        <f>AVERAGEIFS(sales_Data[units_sold], sales_Data[product_id],sales_Data[[#This Row],[product_id]])</f>
        <v>30.438356164383563</v>
      </c>
      <c r="J274">
        <f>_xlfn.XLOOKUP(sales_Data[[#This Row],[product_id]],sales_Data[product_id],sales_Data[unit_price])</f>
        <v>35</v>
      </c>
    </row>
    <row r="275" spans="1:10" x14ac:dyDescent="0.3">
      <c r="A275" t="s">
        <v>291</v>
      </c>
      <c r="B275" s="1">
        <v>45712</v>
      </c>
      <c r="C275" t="s">
        <v>18</v>
      </c>
      <c r="D275" t="s">
        <v>19</v>
      </c>
      <c r="E275">
        <v>120</v>
      </c>
      <c r="F275">
        <v>29</v>
      </c>
      <c r="G275">
        <v>0</v>
      </c>
      <c r="H275">
        <v>3480</v>
      </c>
      <c r="I275">
        <f>AVERAGEIFS(sales_Data[units_sold], sales_Data[product_id],sales_Data[[#This Row],[product_id]])</f>
        <v>30.473972602739725</v>
      </c>
      <c r="J275">
        <f>_xlfn.XLOOKUP(sales_Data[[#This Row],[product_id]],sales_Data[product_id],sales_Data[unit_price])</f>
        <v>120</v>
      </c>
    </row>
    <row r="276" spans="1:10" x14ac:dyDescent="0.3">
      <c r="A276" t="s">
        <v>292</v>
      </c>
      <c r="B276" s="1">
        <v>45712</v>
      </c>
      <c r="C276" t="s">
        <v>21</v>
      </c>
      <c r="D276" t="s">
        <v>22</v>
      </c>
      <c r="E276">
        <v>25</v>
      </c>
      <c r="F276">
        <v>15</v>
      </c>
      <c r="G276">
        <v>0.1</v>
      </c>
      <c r="H276">
        <v>337.5</v>
      </c>
      <c r="I276">
        <f>AVERAGEIFS(sales_Data[units_sold], sales_Data[product_id],sales_Data[[#This Row],[product_id]])</f>
        <v>29.463013698630139</v>
      </c>
      <c r="J276">
        <f>_xlfn.XLOOKUP(sales_Data[[#This Row],[product_id]],sales_Data[product_id],sales_Data[unit_price])</f>
        <v>25</v>
      </c>
    </row>
    <row r="277" spans="1:10" x14ac:dyDescent="0.3">
      <c r="A277" t="s">
        <v>293</v>
      </c>
      <c r="B277" s="1">
        <v>45713</v>
      </c>
      <c r="C277" t="s">
        <v>9</v>
      </c>
      <c r="D277" t="s">
        <v>10</v>
      </c>
      <c r="E277">
        <v>45</v>
      </c>
      <c r="F277">
        <v>33</v>
      </c>
      <c r="G277">
        <v>0</v>
      </c>
      <c r="H277">
        <v>1485</v>
      </c>
      <c r="I277">
        <f>AVERAGEIFS(sales_Data[units_sold], sales_Data[product_id],sales_Data[[#This Row],[product_id]])</f>
        <v>31.479452054794521</v>
      </c>
      <c r="J277">
        <f>_xlfn.XLOOKUP(sales_Data[[#This Row],[product_id]],sales_Data[product_id],sales_Data[unit_price])</f>
        <v>45</v>
      </c>
    </row>
    <row r="278" spans="1:10" x14ac:dyDescent="0.3">
      <c r="A278" t="s">
        <v>294</v>
      </c>
      <c r="B278" s="1">
        <v>45713</v>
      </c>
      <c r="C278" t="s">
        <v>12</v>
      </c>
      <c r="D278" t="s">
        <v>13</v>
      </c>
      <c r="E278">
        <v>12.5</v>
      </c>
      <c r="F278">
        <v>47</v>
      </c>
      <c r="G278">
        <v>0</v>
      </c>
      <c r="H278">
        <v>587.5</v>
      </c>
      <c r="I278">
        <f>AVERAGEIFS(sales_Data[units_sold], sales_Data[product_id],sales_Data[[#This Row],[product_id]])</f>
        <v>31.794520547945204</v>
      </c>
      <c r="J278">
        <f>_xlfn.XLOOKUP(sales_Data[[#This Row],[product_id]],sales_Data[product_id],sales_Data[unit_price])</f>
        <v>12.5</v>
      </c>
    </row>
    <row r="279" spans="1:10" x14ac:dyDescent="0.3">
      <c r="A279" t="s">
        <v>295</v>
      </c>
      <c r="B279" s="1">
        <v>45713</v>
      </c>
      <c r="C279" t="s">
        <v>15</v>
      </c>
      <c r="D279" t="s">
        <v>16</v>
      </c>
      <c r="E279">
        <v>35</v>
      </c>
      <c r="F279">
        <v>22</v>
      </c>
      <c r="G279">
        <v>0</v>
      </c>
      <c r="H279">
        <v>770</v>
      </c>
      <c r="I279">
        <f>AVERAGEIFS(sales_Data[units_sold], sales_Data[product_id],sales_Data[[#This Row],[product_id]])</f>
        <v>30.438356164383563</v>
      </c>
      <c r="J279">
        <f>_xlfn.XLOOKUP(sales_Data[[#This Row],[product_id]],sales_Data[product_id],sales_Data[unit_price])</f>
        <v>35</v>
      </c>
    </row>
    <row r="280" spans="1:10" x14ac:dyDescent="0.3">
      <c r="A280" t="s">
        <v>296</v>
      </c>
      <c r="B280" s="1">
        <v>45713</v>
      </c>
      <c r="C280" t="s">
        <v>18</v>
      </c>
      <c r="D280" t="s">
        <v>19</v>
      </c>
      <c r="E280">
        <v>120</v>
      </c>
      <c r="F280">
        <v>24</v>
      </c>
      <c r="G280">
        <v>0</v>
      </c>
      <c r="H280">
        <v>2880</v>
      </c>
      <c r="I280">
        <f>AVERAGEIFS(sales_Data[units_sold], sales_Data[product_id],sales_Data[[#This Row],[product_id]])</f>
        <v>30.473972602739725</v>
      </c>
      <c r="J280">
        <f>_xlfn.XLOOKUP(sales_Data[[#This Row],[product_id]],sales_Data[product_id],sales_Data[unit_price])</f>
        <v>120</v>
      </c>
    </row>
    <row r="281" spans="1:10" x14ac:dyDescent="0.3">
      <c r="A281" t="s">
        <v>297</v>
      </c>
      <c r="B281" s="1">
        <v>45713</v>
      </c>
      <c r="C281" t="s">
        <v>21</v>
      </c>
      <c r="D281" t="s">
        <v>22</v>
      </c>
      <c r="E281">
        <v>25</v>
      </c>
      <c r="F281">
        <v>30</v>
      </c>
      <c r="G281">
        <v>0</v>
      </c>
      <c r="H281">
        <v>750</v>
      </c>
      <c r="I281">
        <f>AVERAGEIFS(sales_Data[units_sold], sales_Data[product_id],sales_Data[[#This Row],[product_id]])</f>
        <v>29.463013698630139</v>
      </c>
      <c r="J281">
        <f>_xlfn.XLOOKUP(sales_Data[[#This Row],[product_id]],sales_Data[product_id],sales_Data[unit_price])</f>
        <v>25</v>
      </c>
    </row>
    <row r="282" spans="1:10" x14ac:dyDescent="0.3">
      <c r="A282" t="s">
        <v>298</v>
      </c>
      <c r="B282" s="1">
        <v>45714</v>
      </c>
      <c r="C282" t="s">
        <v>9</v>
      </c>
      <c r="D282" t="s">
        <v>10</v>
      </c>
      <c r="E282">
        <v>45</v>
      </c>
      <c r="F282">
        <v>20</v>
      </c>
      <c r="G282">
        <v>0</v>
      </c>
      <c r="H282">
        <v>900</v>
      </c>
      <c r="I282">
        <f>AVERAGEIFS(sales_Data[units_sold], sales_Data[product_id],sales_Data[[#This Row],[product_id]])</f>
        <v>31.479452054794521</v>
      </c>
      <c r="J282">
        <f>_xlfn.XLOOKUP(sales_Data[[#This Row],[product_id]],sales_Data[product_id],sales_Data[unit_price])</f>
        <v>45</v>
      </c>
    </row>
    <row r="283" spans="1:10" x14ac:dyDescent="0.3">
      <c r="A283" t="s">
        <v>299</v>
      </c>
      <c r="B283" s="1">
        <v>45714</v>
      </c>
      <c r="C283" t="s">
        <v>12</v>
      </c>
      <c r="D283" t="s">
        <v>13</v>
      </c>
      <c r="E283">
        <v>12.5</v>
      </c>
      <c r="F283">
        <v>29</v>
      </c>
      <c r="G283">
        <v>0</v>
      </c>
      <c r="H283">
        <v>362.5</v>
      </c>
      <c r="I283">
        <f>AVERAGEIFS(sales_Data[units_sold], sales_Data[product_id],sales_Data[[#This Row],[product_id]])</f>
        <v>31.794520547945204</v>
      </c>
      <c r="J283">
        <f>_xlfn.XLOOKUP(sales_Data[[#This Row],[product_id]],sales_Data[product_id],sales_Data[unit_price])</f>
        <v>12.5</v>
      </c>
    </row>
    <row r="284" spans="1:10" x14ac:dyDescent="0.3">
      <c r="A284" t="s">
        <v>300</v>
      </c>
      <c r="B284" s="1">
        <v>45714</v>
      </c>
      <c r="C284" t="s">
        <v>15</v>
      </c>
      <c r="D284" t="s">
        <v>16</v>
      </c>
      <c r="E284">
        <v>35</v>
      </c>
      <c r="F284">
        <v>49</v>
      </c>
      <c r="G284">
        <v>0.2</v>
      </c>
      <c r="H284">
        <v>1372</v>
      </c>
      <c r="I284">
        <f>AVERAGEIFS(sales_Data[units_sold], sales_Data[product_id],sales_Data[[#This Row],[product_id]])</f>
        <v>30.438356164383563</v>
      </c>
      <c r="J284">
        <f>_xlfn.XLOOKUP(sales_Data[[#This Row],[product_id]],sales_Data[product_id],sales_Data[unit_price])</f>
        <v>35</v>
      </c>
    </row>
    <row r="285" spans="1:10" x14ac:dyDescent="0.3">
      <c r="A285" t="s">
        <v>301</v>
      </c>
      <c r="B285" s="1">
        <v>45714</v>
      </c>
      <c r="C285" t="s">
        <v>18</v>
      </c>
      <c r="D285" t="s">
        <v>19</v>
      </c>
      <c r="E285">
        <v>120</v>
      </c>
      <c r="F285">
        <v>45</v>
      </c>
      <c r="G285">
        <v>0</v>
      </c>
      <c r="H285">
        <v>5400</v>
      </c>
      <c r="I285">
        <f>AVERAGEIFS(sales_Data[units_sold], sales_Data[product_id],sales_Data[[#This Row],[product_id]])</f>
        <v>30.473972602739725</v>
      </c>
      <c r="J285">
        <f>_xlfn.XLOOKUP(sales_Data[[#This Row],[product_id]],sales_Data[product_id],sales_Data[unit_price])</f>
        <v>120</v>
      </c>
    </row>
    <row r="286" spans="1:10" x14ac:dyDescent="0.3">
      <c r="A286" t="s">
        <v>302</v>
      </c>
      <c r="B286" s="1">
        <v>45714</v>
      </c>
      <c r="C286" t="s">
        <v>21</v>
      </c>
      <c r="D286" t="s">
        <v>22</v>
      </c>
      <c r="E286">
        <v>25</v>
      </c>
      <c r="F286">
        <v>33</v>
      </c>
      <c r="G286">
        <v>0</v>
      </c>
      <c r="H286">
        <v>825</v>
      </c>
      <c r="I286">
        <f>AVERAGEIFS(sales_Data[units_sold], sales_Data[product_id],sales_Data[[#This Row],[product_id]])</f>
        <v>29.463013698630139</v>
      </c>
      <c r="J286">
        <f>_xlfn.XLOOKUP(sales_Data[[#This Row],[product_id]],sales_Data[product_id],sales_Data[unit_price])</f>
        <v>25</v>
      </c>
    </row>
    <row r="287" spans="1:10" x14ac:dyDescent="0.3">
      <c r="A287" t="s">
        <v>303</v>
      </c>
      <c r="B287" s="1">
        <v>45715</v>
      </c>
      <c r="C287" t="s">
        <v>9</v>
      </c>
      <c r="D287" t="s">
        <v>10</v>
      </c>
      <c r="E287">
        <v>45</v>
      </c>
      <c r="F287">
        <v>24</v>
      </c>
      <c r="G287">
        <v>0</v>
      </c>
      <c r="H287">
        <v>1080</v>
      </c>
      <c r="I287">
        <f>AVERAGEIFS(sales_Data[units_sold], sales_Data[product_id],sales_Data[[#This Row],[product_id]])</f>
        <v>31.479452054794521</v>
      </c>
      <c r="J287">
        <f>_xlfn.XLOOKUP(sales_Data[[#This Row],[product_id]],sales_Data[product_id],sales_Data[unit_price])</f>
        <v>45</v>
      </c>
    </row>
    <row r="288" spans="1:10" x14ac:dyDescent="0.3">
      <c r="A288" t="s">
        <v>304</v>
      </c>
      <c r="B288" s="1">
        <v>45715</v>
      </c>
      <c r="C288" t="s">
        <v>12</v>
      </c>
      <c r="D288" t="s">
        <v>13</v>
      </c>
      <c r="E288">
        <v>12.5</v>
      </c>
      <c r="F288">
        <v>46</v>
      </c>
      <c r="G288">
        <v>0</v>
      </c>
      <c r="H288">
        <v>575</v>
      </c>
      <c r="I288">
        <f>AVERAGEIFS(sales_Data[units_sold], sales_Data[product_id],sales_Data[[#This Row],[product_id]])</f>
        <v>31.794520547945204</v>
      </c>
      <c r="J288">
        <f>_xlfn.XLOOKUP(sales_Data[[#This Row],[product_id]],sales_Data[product_id],sales_Data[unit_price])</f>
        <v>12.5</v>
      </c>
    </row>
    <row r="289" spans="1:10" x14ac:dyDescent="0.3">
      <c r="A289" t="s">
        <v>305</v>
      </c>
      <c r="B289" s="1">
        <v>45715</v>
      </c>
      <c r="C289" t="s">
        <v>15</v>
      </c>
      <c r="D289" t="s">
        <v>16</v>
      </c>
      <c r="E289">
        <v>35</v>
      </c>
      <c r="F289">
        <v>29</v>
      </c>
      <c r="G289">
        <v>0</v>
      </c>
      <c r="H289">
        <v>1015</v>
      </c>
      <c r="I289">
        <f>AVERAGEIFS(sales_Data[units_sold], sales_Data[product_id],sales_Data[[#This Row],[product_id]])</f>
        <v>30.438356164383563</v>
      </c>
      <c r="J289">
        <f>_xlfn.XLOOKUP(sales_Data[[#This Row],[product_id]],sales_Data[product_id],sales_Data[unit_price])</f>
        <v>35</v>
      </c>
    </row>
    <row r="290" spans="1:10" x14ac:dyDescent="0.3">
      <c r="A290" t="s">
        <v>306</v>
      </c>
      <c r="B290" s="1">
        <v>45715</v>
      </c>
      <c r="C290" t="s">
        <v>18</v>
      </c>
      <c r="D290" t="s">
        <v>19</v>
      </c>
      <c r="E290">
        <v>120</v>
      </c>
      <c r="F290">
        <v>37</v>
      </c>
      <c r="G290">
        <v>0</v>
      </c>
      <c r="H290">
        <v>4440</v>
      </c>
      <c r="I290">
        <f>AVERAGEIFS(sales_Data[units_sold], sales_Data[product_id],sales_Data[[#This Row],[product_id]])</f>
        <v>30.473972602739725</v>
      </c>
      <c r="J290">
        <f>_xlfn.XLOOKUP(sales_Data[[#This Row],[product_id]],sales_Data[product_id],sales_Data[unit_price])</f>
        <v>120</v>
      </c>
    </row>
    <row r="291" spans="1:10" x14ac:dyDescent="0.3">
      <c r="A291" t="s">
        <v>307</v>
      </c>
      <c r="B291" s="1">
        <v>45715</v>
      </c>
      <c r="C291" t="s">
        <v>21</v>
      </c>
      <c r="D291" t="s">
        <v>22</v>
      </c>
      <c r="E291">
        <v>25</v>
      </c>
      <c r="F291">
        <v>28</v>
      </c>
      <c r="G291">
        <v>0</v>
      </c>
      <c r="H291">
        <v>700</v>
      </c>
      <c r="I291">
        <f>AVERAGEIFS(sales_Data[units_sold], sales_Data[product_id],sales_Data[[#This Row],[product_id]])</f>
        <v>29.463013698630139</v>
      </c>
      <c r="J291">
        <f>_xlfn.XLOOKUP(sales_Data[[#This Row],[product_id]],sales_Data[product_id],sales_Data[unit_price])</f>
        <v>25</v>
      </c>
    </row>
    <row r="292" spans="1:10" x14ac:dyDescent="0.3">
      <c r="A292" t="s">
        <v>308</v>
      </c>
      <c r="B292" s="1">
        <v>45716</v>
      </c>
      <c r="C292" t="s">
        <v>9</v>
      </c>
      <c r="D292" t="s">
        <v>10</v>
      </c>
      <c r="E292">
        <v>45</v>
      </c>
      <c r="F292">
        <v>39</v>
      </c>
      <c r="G292">
        <v>0.1</v>
      </c>
      <c r="H292">
        <v>1579.5</v>
      </c>
      <c r="I292">
        <f>AVERAGEIFS(sales_Data[units_sold], sales_Data[product_id],sales_Data[[#This Row],[product_id]])</f>
        <v>31.479452054794521</v>
      </c>
      <c r="J292">
        <f>_xlfn.XLOOKUP(sales_Data[[#This Row],[product_id]],sales_Data[product_id],sales_Data[unit_price])</f>
        <v>45</v>
      </c>
    </row>
    <row r="293" spans="1:10" x14ac:dyDescent="0.3">
      <c r="A293" t="s">
        <v>309</v>
      </c>
      <c r="B293" s="1">
        <v>45716</v>
      </c>
      <c r="C293" t="s">
        <v>12</v>
      </c>
      <c r="D293" t="s">
        <v>13</v>
      </c>
      <c r="E293">
        <v>12.5</v>
      </c>
      <c r="F293">
        <v>49</v>
      </c>
      <c r="G293">
        <v>0.1</v>
      </c>
      <c r="H293">
        <v>551.25</v>
      </c>
      <c r="I293">
        <f>AVERAGEIFS(sales_Data[units_sold], sales_Data[product_id],sales_Data[[#This Row],[product_id]])</f>
        <v>31.794520547945204</v>
      </c>
      <c r="J293">
        <f>_xlfn.XLOOKUP(sales_Data[[#This Row],[product_id]],sales_Data[product_id],sales_Data[unit_price])</f>
        <v>12.5</v>
      </c>
    </row>
    <row r="294" spans="1:10" x14ac:dyDescent="0.3">
      <c r="A294" t="s">
        <v>310</v>
      </c>
      <c r="B294" s="1">
        <v>45716</v>
      </c>
      <c r="C294" t="s">
        <v>15</v>
      </c>
      <c r="D294" t="s">
        <v>16</v>
      </c>
      <c r="E294">
        <v>35</v>
      </c>
      <c r="F294">
        <v>19</v>
      </c>
      <c r="G294">
        <v>0.1</v>
      </c>
      <c r="H294">
        <v>598.5</v>
      </c>
      <c r="I294">
        <f>AVERAGEIFS(sales_Data[units_sold], sales_Data[product_id],sales_Data[[#This Row],[product_id]])</f>
        <v>30.438356164383563</v>
      </c>
      <c r="J294">
        <f>_xlfn.XLOOKUP(sales_Data[[#This Row],[product_id]],sales_Data[product_id],sales_Data[unit_price])</f>
        <v>35</v>
      </c>
    </row>
    <row r="295" spans="1:10" x14ac:dyDescent="0.3">
      <c r="A295" t="s">
        <v>311</v>
      </c>
      <c r="B295" s="1">
        <v>45716</v>
      </c>
      <c r="C295" t="s">
        <v>18</v>
      </c>
      <c r="D295" t="s">
        <v>19</v>
      </c>
      <c r="E295">
        <v>120</v>
      </c>
      <c r="F295">
        <v>25</v>
      </c>
      <c r="G295">
        <v>0</v>
      </c>
      <c r="H295">
        <v>3000</v>
      </c>
      <c r="I295">
        <f>AVERAGEIFS(sales_Data[units_sold], sales_Data[product_id],sales_Data[[#This Row],[product_id]])</f>
        <v>30.473972602739725</v>
      </c>
      <c r="J295">
        <f>_xlfn.XLOOKUP(sales_Data[[#This Row],[product_id]],sales_Data[product_id],sales_Data[unit_price])</f>
        <v>120</v>
      </c>
    </row>
    <row r="296" spans="1:10" x14ac:dyDescent="0.3">
      <c r="A296" t="s">
        <v>312</v>
      </c>
      <c r="B296" s="1">
        <v>45716</v>
      </c>
      <c r="C296" t="s">
        <v>21</v>
      </c>
      <c r="D296" t="s">
        <v>22</v>
      </c>
      <c r="E296">
        <v>25</v>
      </c>
      <c r="F296">
        <v>26</v>
      </c>
      <c r="G296">
        <v>0</v>
      </c>
      <c r="H296">
        <v>650</v>
      </c>
      <c r="I296">
        <f>AVERAGEIFS(sales_Data[units_sold], sales_Data[product_id],sales_Data[[#This Row],[product_id]])</f>
        <v>29.463013698630139</v>
      </c>
      <c r="J296">
        <f>_xlfn.XLOOKUP(sales_Data[[#This Row],[product_id]],sales_Data[product_id],sales_Data[unit_price])</f>
        <v>25</v>
      </c>
    </row>
    <row r="297" spans="1:10" x14ac:dyDescent="0.3">
      <c r="A297" t="s">
        <v>313</v>
      </c>
      <c r="B297" s="1">
        <v>45717</v>
      </c>
      <c r="C297" t="s">
        <v>9</v>
      </c>
      <c r="D297" t="s">
        <v>10</v>
      </c>
      <c r="E297">
        <v>45</v>
      </c>
      <c r="F297">
        <v>18</v>
      </c>
      <c r="G297">
        <v>0</v>
      </c>
      <c r="H297">
        <v>810</v>
      </c>
      <c r="I297">
        <f>AVERAGEIFS(sales_Data[units_sold], sales_Data[product_id],sales_Data[[#This Row],[product_id]])</f>
        <v>31.479452054794521</v>
      </c>
      <c r="J297">
        <f>_xlfn.XLOOKUP(sales_Data[[#This Row],[product_id]],sales_Data[product_id],sales_Data[unit_price])</f>
        <v>45</v>
      </c>
    </row>
    <row r="298" spans="1:10" x14ac:dyDescent="0.3">
      <c r="A298" t="s">
        <v>314</v>
      </c>
      <c r="B298" s="1">
        <v>45717</v>
      </c>
      <c r="C298" t="s">
        <v>12</v>
      </c>
      <c r="D298" t="s">
        <v>13</v>
      </c>
      <c r="E298">
        <v>12.5</v>
      </c>
      <c r="F298">
        <v>15</v>
      </c>
      <c r="G298">
        <v>0</v>
      </c>
      <c r="H298">
        <v>187.5</v>
      </c>
      <c r="I298">
        <f>AVERAGEIFS(sales_Data[units_sold], sales_Data[product_id],sales_Data[[#This Row],[product_id]])</f>
        <v>31.794520547945204</v>
      </c>
      <c r="J298">
        <f>_xlfn.XLOOKUP(sales_Data[[#This Row],[product_id]],sales_Data[product_id],sales_Data[unit_price])</f>
        <v>12.5</v>
      </c>
    </row>
    <row r="299" spans="1:10" x14ac:dyDescent="0.3">
      <c r="A299" t="s">
        <v>315</v>
      </c>
      <c r="B299" s="1">
        <v>45717</v>
      </c>
      <c r="C299" t="s">
        <v>15</v>
      </c>
      <c r="D299" t="s">
        <v>16</v>
      </c>
      <c r="E299">
        <v>35</v>
      </c>
      <c r="F299">
        <v>22</v>
      </c>
      <c r="G299">
        <v>0.2</v>
      </c>
      <c r="H299">
        <v>616</v>
      </c>
      <c r="I299">
        <f>AVERAGEIFS(sales_Data[units_sold], sales_Data[product_id],sales_Data[[#This Row],[product_id]])</f>
        <v>30.438356164383563</v>
      </c>
      <c r="J299">
        <f>_xlfn.XLOOKUP(sales_Data[[#This Row],[product_id]],sales_Data[product_id],sales_Data[unit_price])</f>
        <v>35</v>
      </c>
    </row>
    <row r="300" spans="1:10" x14ac:dyDescent="0.3">
      <c r="A300" t="s">
        <v>316</v>
      </c>
      <c r="B300" s="1">
        <v>45717</v>
      </c>
      <c r="C300" t="s">
        <v>18</v>
      </c>
      <c r="D300" t="s">
        <v>19</v>
      </c>
      <c r="E300">
        <v>120</v>
      </c>
      <c r="F300">
        <v>55</v>
      </c>
      <c r="G300">
        <v>0.2</v>
      </c>
      <c r="H300">
        <v>5280</v>
      </c>
      <c r="I300">
        <f>AVERAGEIFS(sales_Data[units_sold], sales_Data[product_id],sales_Data[[#This Row],[product_id]])</f>
        <v>30.473972602739725</v>
      </c>
      <c r="J300">
        <f>_xlfn.XLOOKUP(sales_Data[[#This Row],[product_id]],sales_Data[product_id],sales_Data[unit_price])</f>
        <v>120</v>
      </c>
    </row>
    <row r="301" spans="1:10" x14ac:dyDescent="0.3">
      <c r="A301" t="s">
        <v>317</v>
      </c>
      <c r="B301" s="1">
        <v>45717</v>
      </c>
      <c r="C301" t="s">
        <v>21</v>
      </c>
      <c r="D301" t="s">
        <v>22</v>
      </c>
      <c r="E301">
        <v>25</v>
      </c>
      <c r="F301">
        <v>19</v>
      </c>
      <c r="G301">
        <v>0</v>
      </c>
      <c r="H301">
        <v>475</v>
      </c>
      <c r="I301">
        <f>AVERAGEIFS(sales_Data[units_sold], sales_Data[product_id],sales_Data[[#This Row],[product_id]])</f>
        <v>29.463013698630139</v>
      </c>
      <c r="J301">
        <f>_xlfn.XLOOKUP(sales_Data[[#This Row],[product_id]],sales_Data[product_id],sales_Data[unit_price])</f>
        <v>25</v>
      </c>
    </row>
    <row r="302" spans="1:10" x14ac:dyDescent="0.3">
      <c r="A302" t="s">
        <v>318</v>
      </c>
      <c r="B302" s="1">
        <v>45718</v>
      </c>
      <c r="C302" t="s">
        <v>9</v>
      </c>
      <c r="D302" t="s">
        <v>10</v>
      </c>
      <c r="E302">
        <v>45</v>
      </c>
      <c r="F302">
        <v>73</v>
      </c>
      <c r="G302">
        <v>0</v>
      </c>
      <c r="H302">
        <v>3285</v>
      </c>
      <c r="I302">
        <f>AVERAGEIFS(sales_Data[units_sold], sales_Data[product_id],sales_Data[[#This Row],[product_id]])</f>
        <v>31.479452054794521</v>
      </c>
      <c r="J302">
        <f>_xlfn.XLOOKUP(sales_Data[[#This Row],[product_id]],sales_Data[product_id],sales_Data[unit_price])</f>
        <v>45</v>
      </c>
    </row>
    <row r="303" spans="1:10" x14ac:dyDescent="0.3">
      <c r="A303" t="s">
        <v>319</v>
      </c>
      <c r="B303" s="1">
        <v>45718</v>
      </c>
      <c r="C303" t="s">
        <v>12</v>
      </c>
      <c r="D303" t="s">
        <v>13</v>
      </c>
      <c r="E303">
        <v>12.5</v>
      </c>
      <c r="F303">
        <v>70</v>
      </c>
      <c r="G303">
        <v>0</v>
      </c>
      <c r="H303">
        <v>875</v>
      </c>
      <c r="I303">
        <f>AVERAGEIFS(sales_Data[units_sold], sales_Data[product_id],sales_Data[[#This Row],[product_id]])</f>
        <v>31.794520547945204</v>
      </c>
      <c r="J303">
        <f>_xlfn.XLOOKUP(sales_Data[[#This Row],[product_id]],sales_Data[product_id],sales_Data[unit_price])</f>
        <v>12.5</v>
      </c>
    </row>
    <row r="304" spans="1:10" x14ac:dyDescent="0.3">
      <c r="A304" t="s">
        <v>320</v>
      </c>
      <c r="B304" s="1">
        <v>45718</v>
      </c>
      <c r="C304" t="s">
        <v>15</v>
      </c>
      <c r="D304" t="s">
        <v>16</v>
      </c>
      <c r="E304">
        <v>35</v>
      </c>
      <c r="F304">
        <v>7</v>
      </c>
      <c r="G304">
        <v>0.2</v>
      </c>
      <c r="H304">
        <v>196</v>
      </c>
      <c r="I304">
        <f>AVERAGEIFS(sales_Data[units_sold], sales_Data[product_id],sales_Data[[#This Row],[product_id]])</f>
        <v>30.438356164383563</v>
      </c>
      <c r="J304">
        <f>_xlfn.XLOOKUP(sales_Data[[#This Row],[product_id]],sales_Data[product_id],sales_Data[unit_price])</f>
        <v>35</v>
      </c>
    </row>
    <row r="305" spans="1:10" x14ac:dyDescent="0.3">
      <c r="A305" t="s">
        <v>321</v>
      </c>
      <c r="B305" s="1">
        <v>45718</v>
      </c>
      <c r="C305" t="s">
        <v>18</v>
      </c>
      <c r="D305" t="s">
        <v>19</v>
      </c>
      <c r="E305">
        <v>120</v>
      </c>
      <c r="F305">
        <v>18</v>
      </c>
      <c r="G305">
        <v>0.1</v>
      </c>
      <c r="H305">
        <v>1944</v>
      </c>
      <c r="I305">
        <f>AVERAGEIFS(sales_Data[units_sold], sales_Data[product_id],sales_Data[[#This Row],[product_id]])</f>
        <v>30.473972602739725</v>
      </c>
      <c r="J305">
        <f>_xlfn.XLOOKUP(sales_Data[[#This Row],[product_id]],sales_Data[product_id],sales_Data[unit_price])</f>
        <v>120</v>
      </c>
    </row>
    <row r="306" spans="1:10" x14ac:dyDescent="0.3">
      <c r="A306" t="s">
        <v>322</v>
      </c>
      <c r="B306" s="1">
        <v>45718</v>
      </c>
      <c r="C306" t="s">
        <v>21</v>
      </c>
      <c r="D306" t="s">
        <v>22</v>
      </c>
      <c r="E306">
        <v>25</v>
      </c>
      <c r="F306">
        <v>61</v>
      </c>
      <c r="G306">
        <v>0</v>
      </c>
      <c r="H306">
        <v>1525</v>
      </c>
      <c r="I306">
        <f>AVERAGEIFS(sales_Data[units_sold], sales_Data[product_id],sales_Data[[#This Row],[product_id]])</f>
        <v>29.463013698630139</v>
      </c>
      <c r="J306">
        <f>_xlfn.XLOOKUP(sales_Data[[#This Row],[product_id]],sales_Data[product_id],sales_Data[unit_price])</f>
        <v>25</v>
      </c>
    </row>
    <row r="307" spans="1:10" x14ac:dyDescent="0.3">
      <c r="A307" t="s">
        <v>323</v>
      </c>
      <c r="B307" s="1">
        <v>45719</v>
      </c>
      <c r="C307" t="s">
        <v>9</v>
      </c>
      <c r="D307" t="s">
        <v>10</v>
      </c>
      <c r="E307">
        <v>45</v>
      </c>
      <c r="F307">
        <v>19</v>
      </c>
      <c r="G307">
        <v>0</v>
      </c>
      <c r="H307">
        <v>855</v>
      </c>
      <c r="I307">
        <f>AVERAGEIFS(sales_Data[units_sold], sales_Data[product_id],sales_Data[[#This Row],[product_id]])</f>
        <v>31.479452054794521</v>
      </c>
      <c r="J307">
        <f>_xlfn.XLOOKUP(sales_Data[[#This Row],[product_id]],sales_Data[product_id],sales_Data[unit_price])</f>
        <v>45</v>
      </c>
    </row>
    <row r="308" spans="1:10" x14ac:dyDescent="0.3">
      <c r="A308" t="s">
        <v>324</v>
      </c>
      <c r="B308" s="1">
        <v>45719</v>
      </c>
      <c r="C308" t="s">
        <v>12</v>
      </c>
      <c r="D308" t="s">
        <v>13</v>
      </c>
      <c r="E308">
        <v>12.5</v>
      </c>
      <c r="F308">
        <v>40</v>
      </c>
      <c r="G308">
        <v>0</v>
      </c>
      <c r="H308">
        <v>500</v>
      </c>
      <c r="I308">
        <f>AVERAGEIFS(sales_Data[units_sold], sales_Data[product_id],sales_Data[[#This Row],[product_id]])</f>
        <v>31.794520547945204</v>
      </c>
      <c r="J308">
        <f>_xlfn.XLOOKUP(sales_Data[[#This Row],[product_id]],sales_Data[product_id],sales_Data[unit_price])</f>
        <v>12.5</v>
      </c>
    </row>
    <row r="309" spans="1:10" x14ac:dyDescent="0.3">
      <c r="A309" t="s">
        <v>325</v>
      </c>
      <c r="B309" s="1">
        <v>45719</v>
      </c>
      <c r="C309" t="s">
        <v>15</v>
      </c>
      <c r="D309" t="s">
        <v>16</v>
      </c>
      <c r="E309">
        <v>35</v>
      </c>
      <c r="F309">
        <v>44</v>
      </c>
      <c r="G309">
        <v>0</v>
      </c>
      <c r="H309">
        <v>1540</v>
      </c>
      <c r="I309">
        <f>AVERAGEIFS(sales_Data[units_sold], sales_Data[product_id],sales_Data[[#This Row],[product_id]])</f>
        <v>30.438356164383563</v>
      </c>
      <c r="J309">
        <f>_xlfn.XLOOKUP(sales_Data[[#This Row],[product_id]],sales_Data[product_id],sales_Data[unit_price])</f>
        <v>35</v>
      </c>
    </row>
    <row r="310" spans="1:10" x14ac:dyDescent="0.3">
      <c r="A310" t="s">
        <v>326</v>
      </c>
      <c r="B310" s="1">
        <v>45719</v>
      </c>
      <c r="C310" t="s">
        <v>18</v>
      </c>
      <c r="D310" t="s">
        <v>19</v>
      </c>
      <c r="E310">
        <v>120</v>
      </c>
      <c r="F310">
        <v>19</v>
      </c>
      <c r="G310">
        <v>0</v>
      </c>
      <c r="H310">
        <v>2280</v>
      </c>
      <c r="I310">
        <f>AVERAGEIFS(sales_Data[units_sold], sales_Data[product_id],sales_Data[[#This Row],[product_id]])</f>
        <v>30.473972602739725</v>
      </c>
      <c r="J310">
        <f>_xlfn.XLOOKUP(sales_Data[[#This Row],[product_id]],sales_Data[product_id],sales_Data[unit_price])</f>
        <v>120</v>
      </c>
    </row>
    <row r="311" spans="1:10" x14ac:dyDescent="0.3">
      <c r="A311" t="s">
        <v>327</v>
      </c>
      <c r="B311" s="1">
        <v>45719</v>
      </c>
      <c r="C311" t="s">
        <v>21</v>
      </c>
      <c r="D311" t="s">
        <v>22</v>
      </c>
      <c r="E311">
        <v>25</v>
      </c>
      <c r="F311">
        <v>44</v>
      </c>
      <c r="G311">
        <v>0</v>
      </c>
      <c r="H311">
        <v>1100</v>
      </c>
      <c r="I311">
        <f>AVERAGEIFS(sales_Data[units_sold], sales_Data[product_id],sales_Data[[#This Row],[product_id]])</f>
        <v>29.463013698630139</v>
      </c>
      <c r="J311">
        <f>_xlfn.XLOOKUP(sales_Data[[#This Row],[product_id]],sales_Data[product_id],sales_Data[unit_price])</f>
        <v>25</v>
      </c>
    </row>
    <row r="312" spans="1:10" x14ac:dyDescent="0.3">
      <c r="A312" t="s">
        <v>328</v>
      </c>
      <c r="B312" s="1">
        <v>45720</v>
      </c>
      <c r="C312" t="s">
        <v>9</v>
      </c>
      <c r="D312" t="s">
        <v>10</v>
      </c>
      <c r="E312">
        <v>45</v>
      </c>
      <c r="F312">
        <v>36</v>
      </c>
      <c r="G312">
        <v>0</v>
      </c>
      <c r="H312">
        <v>1620</v>
      </c>
      <c r="I312">
        <f>AVERAGEIFS(sales_Data[units_sold], sales_Data[product_id],sales_Data[[#This Row],[product_id]])</f>
        <v>31.479452054794521</v>
      </c>
      <c r="J312">
        <f>_xlfn.XLOOKUP(sales_Data[[#This Row],[product_id]],sales_Data[product_id],sales_Data[unit_price])</f>
        <v>45</v>
      </c>
    </row>
    <row r="313" spans="1:10" x14ac:dyDescent="0.3">
      <c r="A313" t="s">
        <v>329</v>
      </c>
      <c r="B313" s="1">
        <v>45720</v>
      </c>
      <c r="C313" t="s">
        <v>12</v>
      </c>
      <c r="D313" t="s">
        <v>13</v>
      </c>
      <c r="E313">
        <v>12.5</v>
      </c>
      <c r="F313">
        <v>20</v>
      </c>
      <c r="G313">
        <v>0.1</v>
      </c>
      <c r="H313">
        <v>225</v>
      </c>
      <c r="I313">
        <f>AVERAGEIFS(sales_Data[units_sold], sales_Data[product_id],sales_Data[[#This Row],[product_id]])</f>
        <v>31.794520547945204</v>
      </c>
      <c r="J313">
        <f>_xlfn.XLOOKUP(sales_Data[[#This Row],[product_id]],sales_Data[product_id],sales_Data[unit_price])</f>
        <v>12.5</v>
      </c>
    </row>
    <row r="314" spans="1:10" x14ac:dyDescent="0.3">
      <c r="A314" t="s">
        <v>330</v>
      </c>
      <c r="B314" s="1">
        <v>45720</v>
      </c>
      <c r="C314" t="s">
        <v>15</v>
      </c>
      <c r="D314" t="s">
        <v>16</v>
      </c>
      <c r="E314">
        <v>35</v>
      </c>
      <c r="F314">
        <v>29</v>
      </c>
      <c r="G314">
        <v>0</v>
      </c>
      <c r="H314">
        <v>1015</v>
      </c>
      <c r="I314">
        <f>AVERAGEIFS(sales_Data[units_sold], sales_Data[product_id],sales_Data[[#This Row],[product_id]])</f>
        <v>30.438356164383563</v>
      </c>
      <c r="J314">
        <f>_xlfn.XLOOKUP(sales_Data[[#This Row],[product_id]],sales_Data[product_id],sales_Data[unit_price])</f>
        <v>35</v>
      </c>
    </row>
    <row r="315" spans="1:10" x14ac:dyDescent="0.3">
      <c r="A315" t="s">
        <v>331</v>
      </c>
      <c r="B315" s="1">
        <v>45720</v>
      </c>
      <c r="C315" t="s">
        <v>18</v>
      </c>
      <c r="D315" t="s">
        <v>19</v>
      </c>
      <c r="E315">
        <v>120</v>
      </c>
      <c r="F315">
        <v>21</v>
      </c>
      <c r="G315">
        <v>0</v>
      </c>
      <c r="H315">
        <v>2520</v>
      </c>
      <c r="I315">
        <f>AVERAGEIFS(sales_Data[units_sold], sales_Data[product_id],sales_Data[[#This Row],[product_id]])</f>
        <v>30.473972602739725</v>
      </c>
      <c r="J315">
        <f>_xlfn.XLOOKUP(sales_Data[[#This Row],[product_id]],sales_Data[product_id],sales_Data[unit_price])</f>
        <v>120</v>
      </c>
    </row>
    <row r="316" spans="1:10" x14ac:dyDescent="0.3">
      <c r="A316" t="s">
        <v>332</v>
      </c>
      <c r="B316" s="1">
        <v>45720</v>
      </c>
      <c r="C316" t="s">
        <v>21</v>
      </c>
      <c r="D316" t="s">
        <v>22</v>
      </c>
      <c r="E316">
        <v>25</v>
      </c>
      <c r="F316">
        <v>6</v>
      </c>
      <c r="G316">
        <v>0</v>
      </c>
      <c r="H316">
        <v>150</v>
      </c>
      <c r="I316">
        <f>AVERAGEIFS(sales_Data[units_sold], sales_Data[product_id],sales_Data[[#This Row],[product_id]])</f>
        <v>29.463013698630139</v>
      </c>
      <c r="J316">
        <f>_xlfn.XLOOKUP(sales_Data[[#This Row],[product_id]],sales_Data[product_id],sales_Data[unit_price])</f>
        <v>25</v>
      </c>
    </row>
    <row r="317" spans="1:10" x14ac:dyDescent="0.3">
      <c r="A317" t="s">
        <v>333</v>
      </c>
      <c r="B317" s="1">
        <v>45721</v>
      </c>
      <c r="C317" t="s">
        <v>9</v>
      </c>
      <c r="D317" t="s">
        <v>10</v>
      </c>
      <c r="E317">
        <v>45</v>
      </c>
      <c r="F317">
        <v>35</v>
      </c>
      <c r="G317">
        <v>0</v>
      </c>
      <c r="H317">
        <v>1575</v>
      </c>
      <c r="I317">
        <f>AVERAGEIFS(sales_Data[units_sold], sales_Data[product_id],sales_Data[[#This Row],[product_id]])</f>
        <v>31.479452054794521</v>
      </c>
      <c r="J317">
        <f>_xlfn.XLOOKUP(sales_Data[[#This Row],[product_id]],sales_Data[product_id],sales_Data[unit_price])</f>
        <v>45</v>
      </c>
    </row>
    <row r="318" spans="1:10" x14ac:dyDescent="0.3">
      <c r="A318" t="s">
        <v>334</v>
      </c>
      <c r="B318" s="1">
        <v>45721</v>
      </c>
      <c r="C318" t="s">
        <v>12</v>
      </c>
      <c r="D318" t="s">
        <v>13</v>
      </c>
      <c r="E318">
        <v>12.5</v>
      </c>
      <c r="F318">
        <v>29</v>
      </c>
      <c r="G318">
        <v>0.1</v>
      </c>
      <c r="H318">
        <v>326.25</v>
      </c>
      <c r="I318">
        <f>AVERAGEIFS(sales_Data[units_sold], sales_Data[product_id],sales_Data[[#This Row],[product_id]])</f>
        <v>31.794520547945204</v>
      </c>
      <c r="J318">
        <f>_xlfn.XLOOKUP(sales_Data[[#This Row],[product_id]],sales_Data[product_id],sales_Data[unit_price])</f>
        <v>12.5</v>
      </c>
    </row>
    <row r="319" spans="1:10" x14ac:dyDescent="0.3">
      <c r="A319" t="s">
        <v>335</v>
      </c>
      <c r="B319" s="1">
        <v>45721</v>
      </c>
      <c r="C319" t="s">
        <v>15</v>
      </c>
      <c r="D319" t="s">
        <v>16</v>
      </c>
      <c r="E319">
        <v>35</v>
      </c>
      <c r="F319">
        <v>20</v>
      </c>
      <c r="G319">
        <v>0</v>
      </c>
      <c r="H319">
        <v>700</v>
      </c>
      <c r="I319">
        <f>AVERAGEIFS(sales_Data[units_sold], sales_Data[product_id],sales_Data[[#This Row],[product_id]])</f>
        <v>30.438356164383563</v>
      </c>
      <c r="J319">
        <f>_xlfn.XLOOKUP(sales_Data[[#This Row],[product_id]],sales_Data[product_id],sales_Data[unit_price])</f>
        <v>35</v>
      </c>
    </row>
    <row r="320" spans="1:10" x14ac:dyDescent="0.3">
      <c r="A320" t="s">
        <v>336</v>
      </c>
      <c r="B320" s="1">
        <v>45721</v>
      </c>
      <c r="C320" t="s">
        <v>18</v>
      </c>
      <c r="D320" t="s">
        <v>19</v>
      </c>
      <c r="E320">
        <v>120</v>
      </c>
      <c r="F320">
        <v>40</v>
      </c>
      <c r="G320">
        <v>0.2</v>
      </c>
      <c r="H320">
        <v>3840</v>
      </c>
      <c r="I320">
        <f>AVERAGEIFS(sales_Data[units_sold], sales_Data[product_id],sales_Data[[#This Row],[product_id]])</f>
        <v>30.473972602739725</v>
      </c>
      <c r="J320">
        <f>_xlfn.XLOOKUP(sales_Data[[#This Row],[product_id]],sales_Data[product_id],sales_Data[unit_price])</f>
        <v>120</v>
      </c>
    </row>
    <row r="321" spans="1:10" x14ac:dyDescent="0.3">
      <c r="A321" t="s">
        <v>337</v>
      </c>
      <c r="B321" s="1">
        <v>45721</v>
      </c>
      <c r="C321" t="s">
        <v>21</v>
      </c>
      <c r="D321" t="s">
        <v>22</v>
      </c>
      <c r="E321">
        <v>25</v>
      </c>
      <c r="F321">
        <v>35</v>
      </c>
      <c r="G321">
        <v>0</v>
      </c>
      <c r="H321">
        <v>875</v>
      </c>
      <c r="I321">
        <f>AVERAGEIFS(sales_Data[units_sold], sales_Data[product_id],sales_Data[[#This Row],[product_id]])</f>
        <v>29.463013698630139</v>
      </c>
      <c r="J321">
        <f>_xlfn.XLOOKUP(sales_Data[[#This Row],[product_id]],sales_Data[product_id],sales_Data[unit_price])</f>
        <v>25</v>
      </c>
    </row>
    <row r="322" spans="1:10" x14ac:dyDescent="0.3">
      <c r="A322" t="s">
        <v>338</v>
      </c>
      <c r="B322" s="1">
        <v>45722</v>
      </c>
      <c r="C322" t="s">
        <v>9</v>
      </c>
      <c r="D322" t="s">
        <v>10</v>
      </c>
      <c r="E322">
        <v>45</v>
      </c>
      <c r="F322">
        <v>19</v>
      </c>
      <c r="G322">
        <v>0.1</v>
      </c>
      <c r="H322">
        <v>769.5</v>
      </c>
      <c r="I322">
        <f>AVERAGEIFS(sales_Data[units_sold], sales_Data[product_id],sales_Data[[#This Row],[product_id]])</f>
        <v>31.479452054794521</v>
      </c>
      <c r="J322">
        <f>_xlfn.XLOOKUP(sales_Data[[#This Row],[product_id]],sales_Data[product_id],sales_Data[unit_price])</f>
        <v>45</v>
      </c>
    </row>
    <row r="323" spans="1:10" x14ac:dyDescent="0.3">
      <c r="A323" t="s">
        <v>339</v>
      </c>
      <c r="B323" s="1">
        <v>45722</v>
      </c>
      <c r="C323" t="s">
        <v>12</v>
      </c>
      <c r="D323" t="s">
        <v>13</v>
      </c>
      <c r="E323">
        <v>12.5</v>
      </c>
      <c r="F323">
        <v>33</v>
      </c>
      <c r="G323">
        <v>0.1</v>
      </c>
      <c r="H323">
        <v>371.25</v>
      </c>
      <c r="I323">
        <f>AVERAGEIFS(sales_Data[units_sold], sales_Data[product_id],sales_Data[[#This Row],[product_id]])</f>
        <v>31.794520547945204</v>
      </c>
      <c r="J323">
        <f>_xlfn.XLOOKUP(sales_Data[[#This Row],[product_id]],sales_Data[product_id],sales_Data[unit_price])</f>
        <v>12.5</v>
      </c>
    </row>
    <row r="324" spans="1:10" x14ac:dyDescent="0.3">
      <c r="A324" t="s">
        <v>340</v>
      </c>
      <c r="B324" s="1">
        <v>45722</v>
      </c>
      <c r="C324" t="s">
        <v>15</v>
      </c>
      <c r="D324" t="s">
        <v>16</v>
      </c>
      <c r="E324">
        <v>35</v>
      </c>
      <c r="F324">
        <v>30</v>
      </c>
      <c r="G324">
        <v>0</v>
      </c>
      <c r="H324">
        <v>1050</v>
      </c>
      <c r="I324">
        <f>AVERAGEIFS(sales_Data[units_sold], sales_Data[product_id],sales_Data[[#This Row],[product_id]])</f>
        <v>30.438356164383563</v>
      </c>
      <c r="J324">
        <f>_xlfn.XLOOKUP(sales_Data[[#This Row],[product_id]],sales_Data[product_id],sales_Data[unit_price])</f>
        <v>35</v>
      </c>
    </row>
    <row r="325" spans="1:10" x14ac:dyDescent="0.3">
      <c r="A325" t="s">
        <v>341</v>
      </c>
      <c r="B325" s="1">
        <v>45722</v>
      </c>
      <c r="C325" t="s">
        <v>18</v>
      </c>
      <c r="D325" t="s">
        <v>19</v>
      </c>
      <c r="E325">
        <v>120</v>
      </c>
      <c r="F325">
        <v>25</v>
      </c>
      <c r="G325">
        <v>0.1</v>
      </c>
      <c r="H325">
        <v>2700</v>
      </c>
      <c r="I325">
        <f>AVERAGEIFS(sales_Data[units_sold], sales_Data[product_id],sales_Data[[#This Row],[product_id]])</f>
        <v>30.473972602739725</v>
      </c>
      <c r="J325">
        <f>_xlfn.XLOOKUP(sales_Data[[#This Row],[product_id]],sales_Data[product_id],sales_Data[unit_price])</f>
        <v>120</v>
      </c>
    </row>
    <row r="326" spans="1:10" x14ac:dyDescent="0.3">
      <c r="A326" t="s">
        <v>342</v>
      </c>
      <c r="B326" s="1">
        <v>45722</v>
      </c>
      <c r="C326" t="s">
        <v>21</v>
      </c>
      <c r="D326" t="s">
        <v>22</v>
      </c>
      <c r="E326">
        <v>25</v>
      </c>
      <c r="F326">
        <v>47</v>
      </c>
      <c r="G326">
        <v>0</v>
      </c>
      <c r="H326">
        <v>1175</v>
      </c>
      <c r="I326">
        <f>AVERAGEIFS(sales_Data[units_sold], sales_Data[product_id],sales_Data[[#This Row],[product_id]])</f>
        <v>29.463013698630139</v>
      </c>
      <c r="J326">
        <f>_xlfn.XLOOKUP(sales_Data[[#This Row],[product_id]],sales_Data[product_id],sales_Data[unit_price])</f>
        <v>25</v>
      </c>
    </row>
    <row r="327" spans="1:10" x14ac:dyDescent="0.3">
      <c r="A327" t="s">
        <v>343</v>
      </c>
      <c r="B327" s="1">
        <v>45723</v>
      </c>
      <c r="C327" t="s">
        <v>9</v>
      </c>
      <c r="D327" t="s">
        <v>10</v>
      </c>
      <c r="E327">
        <v>45</v>
      </c>
      <c r="F327">
        <v>40</v>
      </c>
      <c r="G327">
        <v>0</v>
      </c>
      <c r="H327">
        <v>1800</v>
      </c>
      <c r="I327">
        <f>AVERAGEIFS(sales_Data[units_sold], sales_Data[product_id],sales_Data[[#This Row],[product_id]])</f>
        <v>31.479452054794521</v>
      </c>
      <c r="J327">
        <f>_xlfn.XLOOKUP(sales_Data[[#This Row],[product_id]],sales_Data[product_id],sales_Data[unit_price])</f>
        <v>45</v>
      </c>
    </row>
    <row r="328" spans="1:10" x14ac:dyDescent="0.3">
      <c r="A328" t="s">
        <v>344</v>
      </c>
      <c r="B328" s="1">
        <v>45723</v>
      </c>
      <c r="C328" t="s">
        <v>12</v>
      </c>
      <c r="D328" t="s">
        <v>13</v>
      </c>
      <c r="E328">
        <v>12.5</v>
      </c>
      <c r="F328">
        <v>49</v>
      </c>
      <c r="G328">
        <v>0</v>
      </c>
      <c r="H328">
        <v>612.5</v>
      </c>
      <c r="I328">
        <f>AVERAGEIFS(sales_Data[units_sold], sales_Data[product_id],sales_Data[[#This Row],[product_id]])</f>
        <v>31.794520547945204</v>
      </c>
      <c r="J328">
        <f>_xlfn.XLOOKUP(sales_Data[[#This Row],[product_id]],sales_Data[product_id],sales_Data[unit_price])</f>
        <v>12.5</v>
      </c>
    </row>
    <row r="329" spans="1:10" x14ac:dyDescent="0.3">
      <c r="A329" t="s">
        <v>345</v>
      </c>
      <c r="B329" s="1">
        <v>45723</v>
      </c>
      <c r="C329" t="s">
        <v>15</v>
      </c>
      <c r="D329" t="s">
        <v>16</v>
      </c>
      <c r="E329">
        <v>35</v>
      </c>
      <c r="F329">
        <v>34</v>
      </c>
      <c r="G329">
        <v>0</v>
      </c>
      <c r="H329">
        <v>1190</v>
      </c>
      <c r="I329">
        <f>AVERAGEIFS(sales_Data[units_sold], sales_Data[product_id],sales_Data[[#This Row],[product_id]])</f>
        <v>30.438356164383563</v>
      </c>
      <c r="J329">
        <f>_xlfn.XLOOKUP(sales_Data[[#This Row],[product_id]],sales_Data[product_id],sales_Data[unit_price])</f>
        <v>35</v>
      </c>
    </row>
    <row r="330" spans="1:10" x14ac:dyDescent="0.3">
      <c r="A330" t="s">
        <v>346</v>
      </c>
      <c r="B330" s="1">
        <v>45723</v>
      </c>
      <c r="C330" t="s">
        <v>18</v>
      </c>
      <c r="D330" t="s">
        <v>19</v>
      </c>
      <c r="E330">
        <v>120</v>
      </c>
      <c r="F330">
        <v>7</v>
      </c>
      <c r="G330">
        <v>0.2</v>
      </c>
      <c r="H330">
        <v>672</v>
      </c>
      <c r="I330">
        <f>AVERAGEIFS(sales_Data[units_sold], sales_Data[product_id],sales_Data[[#This Row],[product_id]])</f>
        <v>30.473972602739725</v>
      </c>
      <c r="J330">
        <f>_xlfn.XLOOKUP(sales_Data[[#This Row],[product_id]],sales_Data[product_id],sales_Data[unit_price])</f>
        <v>120</v>
      </c>
    </row>
    <row r="331" spans="1:10" x14ac:dyDescent="0.3">
      <c r="A331" t="s">
        <v>347</v>
      </c>
      <c r="B331" s="1">
        <v>45723</v>
      </c>
      <c r="C331" t="s">
        <v>21</v>
      </c>
      <c r="D331" t="s">
        <v>22</v>
      </c>
      <c r="E331">
        <v>25</v>
      </c>
      <c r="F331">
        <v>9</v>
      </c>
      <c r="G331">
        <v>0</v>
      </c>
      <c r="H331">
        <v>225</v>
      </c>
      <c r="I331">
        <f>AVERAGEIFS(sales_Data[units_sold], sales_Data[product_id],sales_Data[[#This Row],[product_id]])</f>
        <v>29.463013698630139</v>
      </c>
      <c r="J331">
        <f>_xlfn.XLOOKUP(sales_Data[[#This Row],[product_id]],sales_Data[product_id],sales_Data[unit_price])</f>
        <v>25</v>
      </c>
    </row>
    <row r="332" spans="1:10" x14ac:dyDescent="0.3">
      <c r="A332" t="s">
        <v>348</v>
      </c>
      <c r="B332" s="1">
        <v>45724</v>
      </c>
      <c r="C332" t="s">
        <v>9</v>
      </c>
      <c r="D332" t="s">
        <v>10</v>
      </c>
      <c r="E332">
        <v>45</v>
      </c>
      <c r="F332">
        <v>43</v>
      </c>
      <c r="G332">
        <v>0</v>
      </c>
      <c r="H332">
        <v>1935</v>
      </c>
      <c r="I332">
        <f>AVERAGEIFS(sales_Data[units_sold], sales_Data[product_id],sales_Data[[#This Row],[product_id]])</f>
        <v>31.479452054794521</v>
      </c>
      <c r="J332">
        <f>_xlfn.XLOOKUP(sales_Data[[#This Row],[product_id]],sales_Data[product_id],sales_Data[unit_price])</f>
        <v>45</v>
      </c>
    </row>
    <row r="333" spans="1:10" x14ac:dyDescent="0.3">
      <c r="A333" t="s">
        <v>349</v>
      </c>
      <c r="B333" s="1">
        <v>45724</v>
      </c>
      <c r="C333" t="s">
        <v>12</v>
      </c>
      <c r="D333" t="s">
        <v>13</v>
      </c>
      <c r="E333">
        <v>12.5</v>
      </c>
      <c r="F333">
        <v>70</v>
      </c>
      <c r="G333">
        <v>0</v>
      </c>
      <c r="H333">
        <v>875</v>
      </c>
      <c r="I333">
        <f>AVERAGEIFS(sales_Data[units_sold], sales_Data[product_id],sales_Data[[#This Row],[product_id]])</f>
        <v>31.794520547945204</v>
      </c>
      <c r="J333">
        <f>_xlfn.XLOOKUP(sales_Data[[#This Row],[product_id]],sales_Data[product_id],sales_Data[unit_price])</f>
        <v>12.5</v>
      </c>
    </row>
    <row r="334" spans="1:10" x14ac:dyDescent="0.3">
      <c r="A334" t="s">
        <v>350</v>
      </c>
      <c r="B334" s="1">
        <v>45724</v>
      </c>
      <c r="C334" t="s">
        <v>15</v>
      </c>
      <c r="D334" t="s">
        <v>16</v>
      </c>
      <c r="E334">
        <v>35</v>
      </c>
      <c r="F334">
        <v>21</v>
      </c>
      <c r="G334">
        <v>0.1</v>
      </c>
      <c r="H334">
        <v>661.5</v>
      </c>
      <c r="I334">
        <f>AVERAGEIFS(sales_Data[units_sold], sales_Data[product_id],sales_Data[[#This Row],[product_id]])</f>
        <v>30.438356164383563</v>
      </c>
      <c r="J334">
        <f>_xlfn.XLOOKUP(sales_Data[[#This Row],[product_id]],sales_Data[product_id],sales_Data[unit_price])</f>
        <v>35</v>
      </c>
    </row>
    <row r="335" spans="1:10" x14ac:dyDescent="0.3">
      <c r="A335" t="s">
        <v>351</v>
      </c>
      <c r="B335" s="1">
        <v>45724</v>
      </c>
      <c r="C335" t="s">
        <v>18</v>
      </c>
      <c r="D335" t="s">
        <v>19</v>
      </c>
      <c r="E335">
        <v>120</v>
      </c>
      <c r="F335">
        <v>33</v>
      </c>
      <c r="G335">
        <v>0</v>
      </c>
      <c r="H335">
        <v>3960</v>
      </c>
      <c r="I335">
        <f>AVERAGEIFS(sales_Data[units_sold], sales_Data[product_id],sales_Data[[#This Row],[product_id]])</f>
        <v>30.473972602739725</v>
      </c>
      <c r="J335">
        <f>_xlfn.XLOOKUP(sales_Data[[#This Row],[product_id]],sales_Data[product_id],sales_Data[unit_price])</f>
        <v>120</v>
      </c>
    </row>
    <row r="336" spans="1:10" x14ac:dyDescent="0.3">
      <c r="A336" t="s">
        <v>352</v>
      </c>
      <c r="B336" s="1">
        <v>45724</v>
      </c>
      <c r="C336" t="s">
        <v>21</v>
      </c>
      <c r="D336" t="s">
        <v>22</v>
      </c>
      <c r="E336">
        <v>25</v>
      </c>
      <c r="F336">
        <v>7</v>
      </c>
      <c r="G336">
        <v>0</v>
      </c>
      <c r="H336">
        <v>175</v>
      </c>
      <c r="I336">
        <f>AVERAGEIFS(sales_Data[units_sold], sales_Data[product_id],sales_Data[[#This Row],[product_id]])</f>
        <v>29.463013698630139</v>
      </c>
      <c r="J336">
        <f>_xlfn.XLOOKUP(sales_Data[[#This Row],[product_id]],sales_Data[product_id],sales_Data[unit_price])</f>
        <v>25</v>
      </c>
    </row>
    <row r="337" spans="1:10" x14ac:dyDescent="0.3">
      <c r="A337" t="s">
        <v>353</v>
      </c>
      <c r="B337" s="1">
        <v>45725</v>
      </c>
      <c r="C337" t="s">
        <v>9</v>
      </c>
      <c r="D337" t="s">
        <v>10</v>
      </c>
      <c r="E337">
        <v>45</v>
      </c>
      <c r="F337">
        <v>61</v>
      </c>
      <c r="G337">
        <v>0.1</v>
      </c>
      <c r="H337">
        <v>2470.5</v>
      </c>
      <c r="I337">
        <f>AVERAGEIFS(sales_Data[units_sold], sales_Data[product_id],sales_Data[[#This Row],[product_id]])</f>
        <v>31.479452054794521</v>
      </c>
      <c r="J337">
        <f>_xlfn.XLOOKUP(sales_Data[[#This Row],[product_id]],sales_Data[product_id],sales_Data[unit_price])</f>
        <v>45</v>
      </c>
    </row>
    <row r="338" spans="1:10" x14ac:dyDescent="0.3">
      <c r="A338" t="s">
        <v>354</v>
      </c>
      <c r="B338" s="1">
        <v>45725</v>
      </c>
      <c r="C338" t="s">
        <v>12</v>
      </c>
      <c r="D338" t="s">
        <v>13</v>
      </c>
      <c r="E338">
        <v>12.5</v>
      </c>
      <c r="F338">
        <v>39</v>
      </c>
      <c r="G338">
        <v>0.1</v>
      </c>
      <c r="H338">
        <v>438.75</v>
      </c>
      <c r="I338">
        <f>AVERAGEIFS(sales_Data[units_sold], sales_Data[product_id],sales_Data[[#This Row],[product_id]])</f>
        <v>31.794520547945204</v>
      </c>
      <c r="J338">
        <f>_xlfn.XLOOKUP(sales_Data[[#This Row],[product_id]],sales_Data[product_id],sales_Data[unit_price])</f>
        <v>12.5</v>
      </c>
    </row>
    <row r="339" spans="1:10" x14ac:dyDescent="0.3">
      <c r="A339" t="s">
        <v>355</v>
      </c>
      <c r="B339" s="1">
        <v>45725</v>
      </c>
      <c r="C339" t="s">
        <v>15</v>
      </c>
      <c r="D339" t="s">
        <v>16</v>
      </c>
      <c r="E339">
        <v>35</v>
      </c>
      <c r="F339">
        <v>31</v>
      </c>
      <c r="G339">
        <v>0</v>
      </c>
      <c r="H339">
        <v>1085</v>
      </c>
      <c r="I339">
        <f>AVERAGEIFS(sales_Data[units_sold], sales_Data[product_id],sales_Data[[#This Row],[product_id]])</f>
        <v>30.438356164383563</v>
      </c>
      <c r="J339">
        <f>_xlfn.XLOOKUP(sales_Data[[#This Row],[product_id]],sales_Data[product_id],sales_Data[unit_price])</f>
        <v>35</v>
      </c>
    </row>
    <row r="340" spans="1:10" x14ac:dyDescent="0.3">
      <c r="A340" t="s">
        <v>356</v>
      </c>
      <c r="B340" s="1">
        <v>45725</v>
      </c>
      <c r="C340" t="s">
        <v>18</v>
      </c>
      <c r="D340" t="s">
        <v>19</v>
      </c>
      <c r="E340">
        <v>120</v>
      </c>
      <c r="F340">
        <v>34</v>
      </c>
      <c r="G340">
        <v>0.1</v>
      </c>
      <c r="H340">
        <v>3672</v>
      </c>
      <c r="I340">
        <f>AVERAGEIFS(sales_Data[units_sold], sales_Data[product_id],sales_Data[[#This Row],[product_id]])</f>
        <v>30.473972602739725</v>
      </c>
      <c r="J340">
        <f>_xlfn.XLOOKUP(sales_Data[[#This Row],[product_id]],sales_Data[product_id],sales_Data[unit_price])</f>
        <v>120</v>
      </c>
    </row>
    <row r="341" spans="1:10" x14ac:dyDescent="0.3">
      <c r="A341" t="s">
        <v>357</v>
      </c>
      <c r="B341" s="1">
        <v>45725</v>
      </c>
      <c r="C341" t="s">
        <v>21</v>
      </c>
      <c r="D341" t="s">
        <v>22</v>
      </c>
      <c r="E341">
        <v>25</v>
      </c>
      <c r="F341">
        <v>52</v>
      </c>
      <c r="G341">
        <v>0.1</v>
      </c>
      <c r="H341">
        <v>1170</v>
      </c>
      <c r="I341">
        <f>AVERAGEIFS(sales_Data[units_sold], sales_Data[product_id],sales_Data[[#This Row],[product_id]])</f>
        <v>29.463013698630139</v>
      </c>
      <c r="J341">
        <f>_xlfn.XLOOKUP(sales_Data[[#This Row],[product_id]],sales_Data[product_id],sales_Data[unit_price])</f>
        <v>25</v>
      </c>
    </row>
    <row r="342" spans="1:10" x14ac:dyDescent="0.3">
      <c r="A342" t="s">
        <v>358</v>
      </c>
      <c r="B342" s="1">
        <v>45726</v>
      </c>
      <c r="C342" t="s">
        <v>9</v>
      </c>
      <c r="D342" t="s">
        <v>10</v>
      </c>
      <c r="E342">
        <v>45</v>
      </c>
      <c r="F342">
        <v>23</v>
      </c>
      <c r="G342">
        <v>0</v>
      </c>
      <c r="H342">
        <v>1035</v>
      </c>
      <c r="I342">
        <f>AVERAGEIFS(sales_Data[units_sold], sales_Data[product_id],sales_Data[[#This Row],[product_id]])</f>
        <v>31.479452054794521</v>
      </c>
      <c r="J342">
        <f>_xlfn.XLOOKUP(sales_Data[[#This Row],[product_id]],sales_Data[product_id],sales_Data[unit_price])</f>
        <v>45</v>
      </c>
    </row>
    <row r="343" spans="1:10" x14ac:dyDescent="0.3">
      <c r="A343" t="s">
        <v>359</v>
      </c>
      <c r="B343" s="1">
        <v>45726</v>
      </c>
      <c r="C343" t="s">
        <v>12</v>
      </c>
      <c r="D343" t="s">
        <v>13</v>
      </c>
      <c r="E343">
        <v>12.5</v>
      </c>
      <c r="F343">
        <v>46</v>
      </c>
      <c r="G343">
        <v>0.2</v>
      </c>
      <c r="H343">
        <v>460</v>
      </c>
      <c r="I343">
        <f>AVERAGEIFS(sales_Data[units_sold], sales_Data[product_id],sales_Data[[#This Row],[product_id]])</f>
        <v>31.794520547945204</v>
      </c>
      <c r="J343">
        <f>_xlfn.XLOOKUP(sales_Data[[#This Row],[product_id]],sales_Data[product_id],sales_Data[unit_price])</f>
        <v>12.5</v>
      </c>
    </row>
    <row r="344" spans="1:10" x14ac:dyDescent="0.3">
      <c r="A344" t="s">
        <v>360</v>
      </c>
      <c r="B344" s="1">
        <v>45726</v>
      </c>
      <c r="C344" t="s">
        <v>15</v>
      </c>
      <c r="D344" t="s">
        <v>16</v>
      </c>
      <c r="E344">
        <v>35</v>
      </c>
      <c r="F344">
        <v>8</v>
      </c>
      <c r="G344">
        <v>0</v>
      </c>
      <c r="H344">
        <v>280</v>
      </c>
      <c r="I344">
        <f>AVERAGEIFS(sales_Data[units_sold], sales_Data[product_id],sales_Data[[#This Row],[product_id]])</f>
        <v>30.438356164383563</v>
      </c>
      <c r="J344">
        <f>_xlfn.XLOOKUP(sales_Data[[#This Row],[product_id]],sales_Data[product_id],sales_Data[unit_price])</f>
        <v>35</v>
      </c>
    </row>
    <row r="345" spans="1:10" x14ac:dyDescent="0.3">
      <c r="A345" t="s">
        <v>361</v>
      </c>
      <c r="B345" s="1">
        <v>45726</v>
      </c>
      <c r="C345" t="s">
        <v>18</v>
      </c>
      <c r="D345" t="s">
        <v>19</v>
      </c>
      <c r="E345">
        <v>120</v>
      </c>
      <c r="F345">
        <v>14</v>
      </c>
      <c r="G345">
        <v>0</v>
      </c>
      <c r="H345">
        <v>1680</v>
      </c>
      <c r="I345">
        <f>AVERAGEIFS(sales_Data[units_sold], sales_Data[product_id],sales_Data[[#This Row],[product_id]])</f>
        <v>30.473972602739725</v>
      </c>
      <c r="J345">
        <f>_xlfn.XLOOKUP(sales_Data[[#This Row],[product_id]],sales_Data[product_id],sales_Data[unit_price])</f>
        <v>120</v>
      </c>
    </row>
    <row r="346" spans="1:10" x14ac:dyDescent="0.3">
      <c r="A346" t="s">
        <v>362</v>
      </c>
      <c r="B346" s="1">
        <v>45726</v>
      </c>
      <c r="C346" t="s">
        <v>21</v>
      </c>
      <c r="D346" t="s">
        <v>22</v>
      </c>
      <c r="E346">
        <v>25</v>
      </c>
      <c r="F346">
        <v>5</v>
      </c>
      <c r="G346">
        <v>0</v>
      </c>
      <c r="H346">
        <v>125</v>
      </c>
      <c r="I346">
        <f>AVERAGEIFS(sales_Data[units_sold], sales_Data[product_id],sales_Data[[#This Row],[product_id]])</f>
        <v>29.463013698630139</v>
      </c>
      <c r="J346">
        <f>_xlfn.XLOOKUP(sales_Data[[#This Row],[product_id]],sales_Data[product_id],sales_Data[unit_price])</f>
        <v>25</v>
      </c>
    </row>
    <row r="347" spans="1:10" x14ac:dyDescent="0.3">
      <c r="A347" t="s">
        <v>363</v>
      </c>
      <c r="B347" s="1">
        <v>45727</v>
      </c>
      <c r="C347" t="s">
        <v>9</v>
      </c>
      <c r="D347" t="s">
        <v>10</v>
      </c>
      <c r="E347">
        <v>45</v>
      </c>
      <c r="F347">
        <v>31</v>
      </c>
      <c r="G347">
        <v>0</v>
      </c>
      <c r="H347">
        <v>1395</v>
      </c>
      <c r="I347">
        <f>AVERAGEIFS(sales_Data[units_sold], sales_Data[product_id],sales_Data[[#This Row],[product_id]])</f>
        <v>31.479452054794521</v>
      </c>
      <c r="J347">
        <f>_xlfn.XLOOKUP(sales_Data[[#This Row],[product_id]],sales_Data[product_id],sales_Data[unit_price])</f>
        <v>45</v>
      </c>
    </row>
    <row r="348" spans="1:10" x14ac:dyDescent="0.3">
      <c r="A348" t="s">
        <v>364</v>
      </c>
      <c r="B348" s="1">
        <v>45727</v>
      </c>
      <c r="C348" t="s">
        <v>12</v>
      </c>
      <c r="D348" t="s">
        <v>13</v>
      </c>
      <c r="E348">
        <v>12.5</v>
      </c>
      <c r="F348">
        <v>19</v>
      </c>
      <c r="G348">
        <v>0</v>
      </c>
      <c r="H348">
        <v>237.5</v>
      </c>
      <c r="I348">
        <f>AVERAGEIFS(sales_Data[units_sold], sales_Data[product_id],sales_Data[[#This Row],[product_id]])</f>
        <v>31.794520547945204</v>
      </c>
      <c r="J348">
        <f>_xlfn.XLOOKUP(sales_Data[[#This Row],[product_id]],sales_Data[product_id],sales_Data[unit_price])</f>
        <v>12.5</v>
      </c>
    </row>
    <row r="349" spans="1:10" x14ac:dyDescent="0.3">
      <c r="A349" t="s">
        <v>365</v>
      </c>
      <c r="B349" s="1">
        <v>45727</v>
      </c>
      <c r="C349" t="s">
        <v>15</v>
      </c>
      <c r="D349" t="s">
        <v>16</v>
      </c>
      <c r="E349">
        <v>35</v>
      </c>
      <c r="F349">
        <v>41</v>
      </c>
      <c r="G349">
        <v>0</v>
      </c>
      <c r="H349">
        <v>1435</v>
      </c>
      <c r="I349">
        <f>AVERAGEIFS(sales_Data[units_sold], sales_Data[product_id],sales_Data[[#This Row],[product_id]])</f>
        <v>30.438356164383563</v>
      </c>
      <c r="J349">
        <f>_xlfn.XLOOKUP(sales_Data[[#This Row],[product_id]],sales_Data[product_id],sales_Data[unit_price])</f>
        <v>35</v>
      </c>
    </row>
    <row r="350" spans="1:10" x14ac:dyDescent="0.3">
      <c r="A350" t="s">
        <v>366</v>
      </c>
      <c r="B350" s="1">
        <v>45727</v>
      </c>
      <c r="C350" t="s">
        <v>18</v>
      </c>
      <c r="D350" t="s">
        <v>19</v>
      </c>
      <c r="E350">
        <v>120</v>
      </c>
      <c r="F350">
        <v>37</v>
      </c>
      <c r="G350">
        <v>0.1</v>
      </c>
      <c r="H350">
        <v>3996</v>
      </c>
      <c r="I350">
        <f>AVERAGEIFS(sales_Data[units_sold], sales_Data[product_id],sales_Data[[#This Row],[product_id]])</f>
        <v>30.473972602739725</v>
      </c>
      <c r="J350">
        <f>_xlfn.XLOOKUP(sales_Data[[#This Row],[product_id]],sales_Data[product_id],sales_Data[unit_price])</f>
        <v>120</v>
      </c>
    </row>
    <row r="351" spans="1:10" x14ac:dyDescent="0.3">
      <c r="A351" t="s">
        <v>367</v>
      </c>
      <c r="B351" s="1">
        <v>45727</v>
      </c>
      <c r="C351" t="s">
        <v>21</v>
      </c>
      <c r="D351" t="s">
        <v>22</v>
      </c>
      <c r="E351">
        <v>25</v>
      </c>
      <c r="F351">
        <v>20</v>
      </c>
      <c r="G351">
        <v>0</v>
      </c>
      <c r="H351">
        <v>500</v>
      </c>
      <c r="I351">
        <f>AVERAGEIFS(sales_Data[units_sold], sales_Data[product_id],sales_Data[[#This Row],[product_id]])</f>
        <v>29.463013698630139</v>
      </c>
      <c r="J351">
        <f>_xlfn.XLOOKUP(sales_Data[[#This Row],[product_id]],sales_Data[product_id],sales_Data[unit_price])</f>
        <v>25</v>
      </c>
    </row>
    <row r="352" spans="1:10" x14ac:dyDescent="0.3">
      <c r="A352" t="s">
        <v>368</v>
      </c>
      <c r="B352" s="1">
        <v>45728</v>
      </c>
      <c r="C352" t="s">
        <v>9</v>
      </c>
      <c r="D352" t="s">
        <v>10</v>
      </c>
      <c r="E352">
        <v>45</v>
      </c>
      <c r="F352">
        <v>44</v>
      </c>
      <c r="G352">
        <v>0</v>
      </c>
      <c r="H352">
        <v>1980</v>
      </c>
      <c r="I352">
        <f>AVERAGEIFS(sales_Data[units_sold], sales_Data[product_id],sales_Data[[#This Row],[product_id]])</f>
        <v>31.479452054794521</v>
      </c>
      <c r="J352">
        <f>_xlfn.XLOOKUP(sales_Data[[#This Row],[product_id]],sales_Data[product_id],sales_Data[unit_price])</f>
        <v>45</v>
      </c>
    </row>
    <row r="353" spans="1:10" x14ac:dyDescent="0.3">
      <c r="A353" t="s">
        <v>369</v>
      </c>
      <c r="B353" s="1">
        <v>45728</v>
      </c>
      <c r="C353" t="s">
        <v>12</v>
      </c>
      <c r="D353" t="s">
        <v>13</v>
      </c>
      <c r="E353">
        <v>12.5</v>
      </c>
      <c r="F353">
        <v>33</v>
      </c>
      <c r="G353">
        <v>0.1</v>
      </c>
      <c r="H353">
        <v>371.25</v>
      </c>
      <c r="I353">
        <f>AVERAGEIFS(sales_Data[units_sold], sales_Data[product_id],sales_Data[[#This Row],[product_id]])</f>
        <v>31.794520547945204</v>
      </c>
      <c r="J353">
        <f>_xlfn.XLOOKUP(sales_Data[[#This Row],[product_id]],sales_Data[product_id],sales_Data[unit_price])</f>
        <v>12.5</v>
      </c>
    </row>
    <row r="354" spans="1:10" x14ac:dyDescent="0.3">
      <c r="A354" t="s">
        <v>370</v>
      </c>
      <c r="B354" s="1">
        <v>45728</v>
      </c>
      <c r="C354" t="s">
        <v>15</v>
      </c>
      <c r="D354" t="s">
        <v>16</v>
      </c>
      <c r="E354">
        <v>35</v>
      </c>
      <c r="F354">
        <v>48</v>
      </c>
      <c r="G354">
        <v>0.1</v>
      </c>
      <c r="H354">
        <v>1512</v>
      </c>
      <c r="I354">
        <f>AVERAGEIFS(sales_Data[units_sold], sales_Data[product_id],sales_Data[[#This Row],[product_id]])</f>
        <v>30.438356164383563</v>
      </c>
      <c r="J354">
        <f>_xlfn.XLOOKUP(sales_Data[[#This Row],[product_id]],sales_Data[product_id],sales_Data[unit_price])</f>
        <v>35</v>
      </c>
    </row>
    <row r="355" spans="1:10" x14ac:dyDescent="0.3">
      <c r="A355" t="s">
        <v>371</v>
      </c>
      <c r="B355" s="1">
        <v>45728</v>
      </c>
      <c r="C355" t="s">
        <v>18</v>
      </c>
      <c r="D355" t="s">
        <v>19</v>
      </c>
      <c r="E355">
        <v>120</v>
      </c>
      <c r="F355">
        <v>40</v>
      </c>
      <c r="G355">
        <v>0</v>
      </c>
      <c r="H355">
        <v>4800</v>
      </c>
      <c r="I355">
        <f>AVERAGEIFS(sales_Data[units_sold], sales_Data[product_id],sales_Data[[#This Row],[product_id]])</f>
        <v>30.473972602739725</v>
      </c>
      <c r="J355">
        <f>_xlfn.XLOOKUP(sales_Data[[#This Row],[product_id]],sales_Data[product_id],sales_Data[unit_price])</f>
        <v>120</v>
      </c>
    </row>
    <row r="356" spans="1:10" x14ac:dyDescent="0.3">
      <c r="A356" t="s">
        <v>372</v>
      </c>
      <c r="B356" s="1">
        <v>45728</v>
      </c>
      <c r="C356" t="s">
        <v>21</v>
      </c>
      <c r="D356" t="s">
        <v>22</v>
      </c>
      <c r="E356">
        <v>25</v>
      </c>
      <c r="F356">
        <v>29</v>
      </c>
      <c r="G356">
        <v>0.1</v>
      </c>
      <c r="H356">
        <v>652.5</v>
      </c>
      <c r="I356">
        <f>AVERAGEIFS(sales_Data[units_sold], sales_Data[product_id],sales_Data[[#This Row],[product_id]])</f>
        <v>29.463013698630139</v>
      </c>
      <c r="J356">
        <f>_xlfn.XLOOKUP(sales_Data[[#This Row],[product_id]],sales_Data[product_id],sales_Data[unit_price])</f>
        <v>25</v>
      </c>
    </row>
    <row r="357" spans="1:10" x14ac:dyDescent="0.3">
      <c r="A357" t="s">
        <v>373</v>
      </c>
      <c r="B357" s="1">
        <v>45729</v>
      </c>
      <c r="C357" t="s">
        <v>9</v>
      </c>
      <c r="D357" t="s">
        <v>10</v>
      </c>
      <c r="E357">
        <v>45</v>
      </c>
      <c r="F357">
        <v>12</v>
      </c>
      <c r="G357">
        <v>0</v>
      </c>
      <c r="H357">
        <v>540</v>
      </c>
      <c r="I357">
        <f>AVERAGEIFS(sales_Data[units_sold], sales_Data[product_id],sales_Data[[#This Row],[product_id]])</f>
        <v>31.479452054794521</v>
      </c>
      <c r="J357">
        <f>_xlfn.XLOOKUP(sales_Data[[#This Row],[product_id]],sales_Data[product_id],sales_Data[unit_price])</f>
        <v>45</v>
      </c>
    </row>
    <row r="358" spans="1:10" x14ac:dyDescent="0.3">
      <c r="A358" t="s">
        <v>374</v>
      </c>
      <c r="B358" s="1">
        <v>45729</v>
      </c>
      <c r="C358" t="s">
        <v>12</v>
      </c>
      <c r="D358" t="s">
        <v>13</v>
      </c>
      <c r="E358">
        <v>12.5</v>
      </c>
      <c r="F358">
        <v>34</v>
      </c>
      <c r="G358">
        <v>0</v>
      </c>
      <c r="H358">
        <v>425</v>
      </c>
      <c r="I358">
        <f>AVERAGEIFS(sales_Data[units_sold], sales_Data[product_id],sales_Data[[#This Row],[product_id]])</f>
        <v>31.794520547945204</v>
      </c>
      <c r="J358">
        <f>_xlfn.XLOOKUP(sales_Data[[#This Row],[product_id]],sales_Data[product_id],sales_Data[unit_price])</f>
        <v>12.5</v>
      </c>
    </row>
    <row r="359" spans="1:10" x14ac:dyDescent="0.3">
      <c r="A359" t="s">
        <v>375</v>
      </c>
      <c r="B359" s="1">
        <v>45729</v>
      </c>
      <c r="C359" t="s">
        <v>15</v>
      </c>
      <c r="D359" t="s">
        <v>16</v>
      </c>
      <c r="E359">
        <v>35</v>
      </c>
      <c r="F359">
        <v>34</v>
      </c>
      <c r="G359">
        <v>0</v>
      </c>
      <c r="H359">
        <v>1190</v>
      </c>
      <c r="I359">
        <f>AVERAGEIFS(sales_Data[units_sold], sales_Data[product_id],sales_Data[[#This Row],[product_id]])</f>
        <v>30.438356164383563</v>
      </c>
      <c r="J359">
        <f>_xlfn.XLOOKUP(sales_Data[[#This Row],[product_id]],sales_Data[product_id],sales_Data[unit_price])</f>
        <v>35</v>
      </c>
    </row>
    <row r="360" spans="1:10" x14ac:dyDescent="0.3">
      <c r="A360" t="s">
        <v>376</v>
      </c>
      <c r="B360" s="1">
        <v>45729</v>
      </c>
      <c r="C360" t="s">
        <v>18</v>
      </c>
      <c r="D360" t="s">
        <v>19</v>
      </c>
      <c r="E360">
        <v>120</v>
      </c>
      <c r="F360">
        <v>40</v>
      </c>
      <c r="G360">
        <v>0</v>
      </c>
      <c r="H360">
        <v>4800</v>
      </c>
      <c r="I360">
        <f>AVERAGEIFS(sales_Data[units_sold], sales_Data[product_id],sales_Data[[#This Row],[product_id]])</f>
        <v>30.473972602739725</v>
      </c>
      <c r="J360">
        <f>_xlfn.XLOOKUP(sales_Data[[#This Row],[product_id]],sales_Data[product_id],sales_Data[unit_price])</f>
        <v>120</v>
      </c>
    </row>
    <row r="361" spans="1:10" x14ac:dyDescent="0.3">
      <c r="A361" t="s">
        <v>377</v>
      </c>
      <c r="B361" s="1">
        <v>45729</v>
      </c>
      <c r="C361" t="s">
        <v>21</v>
      </c>
      <c r="D361" t="s">
        <v>22</v>
      </c>
      <c r="E361">
        <v>25</v>
      </c>
      <c r="F361">
        <v>11</v>
      </c>
      <c r="G361">
        <v>0</v>
      </c>
      <c r="H361">
        <v>275</v>
      </c>
      <c r="I361">
        <f>AVERAGEIFS(sales_Data[units_sold], sales_Data[product_id],sales_Data[[#This Row],[product_id]])</f>
        <v>29.463013698630139</v>
      </c>
      <c r="J361">
        <f>_xlfn.XLOOKUP(sales_Data[[#This Row],[product_id]],sales_Data[product_id],sales_Data[unit_price])</f>
        <v>25</v>
      </c>
    </row>
    <row r="362" spans="1:10" x14ac:dyDescent="0.3">
      <c r="A362" t="s">
        <v>378</v>
      </c>
      <c r="B362" s="1">
        <v>45730</v>
      </c>
      <c r="C362" t="s">
        <v>9</v>
      </c>
      <c r="D362" t="s">
        <v>10</v>
      </c>
      <c r="E362">
        <v>45</v>
      </c>
      <c r="F362">
        <v>6</v>
      </c>
      <c r="G362">
        <v>0.1</v>
      </c>
      <c r="H362">
        <v>243</v>
      </c>
      <c r="I362">
        <f>AVERAGEIFS(sales_Data[units_sold], sales_Data[product_id],sales_Data[[#This Row],[product_id]])</f>
        <v>31.479452054794521</v>
      </c>
      <c r="J362">
        <f>_xlfn.XLOOKUP(sales_Data[[#This Row],[product_id]],sales_Data[product_id],sales_Data[unit_price])</f>
        <v>45</v>
      </c>
    </row>
    <row r="363" spans="1:10" x14ac:dyDescent="0.3">
      <c r="A363" t="s">
        <v>379</v>
      </c>
      <c r="B363" s="1">
        <v>45730</v>
      </c>
      <c r="C363" t="s">
        <v>12</v>
      </c>
      <c r="D363" t="s">
        <v>13</v>
      </c>
      <c r="E363">
        <v>12.5</v>
      </c>
      <c r="F363">
        <v>47</v>
      </c>
      <c r="G363">
        <v>0</v>
      </c>
      <c r="H363">
        <v>587.5</v>
      </c>
      <c r="I363">
        <f>AVERAGEIFS(sales_Data[units_sold], sales_Data[product_id],sales_Data[[#This Row],[product_id]])</f>
        <v>31.794520547945204</v>
      </c>
      <c r="J363">
        <f>_xlfn.XLOOKUP(sales_Data[[#This Row],[product_id]],sales_Data[product_id],sales_Data[unit_price])</f>
        <v>12.5</v>
      </c>
    </row>
    <row r="364" spans="1:10" x14ac:dyDescent="0.3">
      <c r="A364" t="s">
        <v>380</v>
      </c>
      <c r="B364" s="1">
        <v>45730</v>
      </c>
      <c r="C364" t="s">
        <v>15</v>
      </c>
      <c r="D364" t="s">
        <v>16</v>
      </c>
      <c r="E364">
        <v>35</v>
      </c>
      <c r="F364">
        <v>10</v>
      </c>
      <c r="G364">
        <v>0</v>
      </c>
      <c r="H364">
        <v>350</v>
      </c>
      <c r="I364">
        <f>AVERAGEIFS(sales_Data[units_sold], sales_Data[product_id],sales_Data[[#This Row],[product_id]])</f>
        <v>30.438356164383563</v>
      </c>
      <c r="J364">
        <f>_xlfn.XLOOKUP(sales_Data[[#This Row],[product_id]],sales_Data[product_id],sales_Data[unit_price])</f>
        <v>35</v>
      </c>
    </row>
    <row r="365" spans="1:10" x14ac:dyDescent="0.3">
      <c r="A365" t="s">
        <v>381</v>
      </c>
      <c r="B365" s="1">
        <v>45730</v>
      </c>
      <c r="C365" t="s">
        <v>18</v>
      </c>
      <c r="D365" t="s">
        <v>19</v>
      </c>
      <c r="E365">
        <v>120</v>
      </c>
      <c r="F365">
        <v>44</v>
      </c>
      <c r="G365">
        <v>0</v>
      </c>
      <c r="H365">
        <v>5280</v>
      </c>
      <c r="I365">
        <f>AVERAGEIFS(sales_Data[units_sold], sales_Data[product_id],sales_Data[[#This Row],[product_id]])</f>
        <v>30.473972602739725</v>
      </c>
      <c r="J365">
        <f>_xlfn.XLOOKUP(sales_Data[[#This Row],[product_id]],sales_Data[product_id],sales_Data[unit_price])</f>
        <v>120</v>
      </c>
    </row>
    <row r="366" spans="1:10" x14ac:dyDescent="0.3">
      <c r="A366" t="s">
        <v>382</v>
      </c>
      <c r="B366" s="1">
        <v>45730</v>
      </c>
      <c r="C366" t="s">
        <v>21</v>
      </c>
      <c r="D366" t="s">
        <v>22</v>
      </c>
      <c r="E366">
        <v>25</v>
      </c>
      <c r="F366">
        <v>29</v>
      </c>
      <c r="G366">
        <v>0</v>
      </c>
      <c r="H366">
        <v>725</v>
      </c>
      <c r="I366">
        <f>AVERAGEIFS(sales_Data[units_sold], sales_Data[product_id],sales_Data[[#This Row],[product_id]])</f>
        <v>29.463013698630139</v>
      </c>
      <c r="J366">
        <f>_xlfn.XLOOKUP(sales_Data[[#This Row],[product_id]],sales_Data[product_id],sales_Data[unit_price])</f>
        <v>25</v>
      </c>
    </row>
    <row r="367" spans="1:10" x14ac:dyDescent="0.3">
      <c r="A367" t="s">
        <v>383</v>
      </c>
      <c r="B367" s="1">
        <v>45731</v>
      </c>
      <c r="C367" t="s">
        <v>9</v>
      </c>
      <c r="D367" t="s">
        <v>10</v>
      </c>
      <c r="E367">
        <v>45</v>
      </c>
      <c r="F367">
        <v>36</v>
      </c>
      <c r="G367">
        <v>0</v>
      </c>
      <c r="H367">
        <v>1620</v>
      </c>
      <c r="I367">
        <f>AVERAGEIFS(sales_Data[units_sold], sales_Data[product_id],sales_Data[[#This Row],[product_id]])</f>
        <v>31.479452054794521</v>
      </c>
      <c r="J367">
        <f>_xlfn.XLOOKUP(sales_Data[[#This Row],[product_id]],sales_Data[product_id],sales_Data[unit_price])</f>
        <v>45</v>
      </c>
    </row>
    <row r="368" spans="1:10" x14ac:dyDescent="0.3">
      <c r="A368" t="s">
        <v>384</v>
      </c>
      <c r="B368" s="1">
        <v>45731</v>
      </c>
      <c r="C368" t="s">
        <v>12</v>
      </c>
      <c r="D368" t="s">
        <v>13</v>
      </c>
      <c r="E368">
        <v>12.5</v>
      </c>
      <c r="F368">
        <v>28</v>
      </c>
      <c r="G368">
        <v>0</v>
      </c>
      <c r="H368">
        <v>350</v>
      </c>
      <c r="I368">
        <f>AVERAGEIFS(sales_Data[units_sold], sales_Data[product_id],sales_Data[[#This Row],[product_id]])</f>
        <v>31.794520547945204</v>
      </c>
      <c r="J368">
        <f>_xlfn.XLOOKUP(sales_Data[[#This Row],[product_id]],sales_Data[product_id],sales_Data[unit_price])</f>
        <v>12.5</v>
      </c>
    </row>
    <row r="369" spans="1:10" x14ac:dyDescent="0.3">
      <c r="A369" t="s">
        <v>385</v>
      </c>
      <c r="B369" s="1">
        <v>45731</v>
      </c>
      <c r="C369" t="s">
        <v>15</v>
      </c>
      <c r="D369" t="s">
        <v>16</v>
      </c>
      <c r="E369">
        <v>35</v>
      </c>
      <c r="F369">
        <v>24</v>
      </c>
      <c r="G369">
        <v>0</v>
      </c>
      <c r="H369">
        <v>840</v>
      </c>
      <c r="I369">
        <f>AVERAGEIFS(sales_Data[units_sold], sales_Data[product_id],sales_Data[[#This Row],[product_id]])</f>
        <v>30.438356164383563</v>
      </c>
      <c r="J369">
        <f>_xlfn.XLOOKUP(sales_Data[[#This Row],[product_id]],sales_Data[product_id],sales_Data[unit_price])</f>
        <v>35</v>
      </c>
    </row>
    <row r="370" spans="1:10" x14ac:dyDescent="0.3">
      <c r="A370" t="s">
        <v>386</v>
      </c>
      <c r="B370" s="1">
        <v>45731</v>
      </c>
      <c r="C370" t="s">
        <v>18</v>
      </c>
      <c r="D370" t="s">
        <v>19</v>
      </c>
      <c r="E370">
        <v>120</v>
      </c>
      <c r="F370">
        <v>30</v>
      </c>
      <c r="G370">
        <v>0</v>
      </c>
      <c r="H370">
        <v>3600</v>
      </c>
      <c r="I370">
        <f>AVERAGEIFS(sales_Data[units_sold], sales_Data[product_id],sales_Data[[#This Row],[product_id]])</f>
        <v>30.473972602739725</v>
      </c>
      <c r="J370">
        <f>_xlfn.XLOOKUP(sales_Data[[#This Row],[product_id]],sales_Data[product_id],sales_Data[unit_price])</f>
        <v>120</v>
      </c>
    </row>
    <row r="371" spans="1:10" x14ac:dyDescent="0.3">
      <c r="A371" t="s">
        <v>387</v>
      </c>
      <c r="B371" s="1">
        <v>45731</v>
      </c>
      <c r="C371" t="s">
        <v>21</v>
      </c>
      <c r="D371" t="s">
        <v>22</v>
      </c>
      <c r="E371">
        <v>25</v>
      </c>
      <c r="F371">
        <v>24</v>
      </c>
      <c r="G371">
        <v>0</v>
      </c>
      <c r="H371">
        <v>600</v>
      </c>
      <c r="I371">
        <f>AVERAGEIFS(sales_Data[units_sold], sales_Data[product_id],sales_Data[[#This Row],[product_id]])</f>
        <v>29.463013698630139</v>
      </c>
      <c r="J371">
        <f>_xlfn.XLOOKUP(sales_Data[[#This Row],[product_id]],sales_Data[product_id],sales_Data[unit_price])</f>
        <v>25</v>
      </c>
    </row>
    <row r="372" spans="1:10" x14ac:dyDescent="0.3">
      <c r="A372" t="s">
        <v>388</v>
      </c>
      <c r="B372" s="1">
        <v>45732</v>
      </c>
      <c r="C372" t="s">
        <v>9</v>
      </c>
      <c r="D372" t="s">
        <v>10</v>
      </c>
      <c r="E372">
        <v>45</v>
      </c>
      <c r="F372">
        <v>42</v>
      </c>
      <c r="G372">
        <v>0</v>
      </c>
      <c r="H372">
        <v>1890</v>
      </c>
      <c r="I372">
        <f>AVERAGEIFS(sales_Data[units_sold], sales_Data[product_id],sales_Data[[#This Row],[product_id]])</f>
        <v>31.479452054794521</v>
      </c>
      <c r="J372">
        <f>_xlfn.XLOOKUP(sales_Data[[#This Row],[product_id]],sales_Data[product_id],sales_Data[unit_price])</f>
        <v>45</v>
      </c>
    </row>
    <row r="373" spans="1:10" x14ac:dyDescent="0.3">
      <c r="A373" t="s">
        <v>389</v>
      </c>
      <c r="B373" s="1">
        <v>45732</v>
      </c>
      <c r="C373" t="s">
        <v>12</v>
      </c>
      <c r="D373" t="s">
        <v>13</v>
      </c>
      <c r="E373">
        <v>12.5</v>
      </c>
      <c r="F373">
        <v>12</v>
      </c>
      <c r="G373">
        <v>0</v>
      </c>
      <c r="H373">
        <v>150</v>
      </c>
      <c r="I373">
        <f>AVERAGEIFS(sales_Data[units_sold], sales_Data[product_id],sales_Data[[#This Row],[product_id]])</f>
        <v>31.794520547945204</v>
      </c>
      <c r="J373">
        <f>_xlfn.XLOOKUP(sales_Data[[#This Row],[product_id]],sales_Data[product_id],sales_Data[unit_price])</f>
        <v>12.5</v>
      </c>
    </row>
    <row r="374" spans="1:10" x14ac:dyDescent="0.3">
      <c r="A374" t="s">
        <v>390</v>
      </c>
      <c r="B374" s="1">
        <v>45732</v>
      </c>
      <c r="C374" t="s">
        <v>15</v>
      </c>
      <c r="D374" t="s">
        <v>16</v>
      </c>
      <c r="E374">
        <v>35</v>
      </c>
      <c r="F374">
        <v>57</v>
      </c>
      <c r="G374">
        <v>0.1</v>
      </c>
      <c r="H374">
        <v>1795.5</v>
      </c>
      <c r="I374">
        <f>AVERAGEIFS(sales_Data[units_sold], sales_Data[product_id],sales_Data[[#This Row],[product_id]])</f>
        <v>30.438356164383563</v>
      </c>
      <c r="J374">
        <f>_xlfn.XLOOKUP(sales_Data[[#This Row],[product_id]],sales_Data[product_id],sales_Data[unit_price])</f>
        <v>35</v>
      </c>
    </row>
    <row r="375" spans="1:10" x14ac:dyDescent="0.3">
      <c r="A375" t="s">
        <v>391</v>
      </c>
      <c r="B375" s="1">
        <v>45732</v>
      </c>
      <c r="C375" t="s">
        <v>18</v>
      </c>
      <c r="D375" t="s">
        <v>19</v>
      </c>
      <c r="E375">
        <v>120</v>
      </c>
      <c r="F375">
        <v>40</v>
      </c>
      <c r="G375">
        <v>0</v>
      </c>
      <c r="H375">
        <v>4800</v>
      </c>
      <c r="I375">
        <f>AVERAGEIFS(sales_Data[units_sold], sales_Data[product_id],sales_Data[[#This Row],[product_id]])</f>
        <v>30.473972602739725</v>
      </c>
      <c r="J375">
        <f>_xlfn.XLOOKUP(sales_Data[[#This Row],[product_id]],sales_Data[product_id],sales_Data[unit_price])</f>
        <v>120</v>
      </c>
    </row>
    <row r="376" spans="1:10" x14ac:dyDescent="0.3">
      <c r="A376" t="s">
        <v>392</v>
      </c>
      <c r="B376" s="1">
        <v>45732</v>
      </c>
      <c r="C376" t="s">
        <v>21</v>
      </c>
      <c r="D376" t="s">
        <v>22</v>
      </c>
      <c r="E376">
        <v>25</v>
      </c>
      <c r="F376">
        <v>36</v>
      </c>
      <c r="G376">
        <v>0</v>
      </c>
      <c r="H376">
        <v>900</v>
      </c>
      <c r="I376">
        <f>AVERAGEIFS(sales_Data[units_sold], sales_Data[product_id],sales_Data[[#This Row],[product_id]])</f>
        <v>29.463013698630139</v>
      </c>
      <c r="J376">
        <f>_xlfn.XLOOKUP(sales_Data[[#This Row],[product_id]],sales_Data[product_id],sales_Data[unit_price])</f>
        <v>25</v>
      </c>
    </row>
    <row r="377" spans="1:10" x14ac:dyDescent="0.3">
      <c r="A377" t="s">
        <v>393</v>
      </c>
      <c r="B377" s="1">
        <v>45733</v>
      </c>
      <c r="C377" t="s">
        <v>9</v>
      </c>
      <c r="D377" t="s">
        <v>10</v>
      </c>
      <c r="E377">
        <v>45</v>
      </c>
      <c r="F377">
        <v>28</v>
      </c>
      <c r="G377">
        <v>0</v>
      </c>
      <c r="H377">
        <v>1260</v>
      </c>
      <c r="I377">
        <f>AVERAGEIFS(sales_Data[units_sold], sales_Data[product_id],sales_Data[[#This Row],[product_id]])</f>
        <v>31.479452054794521</v>
      </c>
      <c r="J377">
        <f>_xlfn.XLOOKUP(sales_Data[[#This Row],[product_id]],sales_Data[product_id],sales_Data[unit_price])</f>
        <v>45</v>
      </c>
    </row>
    <row r="378" spans="1:10" x14ac:dyDescent="0.3">
      <c r="A378" t="s">
        <v>394</v>
      </c>
      <c r="B378" s="1">
        <v>45733</v>
      </c>
      <c r="C378" t="s">
        <v>12</v>
      </c>
      <c r="D378" t="s">
        <v>13</v>
      </c>
      <c r="E378">
        <v>12.5</v>
      </c>
      <c r="F378">
        <v>13</v>
      </c>
      <c r="G378">
        <v>0</v>
      </c>
      <c r="H378">
        <v>162.5</v>
      </c>
      <c r="I378">
        <f>AVERAGEIFS(sales_Data[units_sold], sales_Data[product_id],sales_Data[[#This Row],[product_id]])</f>
        <v>31.794520547945204</v>
      </c>
      <c r="J378">
        <f>_xlfn.XLOOKUP(sales_Data[[#This Row],[product_id]],sales_Data[product_id],sales_Data[unit_price])</f>
        <v>12.5</v>
      </c>
    </row>
    <row r="379" spans="1:10" x14ac:dyDescent="0.3">
      <c r="A379" t="s">
        <v>395</v>
      </c>
      <c r="B379" s="1">
        <v>45733</v>
      </c>
      <c r="C379" t="s">
        <v>15</v>
      </c>
      <c r="D379" t="s">
        <v>16</v>
      </c>
      <c r="E379">
        <v>35</v>
      </c>
      <c r="F379">
        <v>19</v>
      </c>
      <c r="G379">
        <v>0.1</v>
      </c>
      <c r="H379">
        <v>598.5</v>
      </c>
      <c r="I379">
        <f>AVERAGEIFS(sales_Data[units_sold], sales_Data[product_id],sales_Data[[#This Row],[product_id]])</f>
        <v>30.438356164383563</v>
      </c>
      <c r="J379">
        <f>_xlfn.XLOOKUP(sales_Data[[#This Row],[product_id]],sales_Data[product_id],sales_Data[unit_price])</f>
        <v>35</v>
      </c>
    </row>
    <row r="380" spans="1:10" x14ac:dyDescent="0.3">
      <c r="A380" t="s">
        <v>396</v>
      </c>
      <c r="B380" s="1">
        <v>45733</v>
      </c>
      <c r="C380" t="s">
        <v>18</v>
      </c>
      <c r="D380" t="s">
        <v>19</v>
      </c>
      <c r="E380">
        <v>120</v>
      </c>
      <c r="F380">
        <v>19</v>
      </c>
      <c r="G380">
        <v>0</v>
      </c>
      <c r="H380">
        <v>2280</v>
      </c>
      <c r="I380">
        <f>AVERAGEIFS(sales_Data[units_sold], sales_Data[product_id],sales_Data[[#This Row],[product_id]])</f>
        <v>30.473972602739725</v>
      </c>
      <c r="J380">
        <f>_xlfn.XLOOKUP(sales_Data[[#This Row],[product_id]],sales_Data[product_id],sales_Data[unit_price])</f>
        <v>120</v>
      </c>
    </row>
    <row r="381" spans="1:10" x14ac:dyDescent="0.3">
      <c r="A381" t="s">
        <v>397</v>
      </c>
      <c r="B381" s="1">
        <v>45733</v>
      </c>
      <c r="C381" t="s">
        <v>21</v>
      </c>
      <c r="D381" t="s">
        <v>22</v>
      </c>
      <c r="E381">
        <v>25</v>
      </c>
      <c r="F381">
        <v>38</v>
      </c>
      <c r="G381">
        <v>0</v>
      </c>
      <c r="H381">
        <v>950</v>
      </c>
      <c r="I381">
        <f>AVERAGEIFS(sales_Data[units_sold], sales_Data[product_id],sales_Data[[#This Row],[product_id]])</f>
        <v>29.463013698630139</v>
      </c>
      <c r="J381">
        <f>_xlfn.XLOOKUP(sales_Data[[#This Row],[product_id]],sales_Data[product_id],sales_Data[unit_price])</f>
        <v>25</v>
      </c>
    </row>
    <row r="382" spans="1:10" x14ac:dyDescent="0.3">
      <c r="A382" t="s">
        <v>398</v>
      </c>
      <c r="B382" s="1">
        <v>45734</v>
      </c>
      <c r="C382" t="s">
        <v>9</v>
      </c>
      <c r="D382" t="s">
        <v>10</v>
      </c>
      <c r="E382">
        <v>45</v>
      </c>
      <c r="F382">
        <v>46</v>
      </c>
      <c r="G382">
        <v>0</v>
      </c>
      <c r="H382">
        <v>2070</v>
      </c>
      <c r="I382">
        <f>AVERAGEIFS(sales_Data[units_sold], sales_Data[product_id],sales_Data[[#This Row],[product_id]])</f>
        <v>31.479452054794521</v>
      </c>
      <c r="J382">
        <f>_xlfn.XLOOKUP(sales_Data[[#This Row],[product_id]],sales_Data[product_id],sales_Data[unit_price])</f>
        <v>45</v>
      </c>
    </row>
    <row r="383" spans="1:10" x14ac:dyDescent="0.3">
      <c r="A383" t="s">
        <v>399</v>
      </c>
      <c r="B383" s="1">
        <v>45734</v>
      </c>
      <c r="C383" t="s">
        <v>12</v>
      </c>
      <c r="D383" t="s">
        <v>13</v>
      </c>
      <c r="E383">
        <v>12.5</v>
      </c>
      <c r="F383">
        <v>47</v>
      </c>
      <c r="G383">
        <v>0</v>
      </c>
      <c r="H383">
        <v>587.5</v>
      </c>
      <c r="I383">
        <f>AVERAGEIFS(sales_Data[units_sold], sales_Data[product_id],sales_Data[[#This Row],[product_id]])</f>
        <v>31.794520547945204</v>
      </c>
      <c r="J383">
        <f>_xlfn.XLOOKUP(sales_Data[[#This Row],[product_id]],sales_Data[product_id],sales_Data[unit_price])</f>
        <v>12.5</v>
      </c>
    </row>
    <row r="384" spans="1:10" x14ac:dyDescent="0.3">
      <c r="A384" t="s">
        <v>400</v>
      </c>
      <c r="B384" s="1">
        <v>45734</v>
      </c>
      <c r="C384" t="s">
        <v>15</v>
      </c>
      <c r="D384" t="s">
        <v>16</v>
      </c>
      <c r="E384">
        <v>35</v>
      </c>
      <c r="F384">
        <v>41</v>
      </c>
      <c r="G384">
        <v>0</v>
      </c>
      <c r="H384">
        <v>1435</v>
      </c>
      <c r="I384">
        <f>AVERAGEIFS(sales_Data[units_sold], sales_Data[product_id],sales_Data[[#This Row],[product_id]])</f>
        <v>30.438356164383563</v>
      </c>
      <c r="J384">
        <f>_xlfn.XLOOKUP(sales_Data[[#This Row],[product_id]],sales_Data[product_id],sales_Data[unit_price])</f>
        <v>35</v>
      </c>
    </row>
    <row r="385" spans="1:10" x14ac:dyDescent="0.3">
      <c r="A385" t="s">
        <v>401</v>
      </c>
      <c r="B385" s="1">
        <v>45734</v>
      </c>
      <c r="C385" t="s">
        <v>18</v>
      </c>
      <c r="D385" t="s">
        <v>19</v>
      </c>
      <c r="E385">
        <v>120</v>
      </c>
      <c r="F385">
        <v>5</v>
      </c>
      <c r="G385">
        <v>0</v>
      </c>
      <c r="H385">
        <v>600</v>
      </c>
      <c r="I385">
        <f>AVERAGEIFS(sales_Data[units_sold], sales_Data[product_id],sales_Data[[#This Row],[product_id]])</f>
        <v>30.473972602739725</v>
      </c>
      <c r="J385">
        <f>_xlfn.XLOOKUP(sales_Data[[#This Row],[product_id]],sales_Data[product_id],sales_Data[unit_price])</f>
        <v>120</v>
      </c>
    </row>
    <row r="386" spans="1:10" x14ac:dyDescent="0.3">
      <c r="A386" t="s">
        <v>402</v>
      </c>
      <c r="B386" s="1">
        <v>45734</v>
      </c>
      <c r="C386" t="s">
        <v>21</v>
      </c>
      <c r="D386" t="s">
        <v>22</v>
      </c>
      <c r="E386">
        <v>25</v>
      </c>
      <c r="F386">
        <v>41</v>
      </c>
      <c r="G386">
        <v>0.1</v>
      </c>
      <c r="H386">
        <v>922.5</v>
      </c>
      <c r="I386">
        <f>AVERAGEIFS(sales_Data[units_sold], sales_Data[product_id],sales_Data[[#This Row],[product_id]])</f>
        <v>29.463013698630139</v>
      </c>
      <c r="J386">
        <f>_xlfn.XLOOKUP(sales_Data[[#This Row],[product_id]],sales_Data[product_id],sales_Data[unit_price])</f>
        <v>25</v>
      </c>
    </row>
    <row r="387" spans="1:10" x14ac:dyDescent="0.3">
      <c r="A387" t="s">
        <v>403</v>
      </c>
      <c r="B387" s="1">
        <v>45735</v>
      </c>
      <c r="C387" t="s">
        <v>9</v>
      </c>
      <c r="D387" t="s">
        <v>10</v>
      </c>
      <c r="E387">
        <v>45</v>
      </c>
      <c r="F387">
        <v>5</v>
      </c>
      <c r="G387">
        <v>0.1</v>
      </c>
      <c r="H387">
        <v>202.5</v>
      </c>
      <c r="I387">
        <f>AVERAGEIFS(sales_Data[units_sold], sales_Data[product_id],sales_Data[[#This Row],[product_id]])</f>
        <v>31.479452054794521</v>
      </c>
      <c r="J387">
        <f>_xlfn.XLOOKUP(sales_Data[[#This Row],[product_id]],sales_Data[product_id],sales_Data[unit_price])</f>
        <v>45</v>
      </c>
    </row>
    <row r="388" spans="1:10" x14ac:dyDescent="0.3">
      <c r="A388" t="s">
        <v>404</v>
      </c>
      <c r="B388" s="1">
        <v>45735</v>
      </c>
      <c r="C388" t="s">
        <v>12</v>
      </c>
      <c r="D388" t="s">
        <v>13</v>
      </c>
      <c r="E388">
        <v>12.5</v>
      </c>
      <c r="F388">
        <v>14</v>
      </c>
      <c r="G388">
        <v>0</v>
      </c>
      <c r="H388">
        <v>175</v>
      </c>
      <c r="I388">
        <f>AVERAGEIFS(sales_Data[units_sold], sales_Data[product_id],sales_Data[[#This Row],[product_id]])</f>
        <v>31.794520547945204</v>
      </c>
      <c r="J388">
        <f>_xlfn.XLOOKUP(sales_Data[[#This Row],[product_id]],sales_Data[product_id],sales_Data[unit_price])</f>
        <v>12.5</v>
      </c>
    </row>
    <row r="389" spans="1:10" x14ac:dyDescent="0.3">
      <c r="A389" t="s">
        <v>405</v>
      </c>
      <c r="B389" s="1">
        <v>45735</v>
      </c>
      <c r="C389" t="s">
        <v>15</v>
      </c>
      <c r="D389" t="s">
        <v>16</v>
      </c>
      <c r="E389">
        <v>35</v>
      </c>
      <c r="F389">
        <v>29</v>
      </c>
      <c r="G389">
        <v>0</v>
      </c>
      <c r="H389">
        <v>1015</v>
      </c>
      <c r="I389">
        <f>AVERAGEIFS(sales_Data[units_sold], sales_Data[product_id],sales_Data[[#This Row],[product_id]])</f>
        <v>30.438356164383563</v>
      </c>
      <c r="J389">
        <f>_xlfn.XLOOKUP(sales_Data[[#This Row],[product_id]],sales_Data[product_id],sales_Data[unit_price])</f>
        <v>35</v>
      </c>
    </row>
    <row r="390" spans="1:10" x14ac:dyDescent="0.3">
      <c r="A390" t="s">
        <v>406</v>
      </c>
      <c r="B390" s="1">
        <v>45735</v>
      </c>
      <c r="C390" t="s">
        <v>18</v>
      </c>
      <c r="D390" t="s">
        <v>19</v>
      </c>
      <c r="E390">
        <v>120</v>
      </c>
      <c r="F390">
        <v>7</v>
      </c>
      <c r="G390">
        <v>0.2</v>
      </c>
      <c r="H390">
        <v>672</v>
      </c>
      <c r="I390">
        <f>AVERAGEIFS(sales_Data[units_sold], sales_Data[product_id],sales_Data[[#This Row],[product_id]])</f>
        <v>30.473972602739725</v>
      </c>
      <c r="J390">
        <f>_xlfn.XLOOKUP(sales_Data[[#This Row],[product_id]],sales_Data[product_id],sales_Data[unit_price])</f>
        <v>120</v>
      </c>
    </row>
    <row r="391" spans="1:10" x14ac:dyDescent="0.3">
      <c r="A391" t="s">
        <v>407</v>
      </c>
      <c r="B391" s="1">
        <v>45735</v>
      </c>
      <c r="C391" t="s">
        <v>21</v>
      </c>
      <c r="D391" t="s">
        <v>22</v>
      </c>
      <c r="E391">
        <v>25</v>
      </c>
      <c r="F391">
        <v>32</v>
      </c>
      <c r="G391">
        <v>0</v>
      </c>
      <c r="H391">
        <v>800</v>
      </c>
      <c r="I391">
        <f>AVERAGEIFS(sales_Data[units_sold], sales_Data[product_id],sales_Data[[#This Row],[product_id]])</f>
        <v>29.463013698630139</v>
      </c>
      <c r="J391">
        <f>_xlfn.XLOOKUP(sales_Data[[#This Row],[product_id]],sales_Data[product_id],sales_Data[unit_price])</f>
        <v>25</v>
      </c>
    </row>
    <row r="392" spans="1:10" x14ac:dyDescent="0.3">
      <c r="A392" t="s">
        <v>408</v>
      </c>
      <c r="B392" s="1">
        <v>45736</v>
      </c>
      <c r="C392" t="s">
        <v>9</v>
      </c>
      <c r="D392" t="s">
        <v>10</v>
      </c>
      <c r="E392">
        <v>45</v>
      </c>
      <c r="F392">
        <v>45</v>
      </c>
      <c r="G392">
        <v>0</v>
      </c>
      <c r="H392">
        <v>2025</v>
      </c>
      <c r="I392">
        <f>AVERAGEIFS(sales_Data[units_sold], sales_Data[product_id],sales_Data[[#This Row],[product_id]])</f>
        <v>31.479452054794521</v>
      </c>
      <c r="J392">
        <f>_xlfn.XLOOKUP(sales_Data[[#This Row],[product_id]],sales_Data[product_id],sales_Data[unit_price])</f>
        <v>45</v>
      </c>
    </row>
    <row r="393" spans="1:10" x14ac:dyDescent="0.3">
      <c r="A393" t="s">
        <v>409</v>
      </c>
      <c r="B393" s="1">
        <v>45736</v>
      </c>
      <c r="C393" t="s">
        <v>12</v>
      </c>
      <c r="D393" t="s">
        <v>13</v>
      </c>
      <c r="E393">
        <v>12.5</v>
      </c>
      <c r="F393">
        <v>14</v>
      </c>
      <c r="G393">
        <v>0</v>
      </c>
      <c r="H393">
        <v>175</v>
      </c>
      <c r="I393">
        <f>AVERAGEIFS(sales_Data[units_sold], sales_Data[product_id],sales_Data[[#This Row],[product_id]])</f>
        <v>31.794520547945204</v>
      </c>
      <c r="J393">
        <f>_xlfn.XLOOKUP(sales_Data[[#This Row],[product_id]],sales_Data[product_id],sales_Data[unit_price])</f>
        <v>12.5</v>
      </c>
    </row>
    <row r="394" spans="1:10" x14ac:dyDescent="0.3">
      <c r="A394" t="s">
        <v>410</v>
      </c>
      <c r="B394" s="1">
        <v>45736</v>
      </c>
      <c r="C394" t="s">
        <v>15</v>
      </c>
      <c r="D394" t="s">
        <v>16</v>
      </c>
      <c r="E394">
        <v>35</v>
      </c>
      <c r="F394">
        <v>14</v>
      </c>
      <c r="G394">
        <v>0</v>
      </c>
      <c r="H394">
        <v>490</v>
      </c>
      <c r="I394">
        <f>AVERAGEIFS(sales_Data[units_sold], sales_Data[product_id],sales_Data[[#This Row],[product_id]])</f>
        <v>30.438356164383563</v>
      </c>
      <c r="J394">
        <f>_xlfn.XLOOKUP(sales_Data[[#This Row],[product_id]],sales_Data[product_id],sales_Data[unit_price])</f>
        <v>35</v>
      </c>
    </row>
    <row r="395" spans="1:10" x14ac:dyDescent="0.3">
      <c r="A395" t="s">
        <v>411</v>
      </c>
      <c r="B395" s="1">
        <v>45736</v>
      </c>
      <c r="C395" t="s">
        <v>18</v>
      </c>
      <c r="D395" t="s">
        <v>19</v>
      </c>
      <c r="E395">
        <v>120</v>
      </c>
      <c r="F395">
        <v>10</v>
      </c>
      <c r="G395">
        <v>0</v>
      </c>
      <c r="H395">
        <v>1200</v>
      </c>
      <c r="I395">
        <f>AVERAGEIFS(sales_Data[units_sold], sales_Data[product_id],sales_Data[[#This Row],[product_id]])</f>
        <v>30.473972602739725</v>
      </c>
      <c r="J395">
        <f>_xlfn.XLOOKUP(sales_Data[[#This Row],[product_id]],sales_Data[product_id],sales_Data[unit_price])</f>
        <v>120</v>
      </c>
    </row>
    <row r="396" spans="1:10" x14ac:dyDescent="0.3">
      <c r="A396" t="s">
        <v>412</v>
      </c>
      <c r="B396" s="1">
        <v>45736</v>
      </c>
      <c r="C396" t="s">
        <v>21</v>
      </c>
      <c r="D396" t="s">
        <v>22</v>
      </c>
      <c r="E396">
        <v>25</v>
      </c>
      <c r="F396">
        <v>48</v>
      </c>
      <c r="G396">
        <v>0</v>
      </c>
      <c r="H396">
        <v>1200</v>
      </c>
      <c r="I396">
        <f>AVERAGEIFS(sales_Data[units_sold], sales_Data[product_id],sales_Data[[#This Row],[product_id]])</f>
        <v>29.463013698630139</v>
      </c>
      <c r="J396">
        <f>_xlfn.XLOOKUP(sales_Data[[#This Row],[product_id]],sales_Data[product_id],sales_Data[unit_price])</f>
        <v>25</v>
      </c>
    </row>
    <row r="397" spans="1:10" x14ac:dyDescent="0.3">
      <c r="A397" t="s">
        <v>413</v>
      </c>
      <c r="B397" s="1">
        <v>45737</v>
      </c>
      <c r="C397" t="s">
        <v>9</v>
      </c>
      <c r="D397" t="s">
        <v>10</v>
      </c>
      <c r="E397">
        <v>45</v>
      </c>
      <c r="F397">
        <v>14</v>
      </c>
      <c r="G397">
        <v>0</v>
      </c>
      <c r="H397">
        <v>630</v>
      </c>
      <c r="I397">
        <f>AVERAGEIFS(sales_Data[units_sold], sales_Data[product_id],sales_Data[[#This Row],[product_id]])</f>
        <v>31.479452054794521</v>
      </c>
      <c r="J397">
        <f>_xlfn.XLOOKUP(sales_Data[[#This Row],[product_id]],sales_Data[product_id],sales_Data[unit_price])</f>
        <v>45</v>
      </c>
    </row>
    <row r="398" spans="1:10" x14ac:dyDescent="0.3">
      <c r="A398" t="s">
        <v>414</v>
      </c>
      <c r="B398" s="1">
        <v>45737</v>
      </c>
      <c r="C398" t="s">
        <v>12</v>
      </c>
      <c r="D398" t="s">
        <v>13</v>
      </c>
      <c r="E398">
        <v>12.5</v>
      </c>
      <c r="F398">
        <v>46</v>
      </c>
      <c r="G398">
        <v>0</v>
      </c>
      <c r="H398">
        <v>575</v>
      </c>
      <c r="I398">
        <f>AVERAGEIFS(sales_Data[units_sold], sales_Data[product_id],sales_Data[[#This Row],[product_id]])</f>
        <v>31.794520547945204</v>
      </c>
      <c r="J398">
        <f>_xlfn.XLOOKUP(sales_Data[[#This Row],[product_id]],sales_Data[product_id],sales_Data[unit_price])</f>
        <v>12.5</v>
      </c>
    </row>
    <row r="399" spans="1:10" x14ac:dyDescent="0.3">
      <c r="A399" t="s">
        <v>415</v>
      </c>
      <c r="B399" s="1">
        <v>45737</v>
      </c>
      <c r="C399" t="s">
        <v>15</v>
      </c>
      <c r="D399" t="s">
        <v>16</v>
      </c>
      <c r="E399">
        <v>35</v>
      </c>
      <c r="F399">
        <v>29</v>
      </c>
      <c r="G399">
        <v>0.1</v>
      </c>
      <c r="H399">
        <v>913.5</v>
      </c>
      <c r="I399">
        <f>AVERAGEIFS(sales_Data[units_sold], sales_Data[product_id],sales_Data[[#This Row],[product_id]])</f>
        <v>30.438356164383563</v>
      </c>
      <c r="J399">
        <f>_xlfn.XLOOKUP(sales_Data[[#This Row],[product_id]],sales_Data[product_id],sales_Data[unit_price])</f>
        <v>35</v>
      </c>
    </row>
    <row r="400" spans="1:10" x14ac:dyDescent="0.3">
      <c r="A400" t="s">
        <v>416</v>
      </c>
      <c r="B400" s="1">
        <v>45737</v>
      </c>
      <c r="C400" t="s">
        <v>18</v>
      </c>
      <c r="D400" t="s">
        <v>19</v>
      </c>
      <c r="E400">
        <v>120</v>
      </c>
      <c r="F400">
        <v>32</v>
      </c>
      <c r="G400">
        <v>0</v>
      </c>
      <c r="H400">
        <v>3840</v>
      </c>
      <c r="I400">
        <f>AVERAGEIFS(sales_Data[units_sold], sales_Data[product_id],sales_Data[[#This Row],[product_id]])</f>
        <v>30.473972602739725</v>
      </c>
      <c r="J400">
        <f>_xlfn.XLOOKUP(sales_Data[[#This Row],[product_id]],sales_Data[product_id],sales_Data[unit_price])</f>
        <v>120</v>
      </c>
    </row>
    <row r="401" spans="1:10" x14ac:dyDescent="0.3">
      <c r="A401" t="s">
        <v>417</v>
      </c>
      <c r="B401" s="1">
        <v>45737</v>
      </c>
      <c r="C401" t="s">
        <v>21</v>
      </c>
      <c r="D401" t="s">
        <v>22</v>
      </c>
      <c r="E401">
        <v>25</v>
      </c>
      <c r="F401">
        <v>16</v>
      </c>
      <c r="G401">
        <v>0</v>
      </c>
      <c r="H401">
        <v>400</v>
      </c>
      <c r="I401">
        <f>AVERAGEIFS(sales_Data[units_sold], sales_Data[product_id],sales_Data[[#This Row],[product_id]])</f>
        <v>29.463013698630139</v>
      </c>
      <c r="J401">
        <f>_xlfn.XLOOKUP(sales_Data[[#This Row],[product_id]],sales_Data[product_id],sales_Data[unit_price])</f>
        <v>25</v>
      </c>
    </row>
    <row r="402" spans="1:10" x14ac:dyDescent="0.3">
      <c r="A402" t="s">
        <v>418</v>
      </c>
      <c r="B402" s="1">
        <v>45738</v>
      </c>
      <c r="C402" t="s">
        <v>9</v>
      </c>
      <c r="D402" t="s">
        <v>10</v>
      </c>
      <c r="E402">
        <v>45</v>
      </c>
      <c r="F402">
        <v>9</v>
      </c>
      <c r="G402">
        <v>0.1</v>
      </c>
      <c r="H402">
        <v>364.5</v>
      </c>
      <c r="I402">
        <f>AVERAGEIFS(sales_Data[units_sold], sales_Data[product_id],sales_Data[[#This Row],[product_id]])</f>
        <v>31.479452054794521</v>
      </c>
      <c r="J402">
        <f>_xlfn.XLOOKUP(sales_Data[[#This Row],[product_id]],sales_Data[product_id],sales_Data[unit_price])</f>
        <v>45</v>
      </c>
    </row>
    <row r="403" spans="1:10" x14ac:dyDescent="0.3">
      <c r="A403" t="s">
        <v>419</v>
      </c>
      <c r="B403" s="1">
        <v>45738</v>
      </c>
      <c r="C403" t="s">
        <v>12</v>
      </c>
      <c r="D403" t="s">
        <v>13</v>
      </c>
      <c r="E403">
        <v>12.5</v>
      </c>
      <c r="F403">
        <v>64</v>
      </c>
      <c r="G403">
        <v>0</v>
      </c>
      <c r="H403">
        <v>800</v>
      </c>
      <c r="I403">
        <f>AVERAGEIFS(sales_Data[units_sold], sales_Data[product_id],sales_Data[[#This Row],[product_id]])</f>
        <v>31.794520547945204</v>
      </c>
      <c r="J403">
        <f>_xlfn.XLOOKUP(sales_Data[[#This Row],[product_id]],sales_Data[product_id],sales_Data[unit_price])</f>
        <v>12.5</v>
      </c>
    </row>
    <row r="404" spans="1:10" x14ac:dyDescent="0.3">
      <c r="A404" t="s">
        <v>420</v>
      </c>
      <c r="B404" s="1">
        <v>45738</v>
      </c>
      <c r="C404" t="s">
        <v>15</v>
      </c>
      <c r="D404" t="s">
        <v>16</v>
      </c>
      <c r="E404">
        <v>35</v>
      </c>
      <c r="F404">
        <v>31</v>
      </c>
      <c r="G404">
        <v>0</v>
      </c>
      <c r="H404">
        <v>1085</v>
      </c>
      <c r="I404">
        <f>AVERAGEIFS(sales_Data[units_sold], sales_Data[product_id],sales_Data[[#This Row],[product_id]])</f>
        <v>30.438356164383563</v>
      </c>
      <c r="J404">
        <f>_xlfn.XLOOKUP(sales_Data[[#This Row],[product_id]],sales_Data[product_id],sales_Data[unit_price])</f>
        <v>35</v>
      </c>
    </row>
    <row r="405" spans="1:10" x14ac:dyDescent="0.3">
      <c r="A405" t="s">
        <v>421</v>
      </c>
      <c r="B405" s="1">
        <v>45738</v>
      </c>
      <c r="C405" t="s">
        <v>18</v>
      </c>
      <c r="D405" t="s">
        <v>19</v>
      </c>
      <c r="E405">
        <v>120</v>
      </c>
      <c r="F405">
        <v>24</v>
      </c>
      <c r="G405">
        <v>0</v>
      </c>
      <c r="H405">
        <v>2880</v>
      </c>
      <c r="I405">
        <f>AVERAGEIFS(sales_Data[units_sold], sales_Data[product_id],sales_Data[[#This Row],[product_id]])</f>
        <v>30.473972602739725</v>
      </c>
      <c r="J405">
        <f>_xlfn.XLOOKUP(sales_Data[[#This Row],[product_id]],sales_Data[product_id],sales_Data[unit_price])</f>
        <v>120</v>
      </c>
    </row>
    <row r="406" spans="1:10" x14ac:dyDescent="0.3">
      <c r="A406" t="s">
        <v>422</v>
      </c>
      <c r="B406" s="1">
        <v>45738</v>
      </c>
      <c r="C406" t="s">
        <v>21</v>
      </c>
      <c r="D406" t="s">
        <v>22</v>
      </c>
      <c r="E406">
        <v>25</v>
      </c>
      <c r="F406">
        <v>39</v>
      </c>
      <c r="G406">
        <v>0</v>
      </c>
      <c r="H406">
        <v>975</v>
      </c>
      <c r="I406">
        <f>AVERAGEIFS(sales_Data[units_sold], sales_Data[product_id],sales_Data[[#This Row],[product_id]])</f>
        <v>29.463013698630139</v>
      </c>
      <c r="J406">
        <f>_xlfn.XLOOKUP(sales_Data[[#This Row],[product_id]],sales_Data[product_id],sales_Data[unit_price])</f>
        <v>25</v>
      </c>
    </row>
    <row r="407" spans="1:10" x14ac:dyDescent="0.3">
      <c r="A407" t="s">
        <v>423</v>
      </c>
      <c r="B407" s="1">
        <v>45739</v>
      </c>
      <c r="C407" t="s">
        <v>9</v>
      </c>
      <c r="D407" t="s">
        <v>10</v>
      </c>
      <c r="E407">
        <v>45</v>
      </c>
      <c r="F407">
        <v>48</v>
      </c>
      <c r="G407">
        <v>0</v>
      </c>
      <c r="H407">
        <v>2160</v>
      </c>
      <c r="I407">
        <f>AVERAGEIFS(sales_Data[units_sold], sales_Data[product_id],sales_Data[[#This Row],[product_id]])</f>
        <v>31.479452054794521</v>
      </c>
      <c r="J407">
        <f>_xlfn.XLOOKUP(sales_Data[[#This Row],[product_id]],sales_Data[product_id],sales_Data[unit_price])</f>
        <v>45</v>
      </c>
    </row>
    <row r="408" spans="1:10" x14ac:dyDescent="0.3">
      <c r="A408" t="s">
        <v>424</v>
      </c>
      <c r="B408" s="1">
        <v>45739</v>
      </c>
      <c r="C408" t="s">
        <v>12</v>
      </c>
      <c r="D408" t="s">
        <v>13</v>
      </c>
      <c r="E408">
        <v>12.5</v>
      </c>
      <c r="F408">
        <v>66</v>
      </c>
      <c r="G408">
        <v>0</v>
      </c>
      <c r="H408">
        <v>825</v>
      </c>
      <c r="I408">
        <f>AVERAGEIFS(sales_Data[units_sold], sales_Data[product_id],sales_Data[[#This Row],[product_id]])</f>
        <v>31.794520547945204</v>
      </c>
      <c r="J408">
        <f>_xlfn.XLOOKUP(sales_Data[[#This Row],[product_id]],sales_Data[product_id],sales_Data[unit_price])</f>
        <v>12.5</v>
      </c>
    </row>
    <row r="409" spans="1:10" x14ac:dyDescent="0.3">
      <c r="A409" t="s">
        <v>425</v>
      </c>
      <c r="B409" s="1">
        <v>45739</v>
      </c>
      <c r="C409" t="s">
        <v>15</v>
      </c>
      <c r="D409" t="s">
        <v>16</v>
      </c>
      <c r="E409">
        <v>35</v>
      </c>
      <c r="F409">
        <v>58</v>
      </c>
      <c r="G409">
        <v>0.2</v>
      </c>
      <c r="H409">
        <v>1624</v>
      </c>
      <c r="I409">
        <f>AVERAGEIFS(sales_Data[units_sold], sales_Data[product_id],sales_Data[[#This Row],[product_id]])</f>
        <v>30.438356164383563</v>
      </c>
      <c r="J409">
        <f>_xlfn.XLOOKUP(sales_Data[[#This Row],[product_id]],sales_Data[product_id],sales_Data[unit_price])</f>
        <v>35</v>
      </c>
    </row>
    <row r="410" spans="1:10" x14ac:dyDescent="0.3">
      <c r="A410" t="s">
        <v>426</v>
      </c>
      <c r="B410" s="1">
        <v>45739</v>
      </c>
      <c r="C410" t="s">
        <v>18</v>
      </c>
      <c r="D410" t="s">
        <v>19</v>
      </c>
      <c r="E410">
        <v>120</v>
      </c>
      <c r="F410">
        <v>27</v>
      </c>
      <c r="G410">
        <v>0</v>
      </c>
      <c r="H410">
        <v>3240</v>
      </c>
      <c r="I410">
        <f>AVERAGEIFS(sales_Data[units_sold], sales_Data[product_id],sales_Data[[#This Row],[product_id]])</f>
        <v>30.473972602739725</v>
      </c>
      <c r="J410">
        <f>_xlfn.XLOOKUP(sales_Data[[#This Row],[product_id]],sales_Data[product_id],sales_Data[unit_price])</f>
        <v>120</v>
      </c>
    </row>
    <row r="411" spans="1:10" x14ac:dyDescent="0.3">
      <c r="A411" t="s">
        <v>427</v>
      </c>
      <c r="B411" s="1">
        <v>45739</v>
      </c>
      <c r="C411" t="s">
        <v>21</v>
      </c>
      <c r="D411" t="s">
        <v>22</v>
      </c>
      <c r="E411">
        <v>25</v>
      </c>
      <c r="F411">
        <v>55</v>
      </c>
      <c r="G411">
        <v>0.2</v>
      </c>
      <c r="H411">
        <v>1100</v>
      </c>
      <c r="I411">
        <f>AVERAGEIFS(sales_Data[units_sold], sales_Data[product_id],sales_Data[[#This Row],[product_id]])</f>
        <v>29.463013698630139</v>
      </c>
      <c r="J411">
        <f>_xlfn.XLOOKUP(sales_Data[[#This Row],[product_id]],sales_Data[product_id],sales_Data[unit_price])</f>
        <v>25</v>
      </c>
    </row>
    <row r="412" spans="1:10" x14ac:dyDescent="0.3">
      <c r="A412" t="s">
        <v>428</v>
      </c>
      <c r="B412" s="1">
        <v>45740</v>
      </c>
      <c r="C412" t="s">
        <v>9</v>
      </c>
      <c r="D412" t="s">
        <v>10</v>
      </c>
      <c r="E412">
        <v>45</v>
      </c>
      <c r="F412">
        <v>41</v>
      </c>
      <c r="G412">
        <v>0</v>
      </c>
      <c r="H412">
        <v>1845</v>
      </c>
      <c r="I412">
        <f>AVERAGEIFS(sales_Data[units_sold], sales_Data[product_id],sales_Data[[#This Row],[product_id]])</f>
        <v>31.479452054794521</v>
      </c>
      <c r="J412">
        <f>_xlfn.XLOOKUP(sales_Data[[#This Row],[product_id]],sales_Data[product_id],sales_Data[unit_price])</f>
        <v>45</v>
      </c>
    </row>
    <row r="413" spans="1:10" x14ac:dyDescent="0.3">
      <c r="A413" t="s">
        <v>429</v>
      </c>
      <c r="B413" s="1">
        <v>45740</v>
      </c>
      <c r="C413" t="s">
        <v>12</v>
      </c>
      <c r="D413" t="s">
        <v>13</v>
      </c>
      <c r="E413">
        <v>12.5</v>
      </c>
      <c r="F413">
        <v>20</v>
      </c>
      <c r="G413">
        <v>0</v>
      </c>
      <c r="H413">
        <v>250</v>
      </c>
      <c r="I413">
        <f>AVERAGEIFS(sales_Data[units_sold], sales_Data[product_id],sales_Data[[#This Row],[product_id]])</f>
        <v>31.794520547945204</v>
      </c>
      <c r="J413">
        <f>_xlfn.XLOOKUP(sales_Data[[#This Row],[product_id]],sales_Data[product_id],sales_Data[unit_price])</f>
        <v>12.5</v>
      </c>
    </row>
    <row r="414" spans="1:10" x14ac:dyDescent="0.3">
      <c r="A414" t="s">
        <v>430</v>
      </c>
      <c r="B414" s="1">
        <v>45740</v>
      </c>
      <c r="C414" t="s">
        <v>15</v>
      </c>
      <c r="D414" t="s">
        <v>16</v>
      </c>
      <c r="E414">
        <v>35</v>
      </c>
      <c r="F414">
        <v>7</v>
      </c>
      <c r="G414">
        <v>0.2</v>
      </c>
      <c r="H414">
        <v>196</v>
      </c>
      <c r="I414">
        <f>AVERAGEIFS(sales_Data[units_sold], sales_Data[product_id],sales_Data[[#This Row],[product_id]])</f>
        <v>30.438356164383563</v>
      </c>
      <c r="J414">
        <f>_xlfn.XLOOKUP(sales_Data[[#This Row],[product_id]],sales_Data[product_id],sales_Data[unit_price])</f>
        <v>35</v>
      </c>
    </row>
    <row r="415" spans="1:10" x14ac:dyDescent="0.3">
      <c r="A415" t="s">
        <v>431</v>
      </c>
      <c r="B415" s="1">
        <v>45740</v>
      </c>
      <c r="C415" t="s">
        <v>18</v>
      </c>
      <c r="D415" t="s">
        <v>19</v>
      </c>
      <c r="E415">
        <v>120</v>
      </c>
      <c r="F415">
        <v>17</v>
      </c>
      <c r="G415">
        <v>0</v>
      </c>
      <c r="H415">
        <v>2040</v>
      </c>
      <c r="I415">
        <f>AVERAGEIFS(sales_Data[units_sold], sales_Data[product_id],sales_Data[[#This Row],[product_id]])</f>
        <v>30.473972602739725</v>
      </c>
      <c r="J415">
        <f>_xlfn.XLOOKUP(sales_Data[[#This Row],[product_id]],sales_Data[product_id],sales_Data[unit_price])</f>
        <v>120</v>
      </c>
    </row>
    <row r="416" spans="1:10" x14ac:dyDescent="0.3">
      <c r="A416" t="s">
        <v>432</v>
      </c>
      <c r="B416" s="1">
        <v>45740</v>
      </c>
      <c r="C416" t="s">
        <v>21</v>
      </c>
      <c r="D416" t="s">
        <v>22</v>
      </c>
      <c r="E416">
        <v>25</v>
      </c>
      <c r="F416">
        <v>48</v>
      </c>
      <c r="G416">
        <v>0.2</v>
      </c>
      <c r="H416">
        <v>960</v>
      </c>
      <c r="I416">
        <f>AVERAGEIFS(sales_Data[units_sold], sales_Data[product_id],sales_Data[[#This Row],[product_id]])</f>
        <v>29.463013698630139</v>
      </c>
      <c r="J416">
        <f>_xlfn.XLOOKUP(sales_Data[[#This Row],[product_id]],sales_Data[product_id],sales_Data[unit_price])</f>
        <v>25</v>
      </c>
    </row>
    <row r="417" spans="1:10" x14ac:dyDescent="0.3">
      <c r="A417" t="s">
        <v>433</v>
      </c>
      <c r="B417" s="1">
        <v>45741</v>
      </c>
      <c r="C417" t="s">
        <v>9</v>
      </c>
      <c r="D417" t="s">
        <v>10</v>
      </c>
      <c r="E417">
        <v>45</v>
      </c>
      <c r="F417">
        <v>16</v>
      </c>
      <c r="G417">
        <v>0</v>
      </c>
      <c r="H417">
        <v>720</v>
      </c>
      <c r="I417">
        <f>AVERAGEIFS(sales_Data[units_sold], sales_Data[product_id],sales_Data[[#This Row],[product_id]])</f>
        <v>31.479452054794521</v>
      </c>
      <c r="J417">
        <f>_xlfn.XLOOKUP(sales_Data[[#This Row],[product_id]],sales_Data[product_id],sales_Data[unit_price])</f>
        <v>45</v>
      </c>
    </row>
    <row r="418" spans="1:10" x14ac:dyDescent="0.3">
      <c r="A418" t="s">
        <v>434</v>
      </c>
      <c r="B418" s="1">
        <v>45741</v>
      </c>
      <c r="C418" t="s">
        <v>12</v>
      </c>
      <c r="D418" t="s">
        <v>13</v>
      </c>
      <c r="E418">
        <v>12.5</v>
      </c>
      <c r="F418">
        <v>39</v>
      </c>
      <c r="G418">
        <v>0</v>
      </c>
      <c r="H418">
        <v>487.5</v>
      </c>
      <c r="I418">
        <f>AVERAGEIFS(sales_Data[units_sold], sales_Data[product_id],sales_Data[[#This Row],[product_id]])</f>
        <v>31.794520547945204</v>
      </c>
      <c r="J418">
        <f>_xlfn.XLOOKUP(sales_Data[[#This Row],[product_id]],sales_Data[product_id],sales_Data[unit_price])</f>
        <v>12.5</v>
      </c>
    </row>
    <row r="419" spans="1:10" x14ac:dyDescent="0.3">
      <c r="A419" t="s">
        <v>435</v>
      </c>
      <c r="B419" s="1">
        <v>45741</v>
      </c>
      <c r="C419" t="s">
        <v>15</v>
      </c>
      <c r="D419" t="s">
        <v>16</v>
      </c>
      <c r="E419">
        <v>35</v>
      </c>
      <c r="F419">
        <v>29</v>
      </c>
      <c r="G419">
        <v>0</v>
      </c>
      <c r="H419">
        <v>1015</v>
      </c>
      <c r="I419">
        <f>AVERAGEIFS(sales_Data[units_sold], sales_Data[product_id],sales_Data[[#This Row],[product_id]])</f>
        <v>30.438356164383563</v>
      </c>
      <c r="J419">
        <f>_xlfn.XLOOKUP(sales_Data[[#This Row],[product_id]],sales_Data[product_id],sales_Data[unit_price])</f>
        <v>35</v>
      </c>
    </row>
    <row r="420" spans="1:10" x14ac:dyDescent="0.3">
      <c r="A420" t="s">
        <v>436</v>
      </c>
      <c r="B420" s="1">
        <v>45741</v>
      </c>
      <c r="C420" t="s">
        <v>18</v>
      </c>
      <c r="D420" t="s">
        <v>19</v>
      </c>
      <c r="E420">
        <v>120</v>
      </c>
      <c r="F420">
        <v>35</v>
      </c>
      <c r="G420">
        <v>0</v>
      </c>
      <c r="H420">
        <v>4200</v>
      </c>
      <c r="I420">
        <f>AVERAGEIFS(sales_Data[units_sold], sales_Data[product_id],sales_Data[[#This Row],[product_id]])</f>
        <v>30.473972602739725</v>
      </c>
      <c r="J420">
        <f>_xlfn.XLOOKUP(sales_Data[[#This Row],[product_id]],sales_Data[product_id],sales_Data[unit_price])</f>
        <v>120</v>
      </c>
    </row>
    <row r="421" spans="1:10" x14ac:dyDescent="0.3">
      <c r="A421" t="s">
        <v>437</v>
      </c>
      <c r="B421" s="1">
        <v>45741</v>
      </c>
      <c r="C421" t="s">
        <v>21</v>
      </c>
      <c r="D421" t="s">
        <v>22</v>
      </c>
      <c r="E421">
        <v>25</v>
      </c>
      <c r="F421">
        <v>46</v>
      </c>
      <c r="G421">
        <v>0.1</v>
      </c>
      <c r="H421">
        <v>1035</v>
      </c>
      <c r="I421">
        <f>AVERAGEIFS(sales_Data[units_sold], sales_Data[product_id],sales_Data[[#This Row],[product_id]])</f>
        <v>29.463013698630139</v>
      </c>
      <c r="J421">
        <f>_xlfn.XLOOKUP(sales_Data[[#This Row],[product_id]],sales_Data[product_id],sales_Data[unit_price])</f>
        <v>25</v>
      </c>
    </row>
    <row r="422" spans="1:10" x14ac:dyDescent="0.3">
      <c r="A422" t="s">
        <v>438</v>
      </c>
      <c r="B422" s="1">
        <v>45742</v>
      </c>
      <c r="C422" t="s">
        <v>9</v>
      </c>
      <c r="D422" t="s">
        <v>10</v>
      </c>
      <c r="E422">
        <v>45</v>
      </c>
      <c r="F422">
        <v>33</v>
      </c>
      <c r="G422">
        <v>0.1</v>
      </c>
      <c r="H422">
        <v>1336.5</v>
      </c>
      <c r="I422">
        <f>AVERAGEIFS(sales_Data[units_sold], sales_Data[product_id],sales_Data[[#This Row],[product_id]])</f>
        <v>31.479452054794521</v>
      </c>
      <c r="J422">
        <f>_xlfn.XLOOKUP(sales_Data[[#This Row],[product_id]],sales_Data[product_id],sales_Data[unit_price])</f>
        <v>45</v>
      </c>
    </row>
    <row r="423" spans="1:10" x14ac:dyDescent="0.3">
      <c r="A423" t="s">
        <v>439</v>
      </c>
      <c r="B423" s="1">
        <v>45742</v>
      </c>
      <c r="C423" t="s">
        <v>12</v>
      </c>
      <c r="D423" t="s">
        <v>13</v>
      </c>
      <c r="E423">
        <v>12.5</v>
      </c>
      <c r="F423">
        <v>18</v>
      </c>
      <c r="G423">
        <v>0.1</v>
      </c>
      <c r="H423">
        <v>202.5</v>
      </c>
      <c r="I423">
        <f>AVERAGEIFS(sales_Data[units_sold], sales_Data[product_id],sales_Data[[#This Row],[product_id]])</f>
        <v>31.794520547945204</v>
      </c>
      <c r="J423">
        <f>_xlfn.XLOOKUP(sales_Data[[#This Row],[product_id]],sales_Data[product_id],sales_Data[unit_price])</f>
        <v>12.5</v>
      </c>
    </row>
    <row r="424" spans="1:10" x14ac:dyDescent="0.3">
      <c r="A424" t="s">
        <v>440</v>
      </c>
      <c r="B424" s="1">
        <v>45742</v>
      </c>
      <c r="C424" t="s">
        <v>15</v>
      </c>
      <c r="D424" t="s">
        <v>16</v>
      </c>
      <c r="E424">
        <v>35</v>
      </c>
      <c r="F424">
        <v>13</v>
      </c>
      <c r="G424">
        <v>0</v>
      </c>
      <c r="H424">
        <v>455</v>
      </c>
      <c r="I424">
        <f>AVERAGEIFS(sales_Data[units_sold], sales_Data[product_id],sales_Data[[#This Row],[product_id]])</f>
        <v>30.438356164383563</v>
      </c>
      <c r="J424">
        <f>_xlfn.XLOOKUP(sales_Data[[#This Row],[product_id]],sales_Data[product_id],sales_Data[unit_price])</f>
        <v>35</v>
      </c>
    </row>
    <row r="425" spans="1:10" x14ac:dyDescent="0.3">
      <c r="A425" t="s">
        <v>441</v>
      </c>
      <c r="B425" s="1">
        <v>45742</v>
      </c>
      <c r="C425" t="s">
        <v>18</v>
      </c>
      <c r="D425" t="s">
        <v>19</v>
      </c>
      <c r="E425">
        <v>120</v>
      </c>
      <c r="F425">
        <v>48</v>
      </c>
      <c r="G425">
        <v>0</v>
      </c>
      <c r="H425">
        <v>5760</v>
      </c>
      <c r="I425">
        <f>AVERAGEIFS(sales_Data[units_sold], sales_Data[product_id],sales_Data[[#This Row],[product_id]])</f>
        <v>30.473972602739725</v>
      </c>
      <c r="J425">
        <f>_xlfn.XLOOKUP(sales_Data[[#This Row],[product_id]],sales_Data[product_id],sales_Data[unit_price])</f>
        <v>120</v>
      </c>
    </row>
    <row r="426" spans="1:10" x14ac:dyDescent="0.3">
      <c r="A426" t="s">
        <v>442</v>
      </c>
      <c r="B426" s="1">
        <v>45742</v>
      </c>
      <c r="C426" t="s">
        <v>21</v>
      </c>
      <c r="D426" t="s">
        <v>22</v>
      </c>
      <c r="E426">
        <v>25</v>
      </c>
      <c r="F426">
        <v>9</v>
      </c>
      <c r="G426">
        <v>0</v>
      </c>
      <c r="H426">
        <v>225</v>
      </c>
      <c r="I426">
        <f>AVERAGEIFS(sales_Data[units_sold], sales_Data[product_id],sales_Data[[#This Row],[product_id]])</f>
        <v>29.463013698630139</v>
      </c>
      <c r="J426">
        <f>_xlfn.XLOOKUP(sales_Data[[#This Row],[product_id]],sales_Data[product_id],sales_Data[unit_price])</f>
        <v>25</v>
      </c>
    </row>
    <row r="427" spans="1:10" x14ac:dyDescent="0.3">
      <c r="A427" t="s">
        <v>443</v>
      </c>
      <c r="B427" s="1">
        <v>45743</v>
      </c>
      <c r="C427" t="s">
        <v>9</v>
      </c>
      <c r="D427" t="s">
        <v>10</v>
      </c>
      <c r="E427">
        <v>45</v>
      </c>
      <c r="F427">
        <v>33</v>
      </c>
      <c r="G427">
        <v>0</v>
      </c>
      <c r="H427">
        <v>1485</v>
      </c>
      <c r="I427">
        <f>AVERAGEIFS(sales_Data[units_sold], sales_Data[product_id],sales_Data[[#This Row],[product_id]])</f>
        <v>31.479452054794521</v>
      </c>
      <c r="J427">
        <f>_xlfn.XLOOKUP(sales_Data[[#This Row],[product_id]],sales_Data[product_id],sales_Data[unit_price])</f>
        <v>45</v>
      </c>
    </row>
    <row r="428" spans="1:10" x14ac:dyDescent="0.3">
      <c r="A428" t="s">
        <v>444</v>
      </c>
      <c r="B428" s="1">
        <v>45743</v>
      </c>
      <c r="C428" t="s">
        <v>12</v>
      </c>
      <c r="D428" t="s">
        <v>13</v>
      </c>
      <c r="E428">
        <v>12.5</v>
      </c>
      <c r="F428">
        <v>27</v>
      </c>
      <c r="G428">
        <v>0.2</v>
      </c>
      <c r="H428">
        <v>270</v>
      </c>
      <c r="I428">
        <f>AVERAGEIFS(sales_Data[units_sold], sales_Data[product_id],sales_Data[[#This Row],[product_id]])</f>
        <v>31.794520547945204</v>
      </c>
      <c r="J428">
        <f>_xlfn.XLOOKUP(sales_Data[[#This Row],[product_id]],sales_Data[product_id],sales_Data[unit_price])</f>
        <v>12.5</v>
      </c>
    </row>
    <row r="429" spans="1:10" x14ac:dyDescent="0.3">
      <c r="A429" t="s">
        <v>445</v>
      </c>
      <c r="B429" s="1">
        <v>45743</v>
      </c>
      <c r="C429" t="s">
        <v>15</v>
      </c>
      <c r="D429" t="s">
        <v>16</v>
      </c>
      <c r="E429">
        <v>35</v>
      </c>
      <c r="F429">
        <v>27</v>
      </c>
      <c r="G429">
        <v>0</v>
      </c>
      <c r="H429">
        <v>945</v>
      </c>
      <c r="I429">
        <f>AVERAGEIFS(sales_Data[units_sold], sales_Data[product_id],sales_Data[[#This Row],[product_id]])</f>
        <v>30.438356164383563</v>
      </c>
      <c r="J429">
        <f>_xlfn.XLOOKUP(sales_Data[[#This Row],[product_id]],sales_Data[product_id],sales_Data[unit_price])</f>
        <v>35</v>
      </c>
    </row>
    <row r="430" spans="1:10" x14ac:dyDescent="0.3">
      <c r="A430" t="s">
        <v>446</v>
      </c>
      <c r="B430" s="1">
        <v>45743</v>
      </c>
      <c r="C430" t="s">
        <v>18</v>
      </c>
      <c r="D430" t="s">
        <v>19</v>
      </c>
      <c r="E430">
        <v>120</v>
      </c>
      <c r="F430">
        <v>24</v>
      </c>
      <c r="G430">
        <v>0</v>
      </c>
      <c r="H430">
        <v>2880</v>
      </c>
      <c r="I430">
        <f>AVERAGEIFS(sales_Data[units_sold], sales_Data[product_id],sales_Data[[#This Row],[product_id]])</f>
        <v>30.473972602739725</v>
      </c>
      <c r="J430">
        <f>_xlfn.XLOOKUP(sales_Data[[#This Row],[product_id]],sales_Data[product_id],sales_Data[unit_price])</f>
        <v>120</v>
      </c>
    </row>
    <row r="431" spans="1:10" x14ac:dyDescent="0.3">
      <c r="A431" t="s">
        <v>447</v>
      </c>
      <c r="B431" s="1">
        <v>45743</v>
      </c>
      <c r="C431" t="s">
        <v>21</v>
      </c>
      <c r="D431" t="s">
        <v>22</v>
      </c>
      <c r="E431">
        <v>25</v>
      </c>
      <c r="F431">
        <v>16</v>
      </c>
      <c r="G431">
        <v>0</v>
      </c>
      <c r="H431">
        <v>400</v>
      </c>
      <c r="I431">
        <f>AVERAGEIFS(sales_Data[units_sold], sales_Data[product_id],sales_Data[[#This Row],[product_id]])</f>
        <v>29.463013698630139</v>
      </c>
      <c r="J431">
        <f>_xlfn.XLOOKUP(sales_Data[[#This Row],[product_id]],sales_Data[product_id],sales_Data[unit_price])</f>
        <v>25</v>
      </c>
    </row>
    <row r="432" spans="1:10" x14ac:dyDescent="0.3">
      <c r="A432" t="s">
        <v>448</v>
      </c>
      <c r="B432" s="1">
        <v>45744</v>
      </c>
      <c r="C432" t="s">
        <v>9</v>
      </c>
      <c r="D432" t="s">
        <v>10</v>
      </c>
      <c r="E432">
        <v>45</v>
      </c>
      <c r="F432">
        <v>22</v>
      </c>
      <c r="G432">
        <v>0.1</v>
      </c>
      <c r="H432">
        <v>891</v>
      </c>
      <c r="I432">
        <f>AVERAGEIFS(sales_Data[units_sold], sales_Data[product_id],sales_Data[[#This Row],[product_id]])</f>
        <v>31.479452054794521</v>
      </c>
      <c r="J432">
        <f>_xlfn.XLOOKUP(sales_Data[[#This Row],[product_id]],sales_Data[product_id],sales_Data[unit_price])</f>
        <v>45</v>
      </c>
    </row>
    <row r="433" spans="1:10" x14ac:dyDescent="0.3">
      <c r="A433" t="s">
        <v>449</v>
      </c>
      <c r="B433" s="1">
        <v>45744</v>
      </c>
      <c r="C433" t="s">
        <v>12</v>
      </c>
      <c r="D433" t="s">
        <v>13</v>
      </c>
      <c r="E433">
        <v>12.5</v>
      </c>
      <c r="F433">
        <v>38</v>
      </c>
      <c r="G433">
        <v>0.1</v>
      </c>
      <c r="H433">
        <v>427.5</v>
      </c>
      <c r="I433">
        <f>AVERAGEIFS(sales_Data[units_sold], sales_Data[product_id],sales_Data[[#This Row],[product_id]])</f>
        <v>31.794520547945204</v>
      </c>
      <c r="J433">
        <f>_xlfn.XLOOKUP(sales_Data[[#This Row],[product_id]],sales_Data[product_id],sales_Data[unit_price])</f>
        <v>12.5</v>
      </c>
    </row>
    <row r="434" spans="1:10" x14ac:dyDescent="0.3">
      <c r="A434" t="s">
        <v>450</v>
      </c>
      <c r="B434" s="1">
        <v>45744</v>
      </c>
      <c r="C434" t="s">
        <v>15</v>
      </c>
      <c r="D434" t="s">
        <v>16</v>
      </c>
      <c r="E434">
        <v>35</v>
      </c>
      <c r="F434">
        <v>10</v>
      </c>
      <c r="G434">
        <v>0.2</v>
      </c>
      <c r="H434">
        <v>280</v>
      </c>
      <c r="I434">
        <f>AVERAGEIFS(sales_Data[units_sold], sales_Data[product_id],sales_Data[[#This Row],[product_id]])</f>
        <v>30.438356164383563</v>
      </c>
      <c r="J434">
        <f>_xlfn.XLOOKUP(sales_Data[[#This Row],[product_id]],sales_Data[product_id],sales_Data[unit_price])</f>
        <v>35</v>
      </c>
    </row>
    <row r="435" spans="1:10" x14ac:dyDescent="0.3">
      <c r="A435" t="s">
        <v>451</v>
      </c>
      <c r="B435" s="1">
        <v>45744</v>
      </c>
      <c r="C435" t="s">
        <v>18</v>
      </c>
      <c r="D435" t="s">
        <v>19</v>
      </c>
      <c r="E435">
        <v>120</v>
      </c>
      <c r="F435">
        <v>13</v>
      </c>
      <c r="G435">
        <v>0</v>
      </c>
      <c r="H435">
        <v>1560</v>
      </c>
      <c r="I435">
        <f>AVERAGEIFS(sales_Data[units_sold], sales_Data[product_id],sales_Data[[#This Row],[product_id]])</f>
        <v>30.473972602739725</v>
      </c>
      <c r="J435">
        <f>_xlfn.XLOOKUP(sales_Data[[#This Row],[product_id]],sales_Data[product_id],sales_Data[unit_price])</f>
        <v>120</v>
      </c>
    </row>
    <row r="436" spans="1:10" x14ac:dyDescent="0.3">
      <c r="A436" t="s">
        <v>452</v>
      </c>
      <c r="B436" s="1">
        <v>45744</v>
      </c>
      <c r="C436" t="s">
        <v>21</v>
      </c>
      <c r="D436" t="s">
        <v>22</v>
      </c>
      <c r="E436">
        <v>25</v>
      </c>
      <c r="F436">
        <v>25</v>
      </c>
      <c r="G436">
        <v>0</v>
      </c>
      <c r="H436">
        <v>625</v>
      </c>
      <c r="I436">
        <f>AVERAGEIFS(sales_Data[units_sold], sales_Data[product_id],sales_Data[[#This Row],[product_id]])</f>
        <v>29.463013698630139</v>
      </c>
      <c r="J436">
        <f>_xlfn.XLOOKUP(sales_Data[[#This Row],[product_id]],sales_Data[product_id],sales_Data[unit_price])</f>
        <v>25</v>
      </c>
    </row>
    <row r="437" spans="1:10" x14ac:dyDescent="0.3">
      <c r="A437" t="s">
        <v>453</v>
      </c>
      <c r="B437" s="1">
        <v>45745</v>
      </c>
      <c r="C437" t="s">
        <v>9</v>
      </c>
      <c r="D437" t="s">
        <v>10</v>
      </c>
      <c r="E437">
        <v>45</v>
      </c>
      <c r="F437">
        <v>49</v>
      </c>
      <c r="G437">
        <v>0</v>
      </c>
      <c r="H437">
        <v>2205</v>
      </c>
      <c r="I437">
        <f>AVERAGEIFS(sales_Data[units_sold], sales_Data[product_id],sales_Data[[#This Row],[product_id]])</f>
        <v>31.479452054794521</v>
      </c>
      <c r="J437">
        <f>_xlfn.XLOOKUP(sales_Data[[#This Row],[product_id]],sales_Data[product_id],sales_Data[unit_price])</f>
        <v>45</v>
      </c>
    </row>
    <row r="438" spans="1:10" x14ac:dyDescent="0.3">
      <c r="A438" t="s">
        <v>454</v>
      </c>
      <c r="B438" s="1">
        <v>45745</v>
      </c>
      <c r="C438" t="s">
        <v>12</v>
      </c>
      <c r="D438" t="s">
        <v>13</v>
      </c>
      <c r="E438">
        <v>12.5</v>
      </c>
      <c r="F438">
        <v>64</v>
      </c>
      <c r="G438">
        <v>0</v>
      </c>
      <c r="H438">
        <v>800</v>
      </c>
      <c r="I438">
        <f>AVERAGEIFS(sales_Data[units_sold], sales_Data[product_id],sales_Data[[#This Row],[product_id]])</f>
        <v>31.794520547945204</v>
      </c>
      <c r="J438">
        <f>_xlfn.XLOOKUP(sales_Data[[#This Row],[product_id]],sales_Data[product_id],sales_Data[unit_price])</f>
        <v>12.5</v>
      </c>
    </row>
    <row r="439" spans="1:10" x14ac:dyDescent="0.3">
      <c r="A439" t="s">
        <v>455</v>
      </c>
      <c r="B439" s="1">
        <v>45745</v>
      </c>
      <c r="C439" t="s">
        <v>15</v>
      </c>
      <c r="D439" t="s">
        <v>16</v>
      </c>
      <c r="E439">
        <v>35</v>
      </c>
      <c r="F439">
        <v>42</v>
      </c>
      <c r="G439">
        <v>0</v>
      </c>
      <c r="H439">
        <v>1470</v>
      </c>
      <c r="I439">
        <f>AVERAGEIFS(sales_Data[units_sold], sales_Data[product_id],sales_Data[[#This Row],[product_id]])</f>
        <v>30.438356164383563</v>
      </c>
      <c r="J439">
        <f>_xlfn.XLOOKUP(sales_Data[[#This Row],[product_id]],sales_Data[product_id],sales_Data[unit_price])</f>
        <v>35</v>
      </c>
    </row>
    <row r="440" spans="1:10" x14ac:dyDescent="0.3">
      <c r="A440" t="s">
        <v>456</v>
      </c>
      <c r="B440" s="1">
        <v>45745</v>
      </c>
      <c r="C440" t="s">
        <v>18</v>
      </c>
      <c r="D440" t="s">
        <v>19</v>
      </c>
      <c r="E440">
        <v>120</v>
      </c>
      <c r="F440">
        <v>72</v>
      </c>
      <c r="G440">
        <v>0</v>
      </c>
      <c r="H440">
        <v>8640</v>
      </c>
      <c r="I440">
        <f>AVERAGEIFS(sales_Data[units_sold], sales_Data[product_id],sales_Data[[#This Row],[product_id]])</f>
        <v>30.473972602739725</v>
      </c>
      <c r="J440">
        <f>_xlfn.XLOOKUP(sales_Data[[#This Row],[product_id]],sales_Data[product_id],sales_Data[unit_price])</f>
        <v>120</v>
      </c>
    </row>
    <row r="441" spans="1:10" x14ac:dyDescent="0.3">
      <c r="A441" t="s">
        <v>457</v>
      </c>
      <c r="B441" s="1">
        <v>45745</v>
      </c>
      <c r="C441" t="s">
        <v>21</v>
      </c>
      <c r="D441" t="s">
        <v>22</v>
      </c>
      <c r="E441">
        <v>25</v>
      </c>
      <c r="F441">
        <v>27</v>
      </c>
      <c r="G441">
        <v>0.1</v>
      </c>
      <c r="H441">
        <v>607.5</v>
      </c>
      <c r="I441">
        <f>AVERAGEIFS(sales_Data[units_sold], sales_Data[product_id],sales_Data[[#This Row],[product_id]])</f>
        <v>29.463013698630139</v>
      </c>
      <c r="J441">
        <f>_xlfn.XLOOKUP(sales_Data[[#This Row],[product_id]],sales_Data[product_id],sales_Data[unit_price])</f>
        <v>25</v>
      </c>
    </row>
    <row r="442" spans="1:10" x14ac:dyDescent="0.3">
      <c r="A442" t="s">
        <v>458</v>
      </c>
      <c r="B442" s="1">
        <v>45746</v>
      </c>
      <c r="C442" t="s">
        <v>9</v>
      </c>
      <c r="D442" t="s">
        <v>10</v>
      </c>
      <c r="E442">
        <v>45</v>
      </c>
      <c r="F442">
        <v>69</v>
      </c>
      <c r="G442">
        <v>0</v>
      </c>
      <c r="H442">
        <v>3105</v>
      </c>
      <c r="I442">
        <f>AVERAGEIFS(sales_Data[units_sold], sales_Data[product_id],sales_Data[[#This Row],[product_id]])</f>
        <v>31.479452054794521</v>
      </c>
      <c r="J442">
        <f>_xlfn.XLOOKUP(sales_Data[[#This Row],[product_id]],sales_Data[product_id],sales_Data[unit_price])</f>
        <v>45</v>
      </c>
    </row>
    <row r="443" spans="1:10" x14ac:dyDescent="0.3">
      <c r="A443" t="s">
        <v>459</v>
      </c>
      <c r="B443" s="1">
        <v>45746</v>
      </c>
      <c r="C443" t="s">
        <v>12</v>
      </c>
      <c r="D443" t="s">
        <v>13</v>
      </c>
      <c r="E443">
        <v>12.5</v>
      </c>
      <c r="F443">
        <v>67</v>
      </c>
      <c r="G443">
        <v>0</v>
      </c>
      <c r="H443">
        <v>837.5</v>
      </c>
      <c r="I443">
        <f>AVERAGEIFS(sales_Data[units_sold], sales_Data[product_id],sales_Data[[#This Row],[product_id]])</f>
        <v>31.794520547945204</v>
      </c>
      <c r="J443">
        <f>_xlfn.XLOOKUP(sales_Data[[#This Row],[product_id]],sales_Data[product_id],sales_Data[unit_price])</f>
        <v>12.5</v>
      </c>
    </row>
    <row r="444" spans="1:10" x14ac:dyDescent="0.3">
      <c r="A444" t="s">
        <v>460</v>
      </c>
      <c r="B444" s="1">
        <v>45746</v>
      </c>
      <c r="C444" t="s">
        <v>15</v>
      </c>
      <c r="D444" t="s">
        <v>16</v>
      </c>
      <c r="E444">
        <v>35</v>
      </c>
      <c r="F444">
        <v>73</v>
      </c>
      <c r="G444">
        <v>0.2</v>
      </c>
      <c r="H444">
        <v>2044</v>
      </c>
      <c r="I444">
        <f>AVERAGEIFS(sales_Data[units_sold], sales_Data[product_id],sales_Data[[#This Row],[product_id]])</f>
        <v>30.438356164383563</v>
      </c>
      <c r="J444">
        <f>_xlfn.XLOOKUP(sales_Data[[#This Row],[product_id]],sales_Data[product_id],sales_Data[unit_price])</f>
        <v>35</v>
      </c>
    </row>
    <row r="445" spans="1:10" x14ac:dyDescent="0.3">
      <c r="A445" t="s">
        <v>461</v>
      </c>
      <c r="B445" s="1">
        <v>45746</v>
      </c>
      <c r="C445" t="s">
        <v>18</v>
      </c>
      <c r="D445" t="s">
        <v>19</v>
      </c>
      <c r="E445">
        <v>120</v>
      </c>
      <c r="F445">
        <v>66</v>
      </c>
      <c r="G445">
        <v>0.2</v>
      </c>
      <c r="H445">
        <v>6336</v>
      </c>
      <c r="I445">
        <f>AVERAGEIFS(sales_Data[units_sold], sales_Data[product_id],sales_Data[[#This Row],[product_id]])</f>
        <v>30.473972602739725</v>
      </c>
      <c r="J445">
        <f>_xlfn.XLOOKUP(sales_Data[[#This Row],[product_id]],sales_Data[product_id],sales_Data[unit_price])</f>
        <v>120</v>
      </c>
    </row>
    <row r="446" spans="1:10" x14ac:dyDescent="0.3">
      <c r="A446" t="s">
        <v>462</v>
      </c>
      <c r="B446" s="1">
        <v>45746</v>
      </c>
      <c r="C446" t="s">
        <v>21</v>
      </c>
      <c r="D446" t="s">
        <v>22</v>
      </c>
      <c r="E446">
        <v>25</v>
      </c>
      <c r="F446">
        <v>45</v>
      </c>
      <c r="G446">
        <v>0</v>
      </c>
      <c r="H446">
        <v>1125</v>
      </c>
      <c r="I446">
        <f>AVERAGEIFS(sales_Data[units_sold], sales_Data[product_id],sales_Data[[#This Row],[product_id]])</f>
        <v>29.463013698630139</v>
      </c>
      <c r="J446">
        <f>_xlfn.XLOOKUP(sales_Data[[#This Row],[product_id]],sales_Data[product_id],sales_Data[unit_price])</f>
        <v>25</v>
      </c>
    </row>
    <row r="447" spans="1:10" x14ac:dyDescent="0.3">
      <c r="A447" t="s">
        <v>463</v>
      </c>
      <c r="B447" s="1">
        <v>45747</v>
      </c>
      <c r="C447" t="s">
        <v>9</v>
      </c>
      <c r="D447" t="s">
        <v>10</v>
      </c>
      <c r="E447">
        <v>45</v>
      </c>
      <c r="F447">
        <v>21</v>
      </c>
      <c r="G447">
        <v>0.1</v>
      </c>
      <c r="H447">
        <v>850.5</v>
      </c>
      <c r="I447">
        <f>AVERAGEIFS(sales_Data[units_sold], sales_Data[product_id],sales_Data[[#This Row],[product_id]])</f>
        <v>31.479452054794521</v>
      </c>
      <c r="J447">
        <f>_xlfn.XLOOKUP(sales_Data[[#This Row],[product_id]],sales_Data[product_id],sales_Data[unit_price])</f>
        <v>45</v>
      </c>
    </row>
    <row r="448" spans="1:10" x14ac:dyDescent="0.3">
      <c r="A448" t="s">
        <v>464</v>
      </c>
      <c r="B448" s="1">
        <v>45747</v>
      </c>
      <c r="C448" t="s">
        <v>12</v>
      </c>
      <c r="D448" t="s">
        <v>13</v>
      </c>
      <c r="E448">
        <v>12.5</v>
      </c>
      <c r="F448">
        <v>29</v>
      </c>
      <c r="G448">
        <v>0</v>
      </c>
      <c r="H448">
        <v>362.5</v>
      </c>
      <c r="I448">
        <f>AVERAGEIFS(sales_Data[units_sold], sales_Data[product_id],sales_Data[[#This Row],[product_id]])</f>
        <v>31.794520547945204</v>
      </c>
      <c r="J448">
        <f>_xlfn.XLOOKUP(sales_Data[[#This Row],[product_id]],sales_Data[product_id],sales_Data[unit_price])</f>
        <v>12.5</v>
      </c>
    </row>
    <row r="449" spans="1:10" x14ac:dyDescent="0.3">
      <c r="A449" t="s">
        <v>465</v>
      </c>
      <c r="B449" s="1">
        <v>45747</v>
      </c>
      <c r="C449" t="s">
        <v>15</v>
      </c>
      <c r="D449" t="s">
        <v>16</v>
      </c>
      <c r="E449">
        <v>35</v>
      </c>
      <c r="F449">
        <v>17</v>
      </c>
      <c r="G449">
        <v>0</v>
      </c>
      <c r="H449">
        <v>595</v>
      </c>
      <c r="I449">
        <f>AVERAGEIFS(sales_Data[units_sold], sales_Data[product_id],sales_Data[[#This Row],[product_id]])</f>
        <v>30.438356164383563</v>
      </c>
      <c r="J449">
        <f>_xlfn.XLOOKUP(sales_Data[[#This Row],[product_id]],sales_Data[product_id],sales_Data[unit_price])</f>
        <v>35</v>
      </c>
    </row>
    <row r="450" spans="1:10" x14ac:dyDescent="0.3">
      <c r="A450" t="s">
        <v>466</v>
      </c>
      <c r="B450" s="1">
        <v>45747</v>
      </c>
      <c r="C450" t="s">
        <v>18</v>
      </c>
      <c r="D450" t="s">
        <v>19</v>
      </c>
      <c r="E450">
        <v>120</v>
      </c>
      <c r="F450">
        <v>43</v>
      </c>
      <c r="G450">
        <v>0</v>
      </c>
      <c r="H450">
        <v>5160</v>
      </c>
      <c r="I450">
        <f>AVERAGEIFS(sales_Data[units_sold], sales_Data[product_id],sales_Data[[#This Row],[product_id]])</f>
        <v>30.473972602739725</v>
      </c>
      <c r="J450">
        <f>_xlfn.XLOOKUP(sales_Data[[#This Row],[product_id]],sales_Data[product_id],sales_Data[unit_price])</f>
        <v>120</v>
      </c>
    </row>
    <row r="451" spans="1:10" x14ac:dyDescent="0.3">
      <c r="A451" t="s">
        <v>467</v>
      </c>
      <c r="B451" s="1">
        <v>45747</v>
      </c>
      <c r="C451" t="s">
        <v>21</v>
      </c>
      <c r="D451" t="s">
        <v>22</v>
      </c>
      <c r="E451">
        <v>25</v>
      </c>
      <c r="F451">
        <v>44</v>
      </c>
      <c r="G451">
        <v>0.2</v>
      </c>
      <c r="H451">
        <v>880</v>
      </c>
      <c r="I451">
        <f>AVERAGEIFS(sales_Data[units_sold], sales_Data[product_id],sales_Data[[#This Row],[product_id]])</f>
        <v>29.463013698630139</v>
      </c>
      <c r="J451">
        <f>_xlfn.XLOOKUP(sales_Data[[#This Row],[product_id]],sales_Data[product_id],sales_Data[unit_price])</f>
        <v>25</v>
      </c>
    </row>
    <row r="452" spans="1:10" x14ac:dyDescent="0.3">
      <c r="A452" t="s">
        <v>468</v>
      </c>
      <c r="B452" s="1">
        <v>45748</v>
      </c>
      <c r="C452" t="s">
        <v>9</v>
      </c>
      <c r="D452" t="s">
        <v>10</v>
      </c>
      <c r="E452">
        <v>45</v>
      </c>
      <c r="F452">
        <v>30</v>
      </c>
      <c r="G452">
        <v>0.1</v>
      </c>
      <c r="H452">
        <v>1215</v>
      </c>
      <c r="I452">
        <f>AVERAGEIFS(sales_Data[units_sold], sales_Data[product_id],sales_Data[[#This Row],[product_id]])</f>
        <v>31.479452054794521</v>
      </c>
      <c r="J452">
        <f>_xlfn.XLOOKUP(sales_Data[[#This Row],[product_id]],sales_Data[product_id],sales_Data[unit_price])</f>
        <v>45</v>
      </c>
    </row>
    <row r="453" spans="1:10" x14ac:dyDescent="0.3">
      <c r="A453" t="s">
        <v>469</v>
      </c>
      <c r="B453" s="1">
        <v>45748</v>
      </c>
      <c r="C453" t="s">
        <v>12</v>
      </c>
      <c r="D453" t="s">
        <v>13</v>
      </c>
      <c r="E453">
        <v>12.5</v>
      </c>
      <c r="F453">
        <v>45</v>
      </c>
      <c r="G453">
        <v>0.1</v>
      </c>
      <c r="H453">
        <v>506.25</v>
      </c>
      <c r="I453">
        <f>AVERAGEIFS(sales_Data[units_sold], sales_Data[product_id],sales_Data[[#This Row],[product_id]])</f>
        <v>31.794520547945204</v>
      </c>
      <c r="J453">
        <f>_xlfn.XLOOKUP(sales_Data[[#This Row],[product_id]],sales_Data[product_id],sales_Data[unit_price])</f>
        <v>12.5</v>
      </c>
    </row>
    <row r="454" spans="1:10" x14ac:dyDescent="0.3">
      <c r="A454" t="s">
        <v>470</v>
      </c>
      <c r="B454" s="1">
        <v>45748</v>
      </c>
      <c r="C454" t="s">
        <v>15</v>
      </c>
      <c r="D454" t="s">
        <v>16</v>
      </c>
      <c r="E454">
        <v>35</v>
      </c>
      <c r="F454">
        <v>30</v>
      </c>
      <c r="G454">
        <v>0.1</v>
      </c>
      <c r="H454">
        <v>945</v>
      </c>
      <c r="I454">
        <f>AVERAGEIFS(sales_Data[units_sold], sales_Data[product_id],sales_Data[[#This Row],[product_id]])</f>
        <v>30.438356164383563</v>
      </c>
      <c r="J454">
        <f>_xlfn.XLOOKUP(sales_Data[[#This Row],[product_id]],sales_Data[product_id],sales_Data[unit_price])</f>
        <v>35</v>
      </c>
    </row>
    <row r="455" spans="1:10" x14ac:dyDescent="0.3">
      <c r="A455" t="s">
        <v>471</v>
      </c>
      <c r="B455" s="1">
        <v>45748</v>
      </c>
      <c r="C455" t="s">
        <v>18</v>
      </c>
      <c r="D455" t="s">
        <v>19</v>
      </c>
      <c r="E455">
        <v>120</v>
      </c>
      <c r="F455">
        <v>33</v>
      </c>
      <c r="G455">
        <v>0</v>
      </c>
      <c r="H455">
        <v>3960</v>
      </c>
      <c r="I455">
        <f>AVERAGEIFS(sales_Data[units_sold], sales_Data[product_id],sales_Data[[#This Row],[product_id]])</f>
        <v>30.473972602739725</v>
      </c>
      <c r="J455">
        <f>_xlfn.XLOOKUP(sales_Data[[#This Row],[product_id]],sales_Data[product_id],sales_Data[unit_price])</f>
        <v>120</v>
      </c>
    </row>
    <row r="456" spans="1:10" x14ac:dyDescent="0.3">
      <c r="A456" t="s">
        <v>472</v>
      </c>
      <c r="B456" s="1">
        <v>45748</v>
      </c>
      <c r="C456" t="s">
        <v>21</v>
      </c>
      <c r="D456" t="s">
        <v>22</v>
      </c>
      <c r="E456">
        <v>25</v>
      </c>
      <c r="F456">
        <v>38</v>
      </c>
      <c r="G456">
        <v>0</v>
      </c>
      <c r="H456">
        <v>950</v>
      </c>
      <c r="I456">
        <f>AVERAGEIFS(sales_Data[units_sold], sales_Data[product_id],sales_Data[[#This Row],[product_id]])</f>
        <v>29.463013698630139</v>
      </c>
      <c r="J456">
        <f>_xlfn.XLOOKUP(sales_Data[[#This Row],[product_id]],sales_Data[product_id],sales_Data[unit_price])</f>
        <v>25</v>
      </c>
    </row>
    <row r="457" spans="1:10" x14ac:dyDescent="0.3">
      <c r="A457" t="s">
        <v>473</v>
      </c>
      <c r="B457" s="1">
        <v>45749</v>
      </c>
      <c r="C457" t="s">
        <v>9</v>
      </c>
      <c r="D457" t="s">
        <v>10</v>
      </c>
      <c r="E457">
        <v>45</v>
      </c>
      <c r="F457">
        <v>41</v>
      </c>
      <c r="G457">
        <v>0.2</v>
      </c>
      <c r="H457">
        <v>1476</v>
      </c>
      <c r="I457">
        <f>AVERAGEIFS(sales_Data[units_sold], sales_Data[product_id],sales_Data[[#This Row],[product_id]])</f>
        <v>31.479452054794521</v>
      </c>
      <c r="J457">
        <f>_xlfn.XLOOKUP(sales_Data[[#This Row],[product_id]],sales_Data[product_id],sales_Data[unit_price])</f>
        <v>45</v>
      </c>
    </row>
    <row r="458" spans="1:10" x14ac:dyDescent="0.3">
      <c r="A458" t="s">
        <v>474</v>
      </c>
      <c r="B458" s="1">
        <v>45749</v>
      </c>
      <c r="C458" t="s">
        <v>12</v>
      </c>
      <c r="D458" t="s">
        <v>13</v>
      </c>
      <c r="E458">
        <v>12.5</v>
      </c>
      <c r="F458">
        <v>12</v>
      </c>
      <c r="G458">
        <v>0</v>
      </c>
      <c r="H458">
        <v>150</v>
      </c>
      <c r="I458">
        <f>AVERAGEIFS(sales_Data[units_sold], sales_Data[product_id],sales_Data[[#This Row],[product_id]])</f>
        <v>31.794520547945204</v>
      </c>
      <c r="J458">
        <f>_xlfn.XLOOKUP(sales_Data[[#This Row],[product_id]],sales_Data[product_id],sales_Data[unit_price])</f>
        <v>12.5</v>
      </c>
    </row>
    <row r="459" spans="1:10" x14ac:dyDescent="0.3">
      <c r="A459" t="s">
        <v>475</v>
      </c>
      <c r="B459" s="1">
        <v>45749</v>
      </c>
      <c r="C459" t="s">
        <v>15</v>
      </c>
      <c r="D459" t="s">
        <v>16</v>
      </c>
      <c r="E459">
        <v>35</v>
      </c>
      <c r="F459">
        <v>9</v>
      </c>
      <c r="G459">
        <v>0.1</v>
      </c>
      <c r="H459">
        <v>283.5</v>
      </c>
      <c r="I459">
        <f>AVERAGEIFS(sales_Data[units_sold], sales_Data[product_id],sales_Data[[#This Row],[product_id]])</f>
        <v>30.438356164383563</v>
      </c>
      <c r="J459">
        <f>_xlfn.XLOOKUP(sales_Data[[#This Row],[product_id]],sales_Data[product_id],sales_Data[unit_price])</f>
        <v>35</v>
      </c>
    </row>
    <row r="460" spans="1:10" x14ac:dyDescent="0.3">
      <c r="A460" t="s">
        <v>476</v>
      </c>
      <c r="B460" s="1">
        <v>45749</v>
      </c>
      <c r="C460" t="s">
        <v>18</v>
      </c>
      <c r="D460" t="s">
        <v>19</v>
      </c>
      <c r="E460">
        <v>120</v>
      </c>
      <c r="F460">
        <v>12</v>
      </c>
      <c r="G460">
        <v>0.2</v>
      </c>
      <c r="H460">
        <v>1152</v>
      </c>
      <c r="I460">
        <f>AVERAGEIFS(sales_Data[units_sold], sales_Data[product_id],sales_Data[[#This Row],[product_id]])</f>
        <v>30.473972602739725</v>
      </c>
      <c r="J460">
        <f>_xlfn.XLOOKUP(sales_Data[[#This Row],[product_id]],sales_Data[product_id],sales_Data[unit_price])</f>
        <v>120</v>
      </c>
    </row>
    <row r="461" spans="1:10" x14ac:dyDescent="0.3">
      <c r="A461" t="s">
        <v>477</v>
      </c>
      <c r="B461" s="1">
        <v>45749</v>
      </c>
      <c r="C461" t="s">
        <v>21</v>
      </c>
      <c r="D461" t="s">
        <v>22</v>
      </c>
      <c r="E461">
        <v>25</v>
      </c>
      <c r="F461">
        <v>20</v>
      </c>
      <c r="G461">
        <v>0.1</v>
      </c>
      <c r="H461">
        <v>450</v>
      </c>
      <c r="I461">
        <f>AVERAGEIFS(sales_Data[units_sold], sales_Data[product_id],sales_Data[[#This Row],[product_id]])</f>
        <v>29.463013698630139</v>
      </c>
      <c r="J461">
        <f>_xlfn.XLOOKUP(sales_Data[[#This Row],[product_id]],sales_Data[product_id],sales_Data[unit_price])</f>
        <v>25</v>
      </c>
    </row>
    <row r="462" spans="1:10" x14ac:dyDescent="0.3">
      <c r="A462" t="s">
        <v>478</v>
      </c>
      <c r="B462" s="1">
        <v>45750</v>
      </c>
      <c r="C462" t="s">
        <v>9</v>
      </c>
      <c r="D462" t="s">
        <v>10</v>
      </c>
      <c r="E462">
        <v>45</v>
      </c>
      <c r="F462">
        <v>29</v>
      </c>
      <c r="G462">
        <v>0</v>
      </c>
      <c r="H462">
        <v>1305</v>
      </c>
      <c r="I462">
        <f>AVERAGEIFS(sales_Data[units_sold], sales_Data[product_id],sales_Data[[#This Row],[product_id]])</f>
        <v>31.479452054794521</v>
      </c>
      <c r="J462">
        <f>_xlfn.XLOOKUP(sales_Data[[#This Row],[product_id]],sales_Data[product_id],sales_Data[unit_price])</f>
        <v>45</v>
      </c>
    </row>
    <row r="463" spans="1:10" x14ac:dyDescent="0.3">
      <c r="A463" t="s">
        <v>479</v>
      </c>
      <c r="B463" s="1">
        <v>45750</v>
      </c>
      <c r="C463" t="s">
        <v>12</v>
      </c>
      <c r="D463" t="s">
        <v>13</v>
      </c>
      <c r="E463">
        <v>12.5</v>
      </c>
      <c r="F463">
        <v>12</v>
      </c>
      <c r="G463">
        <v>0</v>
      </c>
      <c r="H463">
        <v>150</v>
      </c>
      <c r="I463">
        <f>AVERAGEIFS(sales_Data[units_sold], sales_Data[product_id],sales_Data[[#This Row],[product_id]])</f>
        <v>31.794520547945204</v>
      </c>
      <c r="J463">
        <f>_xlfn.XLOOKUP(sales_Data[[#This Row],[product_id]],sales_Data[product_id],sales_Data[unit_price])</f>
        <v>12.5</v>
      </c>
    </row>
    <row r="464" spans="1:10" x14ac:dyDescent="0.3">
      <c r="A464" t="s">
        <v>480</v>
      </c>
      <c r="B464" s="1">
        <v>45750</v>
      </c>
      <c r="C464" t="s">
        <v>15</v>
      </c>
      <c r="D464" t="s">
        <v>16</v>
      </c>
      <c r="E464">
        <v>35</v>
      </c>
      <c r="F464">
        <v>8</v>
      </c>
      <c r="G464">
        <v>0</v>
      </c>
      <c r="H464">
        <v>280</v>
      </c>
      <c r="I464">
        <f>AVERAGEIFS(sales_Data[units_sold], sales_Data[product_id],sales_Data[[#This Row],[product_id]])</f>
        <v>30.438356164383563</v>
      </c>
      <c r="J464">
        <f>_xlfn.XLOOKUP(sales_Data[[#This Row],[product_id]],sales_Data[product_id],sales_Data[unit_price])</f>
        <v>35</v>
      </c>
    </row>
    <row r="465" spans="1:10" x14ac:dyDescent="0.3">
      <c r="A465" t="s">
        <v>481</v>
      </c>
      <c r="B465" s="1">
        <v>45750</v>
      </c>
      <c r="C465" t="s">
        <v>18</v>
      </c>
      <c r="D465" t="s">
        <v>19</v>
      </c>
      <c r="E465">
        <v>120</v>
      </c>
      <c r="F465">
        <v>30</v>
      </c>
      <c r="G465">
        <v>0</v>
      </c>
      <c r="H465">
        <v>3600</v>
      </c>
      <c r="I465">
        <f>AVERAGEIFS(sales_Data[units_sold], sales_Data[product_id],sales_Data[[#This Row],[product_id]])</f>
        <v>30.473972602739725</v>
      </c>
      <c r="J465">
        <f>_xlfn.XLOOKUP(sales_Data[[#This Row],[product_id]],sales_Data[product_id],sales_Data[unit_price])</f>
        <v>120</v>
      </c>
    </row>
    <row r="466" spans="1:10" x14ac:dyDescent="0.3">
      <c r="A466" t="s">
        <v>482</v>
      </c>
      <c r="B466" s="1">
        <v>45750</v>
      </c>
      <c r="C466" t="s">
        <v>21</v>
      </c>
      <c r="D466" t="s">
        <v>22</v>
      </c>
      <c r="E466">
        <v>25</v>
      </c>
      <c r="F466">
        <v>47</v>
      </c>
      <c r="G466">
        <v>0</v>
      </c>
      <c r="H466">
        <v>1175</v>
      </c>
      <c r="I466">
        <f>AVERAGEIFS(sales_Data[units_sold], sales_Data[product_id],sales_Data[[#This Row],[product_id]])</f>
        <v>29.463013698630139</v>
      </c>
      <c r="J466">
        <f>_xlfn.XLOOKUP(sales_Data[[#This Row],[product_id]],sales_Data[product_id],sales_Data[unit_price])</f>
        <v>25</v>
      </c>
    </row>
    <row r="467" spans="1:10" x14ac:dyDescent="0.3">
      <c r="A467" t="s">
        <v>483</v>
      </c>
      <c r="B467" s="1">
        <v>45751</v>
      </c>
      <c r="C467" t="s">
        <v>9</v>
      </c>
      <c r="D467" t="s">
        <v>10</v>
      </c>
      <c r="E467">
        <v>45</v>
      </c>
      <c r="F467">
        <v>36</v>
      </c>
      <c r="G467">
        <v>0</v>
      </c>
      <c r="H467">
        <v>1620</v>
      </c>
      <c r="I467">
        <f>AVERAGEIFS(sales_Data[units_sold], sales_Data[product_id],sales_Data[[#This Row],[product_id]])</f>
        <v>31.479452054794521</v>
      </c>
      <c r="J467">
        <f>_xlfn.XLOOKUP(sales_Data[[#This Row],[product_id]],sales_Data[product_id],sales_Data[unit_price])</f>
        <v>45</v>
      </c>
    </row>
    <row r="468" spans="1:10" x14ac:dyDescent="0.3">
      <c r="A468" t="s">
        <v>484</v>
      </c>
      <c r="B468" s="1">
        <v>45751</v>
      </c>
      <c r="C468" t="s">
        <v>12</v>
      </c>
      <c r="D468" t="s">
        <v>13</v>
      </c>
      <c r="E468">
        <v>12.5</v>
      </c>
      <c r="F468">
        <v>18</v>
      </c>
      <c r="G468">
        <v>0.1</v>
      </c>
      <c r="H468">
        <v>202.5</v>
      </c>
      <c r="I468">
        <f>AVERAGEIFS(sales_Data[units_sold], sales_Data[product_id],sales_Data[[#This Row],[product_id]])</f>
        <v>31.794520547945204</v>
      </c>
      <c r="J468">
        <f>_xlfn.XLOOKUP(sales_Data[[#This Row],[product_id]],sales_Data[product_id],sales_Data[unit_price])</f>
        <v>12.5</v>
      </c>
    </row>
    <row r="469" spans="1:10" x14ac:dyDescent="0.3">
      <c r="A469" t="s">
        <v>485</v>
      </c>
      <c r="B469" s="1">
        <v>45751</v>
      </c>
      <c r="C469" t="s">
        <v>15</v>
      </c>
      <c r="D469" t="s">
        <v>16</v>
      </c>
      <c r="E469">
        <v>35</v>
      </c>
      <c r="F469">
        <v>36</v>
      </c>
      <c r="G469">
        <v>0</v>
      </c>
      <c r="H469">
        <v>1260</v>
      </c>
      <c r="I469">
        <f>AVERAGEIFS(sales_Data[units_sold], sales_Data[product_id],sales_Data[[#This Row],[product_id]])</f>
        <v>30.438356164383563</v>
      </c>
      <c r="J469">
        <f>_xlfn.XLOOKUP(sales_Data[[#This Row],[product_id]],sales_Data[product_id],sales_Data[unit_price])</f>
        <v>35</v>
      </c>
    </row>
    <row r="470" spans="1:10" x14ac:dyDescent="0.3">
      <c r="A470" t="s">
        <v>486</v>
      </c>
      <c r="B470" s="1">
        <v>45751</v>
      </c>
      <c r="C470" t="s">
        <v>18</v>
      </c>
      <c r="D470" t="s">
        <v>19</v>
      </c>
      <c r="E470">
        <v>120</v>
      </c>
      <c r="F470">
        <v>14</v>
      </c>
      <c r="G470">
        <v>0.2</v>
      </c>
      <c r="H470">
        <v>1344</v>
      </c>
      <c r="I470">
        <f>AVERAGEIFS(sales_Data[units_sold], sales_Data[product_id],sales_Data[[#This Row],[product_id]])</f>
        <v>30.473972602739725</v>
      </c>
      <c r="J470">
        <f>_xlfn.XLOOKUP(sales_Data[[#This Row],[product_id]],sales_Data[product_id],sales_Data[unit_price])</f>
        <v>120</v>
      </c>
    </row>
    <row r="471" spans="1:10" x14ac:dyDescent="0.3">
      <c r="A471" t="s">
        <v>487</v>
      </c>
      <c r="B471" s="1">
        <v>45751</v>
      </c>
      <c r="C471" t="s">
        <v>21</v>
      </c>
      <c r="D471" t="s">
        <v>22</v>
      </c>
      <c r="E471">
        <v>25</v>
      </c>
      <c r="F471">
        <v>14</v>
      </c>
      <c r="G471">
        <v>0</v>
      </c>
      <c r="H471">
        <v>350</v>
      </c>
      <c r="I471">
        <f>AVERAGEIFS(sales_Data[units_sold], sales_Data[product_id],sales_Data[[#This Row],[product_id]])</f>
        <v>29.463013698630139</v>
      </c>
      <c r="J471">
        <f>_xlfn.XLOOKUP(sales_Data[[#This Row],[product_id]],sales_Data[product_id],sales_Data[unit_price])</f>
        <v>25</v>
      </c>
    </row>
    <row r="472" spans="1:10" x14ac:dyDescent="0.3">
      <c r="A472" t="s">
        <v>488</v>
      </c>
      <c r="B472" s="1">
        <v>45752</v>
      </c>
      <c r="C472" t="s">
        <v>9</v>
      </c>
      <c r="D472" t="s">
        <v>10</v>
      </c>
      <c r="E472">
        <v>45</v>
      </c>
      <c r="F472">
        <v>46</v>
      </c>
      <c r="G472">
        <v>0</v>
      </c>
      <c r="H472">
        <v>2070</v>
      </c>
      <c r="I472">
        <f>AVERAGEIFS(sales_Data[units_sold], sales_Data[product_id],sales_Data[[#This Row],[product_id]])</f>
        <v>31.479452054794521</v>
      </c>
      <c r="J472">
        <f>_xlfn.XLOOKUP(sales_Data[[#This Row],[product_id]],sales_Data[product_id],sales_Data[unit_price])</f>
        <v>45</v>
      </c>
    </row>
    <row r="473" spans="1:10" x14ac:dyDescent="0.3">
      <c r="A473" t="s">
        <v>489</v>
      </c>
      <c r="B473" s="1">
        <v>45752</v>
      </c>
      <c r="C473" t="s">
        <v>12</v>
      </c>
      <c r="D473" t="s">
        <v>13</v>
      </c>
      <c r="E473">
        <v>12.5</v>
      </c>
      <c r="F473">
        <v>61</v>
      </c>
      <c r="G473">
        <v>0</v>
      </c>
      <c r="H473">
        <v>762.5</v>
      </c>
      <c r="I473">
        <f>AVERAGEIFS(sales_Data[units_sold], sales_Data[product_id],sales_Data[[#This Row],[product_id]])</f>
        <v>31.794520547945204</v>
      </c>
      <c r="J473">
        <f>_xlfn.XLOOKUP(sales_Data[[#This Row],[product_id]],sales_Data[product_id],sales_Data[unit_price])</f>
        <v>12.5</v>
      </c>
    </row>
    <row r="474" spans="1:10" x14ac:dyDescent="0.3">
      <c r="A474" t="s">
        <v>490</v>
      </c>
      <c r="B474" s="1">
        <v>45752</v>
      </c>
      <c r="C474" t="s">
        <v>15</v>
      </c>
      <c r="D474" t="s">
        <v>16</v>
      </c>
      <c r="E474">
        <v>35</v>
      </c>
      <c r="F474">
        <v>46</v>
      </c>
      <c r="G474">
        <v>0</v>
      </c>
      <c r="H474">
        <v>1610</v>
      </c>
      <c r="I474">
        <f>AVERAGEIFS(sales_Data[units_sold], sales_Data[product_id],sales_Data[[#This Row],[product_id]])</f>
        <v>30.438356164383563</v>
      </c>
      <c r="J474">
        <f>_xlfn.XLOOKUP(sales_Data[[#This Row],[product_id]],sales_Data[product_id],sales_Data[unit_price])</f>
        <v>35</v>
      </c>
    </row>
    <row r="475" spans="1:10" x14ac:dyDescent="0.3">
      <c r="A475" t="s">
        <v>491</v>
      </c>
      <c r="B475" s="1">
        <v>45752</v>
      </c>
      <c r="C475" t="s">
        <v>18</v>
      </c>
      <c r="D475" t="s">
        <v>19</v>
      </c>
      <c r="E475">
        <v>120</v>
      </c>
      <c r="F475">
        <v>46</v>
      </c>
      <c r="G475">
        <v>0</v>
      </c>
      <c r="H475">
        <v>5520</v>
      </c>
      <c r="I475">
        <f>AVERAGEIFS(sales_Data[units_sold], sales_Data[product_id],sales_Data[[#This Row],[product_id]])</f>
        <v>30.473972602739725</v>
      </c>
      <c r="J475">
        <f>_xlfn.XLOOKUP(sales_Data[[#This Row],[product_id]],sales_Data[product_id],sales_Data[unit_price])</f>
        <v>120</v>
      </c>
    </row>
    <row r="476" spans="1:10" x14ac:dyDescent="0.3">
      <c r="A476" t="s">
        <v>492</v>
      </c>
      <c r="B476" s="1">
        <v>45752</v>
      </c>
      <c r="C476" t="s">
        <v>21</v>
      </c>
      <c r="D476" t="s">
        <v>22</v>
      </c>
      <c r="E476">
        <v>25</v>
      </c>
      <c r="F476">
        <v>27</v>
      </c>
      <c r="G476">
        <v>0</v>
      </c>
      <c r="H476">
        <v>675</v>
      </c>
      <c r="I476">
        <f>AVERAGEIFS(sales_Data[units_sold], sales_Data[product_id],sales_Data[[#This Row],[product_id]])</f>
        <v>29.463013698630139</v>
      </c>
      <c r="J476">
        <f>_xlfn.XLOOKUP(sales_Data[[#This Row],[product_id]],sales_Data[product_id],sales_Data[unit_price])</f>
        <v>25</v>
      </c>
    </row>
    <row r="477" spans="1:10" x14ac:dyDescent="0.3">
      <c r="A477" t="s">
        <v>493</v>
      </c>
      <c r="B477" s="1">
        <v>45753</v>
      </c>
      <c r="C477" t="s">
        <v>9</v>
      </c>
      <c r="D477" t="s">
        <v>10</v>
      </c>
      <c r="E477">
        <v>45</v>
      </c>
      <c r="F477">
        <v>69</v>
      </c>
      <c r="G477">
        <v>0</v>
      </c>
      <c r="H477">
        <v>3105</v>
      </c>
      <c r="I477">
        <f>AVERAGEIFS(sales_Data[units_sold], sales_Data[product_id],sales_Data[[#This Row],[product_id]])</f>
        <v>31.479452054794521</v>
      </c>
      <c r="J477">
        <f>_xlfn.XLOOKUP(sales_Data[[#This Row],[product_id]],sales_Data[product_id],sales_Data[unit_price])</f>
        <v>45</v>
      </c>
    </row>
    <row r="478" spans="1:10" x14ac:dyDescent="0.3">
      <c r="A478" t="s">
        <v>494</v>
      </c>
      <c r="B478" s="1">
        <v>45753</v>
      </c>
      <c r="C478" t="s">
        <v>12</v>
      </c>
      <c r="D478" t="s">
        <v>13</v>
      </c>
      <c r="E478">
        <v>12.5</v>
      </c>
      <c r="F478">
        <v>55</v>
      </c>
      <c r="G478">
        <v>0</v>
      </c>
      <c r="H478">
        <v>687.5</v>
      </c>
      <c r="I478">
        <f>AVERAGEIFS(sales_Data[units_sold], sales_Data[product_id],sales_Data[[#This Row],[product_id]])</f>
        <v>31.794520547945204</v>
      </c>
      <c r="J478">
        <f>_xlfn.XLOOKUP(sales_Data[[#This Row],[product_id]],sales_Data[product_id],sales_Data[unit_price])</f>
        <v>12.5</v>
      </c>
    </row>
    <row r="479" spans="1:10" x14ac:dyDescent="0.3">
      <c r="A479" t="s">
        <v>495</v>
      </c>
      <c r="B479" s="1">
        <v>45753</v>
      </c>
      <c r="C479" t="s">
        <v>15</v>
      </c>
      <c r="D479" t="s">
        <v>16</v>
      </c>
      <c r="E479">
        <v>35</v>
      </c>
      <c r="F479">
        <v>64</v>
      </c>
      <c r="G479">
        <v>0</v>
      </c>
      <c r="H479">
        <v>2240</v>
      </c>
      <c r="I479">
        <f>AVERAGEIFS(sales_Data[units_sold], sales_Data[product_id],sales_Data[[#This Row],[product_id]])</f>
        <v>30.438356164383563</v>
      </c>
      <c r="J479">
        <f>_xlfn.XLOOKUP(sales_Data[[#This Row],[product_id]],sales_Data[product_id],sales_Data[unit_price])</f>
        <v>35</v>
      </c>
    </row>
    <row r="480" spans="1:10" x14ac:dyDescent="0.3">
      <c r="A480" t="s">
        <v>496</v>
      </c>
      <c r="B480" s="1">
        <v>45753</v>
      </c>
      <c r="C480" t="s">
        <v>18</v>
      </c>
      <c r="D480" t="s">
        <v>19</v>
      </c>
      <c r="E480">
        <v>120</v>
      </c>
      <c r="F480">
        <v>28</v>
      </c>
      <c r="G480">
        <v>0</v>
      </c>
      <c r="H480">
        <v>3360</v>
      </c>
      <c r="I480">
        <f>AVERAGEIFS(sales_Data[units_sold], sales_Data[product_id],sales_Data[[#This Row],[product_id]])</f>
        <v>30.473972602739725</v>
      </c>
      <c r="J480">
        <f>_xlfn.XLOOKUP(sales_Data[[#This Row],[product_id]],sales_Data[product_id],sales_Data[unit_price])</f>
        <v>120</v>
      </c>
    </row>
    <row r="481" spans="1:10" x14ac:dyDescent="0.3">
      <c r="A481" t="s">
        <v>497</v>
      </c>
      <c r="B481" s="1">
        <v>45753</v>
      </c>
      <c r="C481" t="s">
        <v>21</v>
      </c>
      <c r="D481" t="s">
        <v>22</v>
      </c>
      <c r="E481">
        <v>25</v>
      </c>
      <c r="F481">
        <v>21</v>
      </c>
      <c r="G481">
        <v>0</v>
      </c>
      <c r="H481">
        <v>525</v>
      </c>
      <c r="I481">
        <f>AVERAGEIFS(sales_Data[units_sold], sales_Data[product_id],sales_Data[[#This Row],[product_id]])</f>
        <v>29.463013698630139</v>
      </c>
      <c r="J481">
        <f>_xlfn.XLOOKUP(sales_Data[[#This Row],[product_id]],sales_Data[product_id],sales_Data[unit_price])</f>
        <v>25</v>
      </c>
    </row>
    <row r="482" spans="1:10" x14ac:dyDescent="0.3">
      <c r="A482" t="s">
        <v>498</v>
      </c>
      <c r="B482" s="1">
        <v>45754</v>
      </c>
      <c r="C482" t="s">
        <v>9</v>
      </c>
      <c r="D482" t="s">
        <v>10</v>
      </c>
      <c r="E482">
        <v>45</v>
      </c>
      <c r="F482">
        <v>12</v>
      </c>
      <c r="G482">
        <v>0</v>
      </c>
      <c r="H482">
        <v>540</v>
      </c>
      <c r="I482">
        <f>AVERAGEIFS(sales_Data[units_sold], sales_Data[product_id],sales_Data[[#This Row],[product_id]])</f>
        <v>31.479452054794521</v>
      </c>
      <c r="J482">
        <f>_xlfn.XLOOKUP(sales_Data[[#This Row],[product_id]],sales_Data[product_id],sales_Data[unit_price])</f>
        <v>45</v>
      </c>
    </row>
    <row r="483" spans="1:10" x14ac:dyDescent="0.3">
      <c r="A483" t="s">
        <v>499</v>
      </c>
      <c r="B483" s="1">
        <v>45754</v>
      </c>
      <c r="C483" t="s">
        <v>12</v>
      </c>
      <c r="D483" t="s">
        <v>13</v>
      </c>
      <c r="E483">
        <v>12.5</v>
      </c>
      <c r="F483">
        <v>37</v>
      </c>
      <c r="G483">
        <v>0</v>
      </c>
      <c r="H483">
        <v>462.5</v>
      </c>
      <c r="I483">
        <f>AVERAGEIFS(sales_Data[units_sold], sales_Data[product_id],sales_Data[[#This Row],[product_id]])</f>
        <v>31.794520547945204</v>
      </c>
      <c r="J483">
        <f>_xlfn.XLOOKUP(sales_Data[[#This Row],[product_id]],sales_Data[product_id],sales_Data[unit_price])</f>
        <v>12.5</v>
      </c>
    </row>
    <row r="484" spans="1:10" x14ac:dyDescent="0.3">
      <c r="A484" t="s">
        <v>500</v>
      </c>
      <c r="B484" s="1">
        <v>45754</v>
      </c>
      <c r="C484" t="s">
        <v>15</v>
      </c>
      <c r="D484" t="s">
        <v>16</v>
      </c>
      <c r="E484">
        <v>35</v>
      </c>
      <c r="F484">
        <v>32</v>
      </c>
      <c r="G484">
        <v>0.1</v>
      </c>
      <c r="H484">
        <v>1008</v>
      </c>
      <c r="I484">
        <f>AVERAGEIFS(sales_Data[units_sold], sales_Data[product_id],sales_Data[[#This Row],[product_id]])</f>
        <v>30.438356164383563</v>
      </c>
      <c r="J484">
        <f>_xlfn.XLOOKUP(sales_Data[[#This Row],[product_id]],sales_Data[product_id],sales_Data[unit_price])</f>
        <v>35</v>
      </c>
    </row>
    <row r="485" spans="1:10" x14ac:dyDescent="0.3">
      <c r="A485" t="s">
        <v>501</v>
      </c>
      <c r="B485" s="1">
        <v>45754</v>
      </c>
      <c r="C485" t="s">
        <v>18</v>
      </c>
      <c r="D485" t="s">
        <v>19</v>
      </c>
      <c r="E485">
        <v>120</v>
      </c>
      <c r="F485">
        <v>27</v>
      </c>
      <c r="G485">
        <v>0</v>
      </c>
      <c r="H485">
        <v>3240</v>
      </c>
      <c r="I485">
        <f>AVERAGEIFS(sales_Data[units_sold], sales_Data[product_id],sales_Data[[#This Row],[product_id]])</f>
        <v>30.473972602739725</v>
      </c>
      <c r="J485">
        <f>_xlfn.XLOOKUP(sales_Data[[#This Row],[product_id]],sales_Data[product_id],sales_Data[unit_price])</f>
        <v>120</v>
      </c>
    </row>
    <row r="486" spans="1:10" x14ac:dyDescent="0.3">
      <c r="A486" t="s">
        <v>502</v>
      </c>
      <c r="B486" s="1">
        <v>45754</v>
      </c>
      <c r="C486" t="s">
        <v>21</v>
      </c>
      <c r="D486" t="s">
        <v>22</v>
      </c>
      <c r="E486">
        <v>25</v>
      </c>
      <c r="F486">
        <v>13</v>
      </c>
      <c r="G486">
        <v>0</v>
      </c>
      <c r="H486">
        <v>325</v>
      </c>
      <c r="I486">
        <f>AVERAGEIFS(sales_Data[units_sold], sales_Data[product_id],sales_Data[[#This Row],[product_id]])</f>
        <v>29.463013698630139</v>
      </c>
      <c r="J486">
        <f>_xlfn.XLOOKUP(sales_Data[[#This Row],[product_id]],sales_Data[product_id],sales_Data[unit_price])</f>
        <v>25</v>
      </c>
    </row>
    <row r="487" spans="1:10" x14ac:dyDescent="0.3">
      <c r="A487" t="s">
        <v>503</v>
      </c>
      <c r="B487" s="1">
        <v>45755</v>
      </c>
      <c r="C487" t="s">
        <v>9</v>
      </c>
      <c r="D487" t="s">
        <v>10</v>
      </c>
      <c r="E487">
        <v>45</v>
      </c>
      <c r="F487">
        <v>12</v>
      </c>
      <c r="G487">
        <v>0</v>
      </c>
      <c r="H487">
        <v>540</v>
      </c>
      <c r="I487">
        <f>AVERAGEIFS(sales_Data[units_sold], sales_Data[product_id],sales_Data[[#This Row],[product_id]])</f>
        <v>31.479452054794521</v>
      </c>
      <c r="J487">
        <f>_xlfn.XLOOKUP(sales_Data[[#This Row],[product_id]],sales_Data[product_id],sales_Data[unit_price])</f>
        <v>45</v>
      </c>
    </row>
    <row r="488" spans="1:10" x14ac:dyDescent="0.3">
      <c r="A488" t="s">
        <v>504</v>
      </c>
      <c r="B488" s="1">
        <v>45755</v>
      </c>
      <c r="C488" t="s">
        <v>12</v>
      </c>
      <c r="D488" t="s">
        <v>13</v>
      </c>
      <c r="E488">
        <v>12.5</v>
      </c>
      <c r="F488">
        <v>34</v>
      </c>
      <c r="G488">
        <v>0</v>
      </c>
      <c r="H488">
        <v>425</v>
      </c>
      <c r="I488">
        <f>AVERAGEIFS(sales_Data[units_sold], sales_Data[product_id],sales_Data[[#This Row],[product_id]])</f>
        <v>31.794520547945204</v>
      </c>
      <c r="J488">
        <f>_xlfn.XLOOKUP(sales_Data[[#This Row],[product_id]],sales_Data[product_id],sales_Data[unit_price])</f>
        <v>12.5</v>
      </c>
    </row>
    <row r="489" spans="1:10" x14ac:dyDescent="0.3">
      <c r="A489" t="s">
        <v>505</v>
      </c>
      <c r="B489" s="1">
        <v>45755</v>
      </c>
      <c r="C489" t="s">
        <v>15</v>
      </c>
      <c r="D489" t="s">
        <v>16</v>
      </c>
      <c r="E489">
        <v>35</v>
      </c>
      <c r="F489">
        <v>28</v>
      </c>
      <c r="G489">
        <v>0.1</v>
      </c>
      <c r="H489">
        <v>882</v>
      </c>
      <c r="I489">
        <f>AVERAGEIFS(sales_Data[units_sold], sales_Data[product_id],sales_Data[[#This Row],[product_id]])</f>
        <v>30.438356164383563</v>
      </c>
      <c r="J489">
        <f>_xlfn.XLOOKUP(sales_Data[[#This Row],[product_id]],sales_Data[product_id],sales_Data[unit_price])</f>
        <v>35</v>
      </c>
    </row>
    <row r="490" spans="1:10" x14ac:dyDescent="0.3">
      <c r="A490" t="s">
        <v>506</v>
      </c>
      <c r="B490" s="1">
        <v>45755</v>
      </c>
      <c r="C490" t="s">
        <v>18</v>
      </c>
      <c r="D490" t="s">
        <v>19</v>
      </c>
      <c r="E490">
        <v>120</v>
      </c>
      <c r="F490">
        <v>42</v>
      </c>
      <c r="G490">
        <v>0.1</v>
      </c>
      <c r="H490">
        <v>4536</v>
      </c>
      <c r="I490">
        <f>AVERAGEIFS(sales_Data[units_sold], sales_Data[product_id],sales_Data[[#This Row],[product_id]])</f>
        <v>30.473972602739725</v>
      </c>
      <c r="J490">
        <f>_xlfn.XLOOKUP(sales_Data[[#This Row],[product_id]],sales_Data[product_id],sales_Data[unit_price])</f>
        <v>120</v>
      </c>
    </row>
    <row r="491" spans="1:10" x14ac:dyDescent="0.3">
      <c r="A491" t="s">
        <v>507</v>
      </c>
      <c r="B491" s="1">
        <v>45755</v>
      </c>
      <c r="C491" t="s">
        <v>21</v>
      </c>
      <c r="D491" t="s">
        <v>22</v>
      </c>
      <c r="E491">
        <v>25</v>
      </c>
      <c r="F491">
        <v>26</v>
      </c>
      <c r="G491">
        <v>0.2</v>
      </c>
      <c r="H491">
        <v>520</v>
      </c>
      <c r="I491">
        <f>AVERAGEIFS(sales_Data[units_sold], sales_Data[product_id],sales_Data[[#This Row],[product_id]])</f>
        <v>29.463013698630139</v>
      </c>
      <c r="J491">
        <f>_xlfn.XLOOKUP(sales_Data[[#This Row],[product_id]],sales_Data[product_id],sales_Data[unit_price])</f>
        <v>25</v>
      </c>
    </row>
    <row r="492" spans="1:10" x14ac:dyDescent="0.3">
      <c r="A492" t="s">
        <v>508</v>
      </c>
      <c r="B492" s="1">
        <v>45756</v>
      </c>
      <c r="C492" t="s">
        <v>9</v>
      </c>
      <c r="D492" t="s">
        <v>10</v>
      </c>
      <c r="E492">
        <v>45</v>
      </c>
      <c r="F492">
        <v>22</v>
      </c>
      <c r="G492">
        <v>0</v>
      </c>
      <c r="H492">
        <v>990</v>
      </c>
      <c r="I492">
        <f>AVERAGEIFS(sales_Data[units_sold], sales_Data[product_id],sales_Data[[#This Row],[product_id]])</f>
        <v>31.479452054794521</v>
      </c>
      <c r="J492">
        <f>_xlfn.XLOOKUP(sales_Data[[#This Row],[product_id]],sales_Data[product_id],sales_Data[unit_price])</f>
        <v>45</v>
      </c>
    </row>
    <row r="493" spans="1:10" x14ac:dyDescent="0.3">
      <c r="A493" t="s">
        <v>509</v>
      </c>
      <c r="B493" s="1">
        <v>45756</v>
      </c>
      <c r="C493" t="s">
        <v>12</v>
      </c>
      <c r="D493" t="s">
        <v>13</v>
      </c>
      <c r="E493">
        <v>12.5</v>
      </c>
      <c r="F493">
        <v>48</v>
      </c>
      <c r="G493">
        <v>0</v>
      </c>
      <c r="H493">
        <v>600</v>
      </c>
      <c r="I493">
        <f>AVERAGEIFS(sales_Data[units_sold], sales_Data[product_id],sales_Data[[#This Row],[product_id]])</f>
        <v>31.794520547945204</v>
      </c>
      <c r="J493">
        <f>_xlfn.XLOOKUP(sales_Data[[#This Row],[product_id]],sales_Data[product_id],sales_Data[unit_price])</f>
        <v>12.5</v>
      </c>
    </row>
    <row r="494" spans="1:10" x14ac:dyDescent="0.3">
      <c r="A494" t="s">
        <v>510</v>
      </c>
      <c r="B494" s="1">
        <v>45756</v>
      </c>
      <c r="C494" t="s">
        <v>15</v>
      </c>
      <c r="D494" t="s">
        <v>16</v>
      </c>
      <c r="E494">
        <v>35</v>
      </c>
      <c r="F494">
        <v>39</v>
      </c>
      <c r="G494">
        <v>0</v>
      </c>
      <c r="H494">
        <v>1365</v>
      </c>
      <c r="I494">
        <f>AVERAGEIFS(sales_Data[units_sold], sales_Data[product_id],sales_Data[[#This Row],[product_id]])</f>
        <v>30.438356164383563</v>
      </c>
      <c r="J494">
        <f>_xlfn.XLOOKUP(sales_Data[[#This Row],[product_id]],sales_Data[product_id],sales_Data[unit_price])</f>
        <v>35</v>
      </c>
    </row>
    <row r="495" spans="1:10" x14ac:dyDescent="0.3">
      <c r="A495" t="s">
        <v>511</v>
      </c>
      <c r="B495" s="1">
        <v>45756</v>
      </c>
      <c r="C495" t="s">
        <v>18</v>
      </c>
      <c r="D495" t="s">
        <v>19</v>
      </c>
      <c r="E495">
        <v>120</v>
      </c>
      <c r="F495">
        <v>25</v>
      </c>
      <c r="G495">
        <v>0.1</v>
      </c>
      <c r="H495">
        <v>2700</v>
      </c>
      <c r="I495">
        <f>AVERAGEIFS(sales_Data[units_sold], sales_Data[product_id],sales_Data[[#This Row],[product_id]])</f>
        <v>30.473972602739725</v>
      </c>
      <c r="J495">
        <f>_xlfn.XLOOKUP(sales_Data[[#This Row],[product_id]],sales_Data[product_id],sales_Data[unit_price])</f>
        <v>120</v>
      </c>
    </row>
    <row r="496" spans="1:10" x14ac:dyDescent="0.3">
      <c r="A496" t="s">
        <v>512</v>
      </c>
      <c r="B496" s="1">
        <v>45756</v>
      </c>
      <c r="C496" t="s">
        <v>21</v>
      </c>
      <c r="D496" t="s">
        <v>22</v>
      </c>
      <c r="E496">
        <v>25</v>
      </c>
      <c r="F496">
        <v>12</v>
      </c>
      <c r="G496">
        <v>0</v>
      </c>
      <c r="H496">
        <v>300</v>
      </c>
      <c r="I496">
        <f>AVERAGEIFS(sales_Data[units_sold], sales_Data[product_id],sales_Data[[#This Row],[product_id]])</f>
        <v>29.463013698630139</v>
      </c>
      <c r="J496">
        <f>_xlfn.XLOOKUP(sales_Data[[#This Row],[product_id]],sales_Data[product_id],sales_Data[unit_price])</f>
        <v>25</v>
      </c>
    </row>
    <row r="497" spans="1:10" x14ac:dyDescent="0.3">
      <c r="A497" t="s">
        <v>513</v>
      </c>
      <c r="B497" s="1">
        <v>45757</v>
      </c>
      <c r="C497" t="s">
        <v>9</v>
      </c>
      <c r="D497" t="s">
        <v>10</v>
      </c>
      <c r="E497">
        <v>45</v>
      </c>
      <c r="F497">
        <v>43</v>
      </c>
      <c r="G497">
        <v>0.1</v>
      </c>
      <c r="H497">
        <v>1741.5</v>
      </c>
      <c r="I497">
        <f>AVERAGEIFS(sales_Data[units_sold], sales_Data[product_id],sales_Data[[#This Row],[product_id]])</f>
        <v>31.479452054794521</v>
      </c>
      <c r="J497">
        <f>_xlfn.XLOOKUP(sales_Data[[#This Row],[product_id]],sales_Data[product_id],sales_Data[unit_price])</f>
        <v>45</v>
      </c>
    </row>
    <row r="498" spans="1:10" x14ac:dyDescent="0.3">
      <c r="A498" t="s">
        <v>514</v>
      </c>
      <c r="B498" s="1">
        <v>45757</v>
      </c>
      <c r="C498" t="s">
        <v>12</v>
      </c>
      <c r="D498" t="s">
        <v>13</v>
      </c>
      <c r="E498">
        <v>12.5</v>
      </c>
      <c r="F498">
        <v>44</v>
      </c>
      <c r="G498">
        <v>0</v>
      </c>
      <c r="H498">
        <v>550</v>
      </c>
      <c r="I498">
        <f>AVERAGEIFS(sales_Data[units_sold], sales_Data[product_id],sales_Data[[#This Row],[product_id]])</f>
        <v>31.794520547945204</v>
      </c>
      <c r="J498">
        <f>_xlfn.XLOOKUP(sales_Data[[#This Row],[product_id]],sales_Data[product_id],sales_Data[unit_price])</f>
        <v>12.5</v>
      </c>
    </row>
    <row r="499" spans="1:10" x14ac:dyDescent="0.3">
      <c r="A499" t="s">
        <v>515</v>
      </c>
      <c r="B499" s="1">
        <v>45757</v>
      </c>
      <c r="C499" t="s">
        <v>15</v>
      </c>
      <c r="D499" t="s">
        <v>16</v>
      </c>
      <c r="E499">
        <v>35</v>
      </c>
      <c r="F499">
        <v>30</v>
      </c>
      <c r="G499">
        <v>0.2</v>
      </c>
      <c r="H499">
        <v>840</v>
      </c>
      <c r="I499">
        <f>AVERAGEIFS(sales_Data[units_sold], sales_Data[product_id],sales_Data[[#This Row],[product_id]])</f>
        <v>30.438356164383563</v>
      </c>
      <c r="J499">
        <f>_xlfn.XLOOKUP(sales_Data[[#This Row],[product_id]],sales_Data[product_id],sales_Data[unit_price])</f>
        <v>35</v>
      </c>
    </row>
    <row r="500" spans="1:10" x14ac:dyDescent="0.3">
      <c r="A500" t="s">
        <v>516</v>
      </c>
      <c r="B500" s="1">
        <v>45757</v>
      </c>
      <c r="C500" t="s">
        <v>18</v>
      </c>
      <c r="D500" t="s">
        <v>19</v>
      </c>
      <c r="E500">
        <v>120</v>
      </c>
      <c r="F500">
        <v>25</v>
      </c>
      <c r="G500">
        <v>0.2</v>
      </c>
      <c r="H500">
        <v>2400</v>
      </c>
      <c r="I500">
        <f>AVERAGEIFS(sales_Data[units_sold], sales_Data[product_id],sales_Data[[#This Row],[product_id]])</f>
        <v>30.473972602739725</v>
      </c>
      <c r="J500">
        <f>_xlfn.XLOOKUP(sales_Data[[#This Row],[product_id]],sales_Data[product_id],sales_Data[unit_price])</f>
        <v>120</v>
      </c>
    </row>
    <row r="501" spans="1:10" x14ac:dyDescent="0.3">
      <c r="A501" t="s">
        <v>517</v>
      </c>
      <c r="B501" s="1">
        <v>45757</v>
      </c>
      <c r="C501" t="s">
        <v>21</v>
      </c>
      <c r="D501" t="s">
        <v>22</v>
      </c>
      <c r="E501">
        <v>25</v>
      </c>
      <c r="F501">
        <v>19</v>
      </c>
      <c r="G501">
        <v>0.1</v>
      </c>
      <c r="H501">
        <v>427.5</v>
      </c>
      <c r="I501">
        <f>AVERAGEIFS(sales_Data[units_sold], sales_Data[product_id],sales_Data[[#This Row],[product_id]])</f>
        <v>29.463013698630139</v>
      </c>
      <c r="J501">
        <f>_xlfn.XLOOKUP(sales_Data[[#This Row],[product_id]],sales_Data[product_id],sales_Data[unit_price])</f>
        <v>25</v>
      </c>
    </row>
    <row r="502" spans="1:10" x14ac:dyDescent="0.3">
      <c r="A502" t="s">
        <v>518</v>
      </c>
      <c r="B502" s="1">
        <v>45758</v>
      </c>
      <c r="C502" t="s">
        <v>9</v>
      </c>
      <c r="D502" t="s">
        <v>10</v>
      </c>
      <c r="E502">
        <v>45</v>
      </c>
      <c r="F502">
        <v>35</v>
      </c>
      <c r="G502">
        <v>0.1</v>
      </c>
      <c r="H502">
        <v>1417.5</v>
      </c>
      <c r="I502">
        <f>AVERAGEIFS(sales_Data[units_sold], sales_Data[product_id],sales_Data[[#This Row],[product_id]])</f>
        <v>31.479452054794521</v>
      </c>
      <c r="J502">
        <f>_xlfn.XLOOKUP(sales_Data[[#This Row],[product_id]],sales_Data[product_id],sales_Data[unit_price])</f>
        <v>45</v>
      </c>
    </row>
    <row r="503" spans="1:10" x14ac:dyDescent="0.3">
      <c r="A503" t="s">
        <v>519</v>
      </c>
      <c r="B503" s="1">
        <v>45758</v>
      </c>
      <c r="C503" t="s">
        <v>12</v>
      </c>
      <c r="D503" t="s">
        <v>13</v>
      </c>
      <c r="E503">
        <v>12.5</v>
      </c>
      <c r="F503">
        <v>32</v>
      </c>
      <c r="G503">
        <v>0.2</v>
      </c>
      <c r="H503">
        <v>320</v>
      </c>
      <c r="I503">
        <f>AVERAGEIFS(sales_Data[units_sold], sales_Data[product_id],sales_Data[[#This Row],[product_id]])</f>
        <v>31.794520547945204</v>
      </c>
      <c r="J503">
        <f>_xlfn.XLOOKUP(sales_Data[[#This Row],[product_id]],sales_Data[product_id],sales_Data[unit_price])</f>
        <v>12.5</v>
      </c>
    </row>
    <row r="504" spans="1:10" x14ac:dyDescent="0.3">
      <c r="A504" t="s">
        <v>520</v>
      </c>
      <c r="B504" s="1">
        <v>45758</v>
      </c>
      <c r="C504" t="s">
        <v>15</v>
      </c>
      <c r="D504" t="s">
        <v>16</v>
      </c>
      <c r="E504">
        <v>35</v>
      </c>
      <c r="F504">
        <v>41</v>
      </c>
      <c r="G504">
        <v>0</v>
      </c>
      <c r="H504">
        <v>1435</v>
      </c>
      <c r="I504">
        <f>AVERAGEIFS(sales_Data[units_sold], sales_Data[product_id],sales_Data[[#This Row],[product_id]])</f>
        <v>30.438356164383563</v>
      </c>
      <c r="J504">
        <f>_xlfn.XLOOKUP(sales_Data[[#This Row],[product_id]],sales_Data[product_id],sales_Data[unit_price])</f>
        <v>35</v>
      </c>
    </row>
    <row r="505" spans="1:10" x14ac:dyDescent="0.3">
      <c r="A505" t="s">
        <v>521</v>
      </c>
      <c r="B505" s="1">
        <v>45758</v>
      </c>
      <c r="C505" t="s">
        <v>18</v>
      </c>
      <c r="D505" t="s">
        <v>19</v>
      </c>
      <c r="E505">
        <v>120</v>
      </c>
      <c r="F505">
        <v>49</v>
      </c>
      <c r="G505">
        <v>0</v>
      </c>
      <c r="H505">
        <v>5880</v>
      </c>
      <c r="I505">
        <f>AVERAGEIFS(sales_Data[units_sold], sales_Data[product_id],sales_Data[[#This Row],[product_id]])</f>
        <v>30.473972602739725</v>
      </c>
      <c r="J505">
        <f>_xlfn.XLOOKUP(sales_Data[[#This Row],[product_id]],sales_Data[product_id],sales_Data[unit_price])</f>
        <v>120</v>
      </c>
    </row>
    <row r="506" spans="1:10" x14ac:dyDescent="0.3">
      <c r="A506" t="s">
        <v>522</v>
      </c>
      <c r="B506" s="1">
        <v>45758</v>
      </c>
      <c r="C506" t="s">
        <v>21</v>
      </c>
      <c r="D506" t="s">
        <v>22</v>
      </c>
      <c r="E506">
        <v>25</v>
      </c>
      <c r="F506">
        <v>25</v>
      </c>
      <c r="G506">
        <v>0</v>
      </c>
      <c r="H506">
        <v>625</v>
      </c>
      <c r="I506">
        <f>AVERAGEIFS(sales_Data[units_sold], sales_Data[product_id],sales_Data[[#This Row],[product_id]])</f>
        <v>29.463013698630139</v>
      </c>
      <c r="J506">
        <f>_xlfn.XLOOKUP(sales_Data[[#This Row],[product_id]],sales_Data[product_id],sales_Data[unit_price])</f>
        <v>25</v>
      </c>
    </row>
    <row r="507" spans="1:10" x14ac:dyDescent="0.3">
      <c r="A507" t="s">
        <v>523</v>
      </c>
      <c r="B507" s="1">
        <v>45759</v>
      </c>
      <c r="C507" t="s">
        <v>9</v>
      </c>
      <c r="D507" t="s">
        <v>10</v>
      </c>
      <c r="E507">
        <v>45</v>
      </c>
      <c r="F507">
        <v>15</v>
      </c>
      <c r="G507">
        <v>0.2</v>
      </c>
      <c r="H507">
        <v>540</v>
      </c>
      <c r="I507">
        <f>AVERAGEIFS(sales_Data[units_sold], sales_Data[product_id],sales_Data[[#This Row],[product_id]])</f>
        <v>31.479452054794521</v>
      </c>
      <c r="J507">
        <f>_xlfn.XLOOKUP(sales_Data[[#This Row],[product_id]],sales_Data[product_id],sales_Data[unit_price])</f>
        <v>45</v>
      </c>
    </row>
    <row r="508" spans="1:10" x14ac:dyDescent="0.3">
      <c r="A508" t="s">
        <v>524</v>
      </c>
      <c r="B508" s="1">
        <v>45759</v>
      </c>
      <c r="C508" t="s">
        <v>12</v>
      </c>
      <c r="D508" t="s">
        <v>13</v>
      </c>
      <c r="E508">
        <v>12.5</v>
      </c>
      <c r="F508">
        <v>24</v>
      </c>
      <c r="G508">
        <v>0</v>
      </c>
      <c r="H508">
        <v>300</v>
      </c>
      <c r="I508">
        <f>AVERAGEIFS(sales_Data[units_sold], sales_Data[product_id],sales_Data[[#This Row],[product_id]])</f>
        <v>31.794520547945204</v>
      </c>
      <c r="J508">
        <f>_xlfn.XLOOKUP(sales_Data[[#This Row],[product_id]],sales_Data[product_id],sales_Data[unit_price])</f>
        <v>12.5</v>
      </c>
    </row>
    <row r="509" spans="1:10" x14ac:dyDescent="0.3">
      <c r="A509" t="s">
        <v>525</v>
      </c>
      <c r="B509" s="1">
        <v>45759</v>
      </c>
      <c r="C509" t="s">
        <v>15</v>
      </c>
      <c r="D509" t="s">
        <v>16</v>
      </c>
      <c r="E509">
        <v>35</v>
      </c>
      <c r="F509">
        <v>10</v>
      </c>
      <c r="G509">
        <v>0</v>
      </c>
      <c r="H509">
        <v>350</v>
      </c>
      <c r="I509">
        <f>AVERAGEIFS(sales_Data[units_sold], sales_Data[product_id],sales_Data[[#This Row],[product_id]])</f>
        <v>30.438356164383563</v>
      </c>
      <c r="J509">
        <f>_xlfn.XLOOKUP(sales_Data[[#This Row],[product_id]],sales_Data[product_id],sales_Data[unit_price])</f>
        <v>35</v>
      </c>
    </row>
    <row r="510" spans="1:10" x14ac:dyDescent="0.3">
      <c r="A510" t="s">
        <v>526</v>
      </c>
      <c r="B510" s="1">
        <v>45759</v>
      </c>
      <c r="C510" t="s">
        <v>18</v>
      </c>
      <c r="D510" t="s">
        <v>19</v>
      </c>
      <c r="E510">
        <v>120</v>
      </c>
      <c r="F510">
        <v>31</v>
      </c>
      <c r="G510">
        <v>0.1</v>
      </c>
      <c r="H510">
        <v>3348</v>
      </c>
      <c r="I510">
        <f>AVERAGEIFS(sales_Data[units_sold], sales_Data[product_id],sales_Data[[#This Row],[product_id]])</f>
        <v>30.473972602739725</v>
      </c>
      <c r="J510">
        <f>_xlfn.XLOOKUP(sales_Data[[#This Row],[product_id]],sales_Data[product_id],sales_Data[unit_price])</f>
        <v>120</v>
      </c>
    </row>
    <row r="511" spans="1:10" x14ac:dyDescent="0.3">
      <c r="A511" t="s">
        <v>527</v>
      </c>
      <c r="B511" s="1">
        <v>45759</v>
      </c>
      <c r="C511" t="s">
        <v>21</v>
      </c>
      <c r="D511" t="s">
        <v>22</v>
      </c>
      <c r="E511">
        <v>25</v>
      </c>
      <c r="F511">
        <v>64</v>
      </c>
      <c r="G511">
        <v>0</v>
      </c>
      <c r="H511">
        <v>1600</v>
      </c>
      <c r="I511">
        <f>AVERAGEIFS(sales_Data[units_sold], sales_Data[product_id],sales_Data[[#This Row],[product_id]])</f>
        <v>29.463013698630139</v>
      </c>
      <c r="J511">
        <f>_xlfn.XLOOKUP(sales_Data[[#This Row],[product_id]],sales_Data[product_id],sales_Data[unit_price])</f>
        <v>25</v>
      </c>
    </row>
    <row r="512" spans="1:10" x14ac:dyDescent="0.3">
      <c r="A512" t="s">
        <v>528</v>
      </c>
      <c r="B512" s="1">
        <v>45760</v>
      </c>
      <c r="C512" t="s">
        <v>9</v>
      </c>
      <c r="D512" t="s">
        <v>10</v>
      </c>
      <c r="E512">
        <v>45</v>
      </c>
      <c r="F512">
        <v>46</v>
      </c>
      <c r="G512">
        <v>0</v>
      </c>
      <c r="H512">
        <v>2070</v>
      </c>
      <c r="I512">
        <f>AVERAGEIFS(sales_Data[units_sold], sales_Data[product_id],sales_Data[[#This Row],[product_id]])</f>
        <v>31.479452054794521</v>
      </c>
      <c r="J512">
        <f>_xlfn.XLOOKUP(sales_Data[[#This Row],[product_id]],sales_Data[product_id],sales_Data[unit_price])</f>
        <v>45</v>
      </c>
    </row>
    <row r="513" spans="1:10" x14ac:dyDescent="0.3">
      <c r="A513" t="s">
        <v>529</v>
      </c>
      <c r="B513" s="1">
        <v>45760</v>
      </c>
      <c r="C513" t="s">
        <v>12</v>
      </c>
      <c r="D513" t="s">
        <v>13</v>
      </c>
      <c r="E513">
        <v>12.5</v>
      </c>
      <c r="F513">
        <v>66</v>
      </c>
      <c r="G513">
        <v>0</v>
      </c>
      <c r="H513">
        <v>825</v>
      </c>
      <c r="I513">
        <f>AVERAGEIFS(sales_Data[units_sold], sales_Data[product_id],sales_Data[[#This Row],[product_id]])</f>
        <v>31.794520547945204</v>
      </c>
      <c r="J513">
        <f>_xlfn.XLOOKUP(sales_Data[[#This Row],[product_id]],sales_Data[product_id],sales_Data[unit_price])</f>
        <v>12.5</v>
      </c>
    </row>
    <row r="514" spans="1:10" x14ac:dyDescent="0.3">
      <c r="A514" t="s">
        <v>530</v>
      </c>
      <c r="B514" s="1">
        <v>45760</v>
      </c>
      <c r="C514" t="s">
        <v>15</v>
      </c>
      <c r="D514" t="s">
        <v>16</v>
      </c>
      <c r="E514">
        <v>35</v>
      </c>
      <c r="F514">
        <v>52</v>
      </c>
      <c r="G514">
        <v>0</v>
      </c>
      <c r="H514">
        <v>1820</v>
      </c>
      <c r="I514">
        <f>AVERAGEIFS(sales_Data[units_sold], sales_Data[product_id],sales_Data[[#This Row],[product_id]])</f>
        <v>30.438356164383563</v>
      </c>
      <c r="J514">
        <f>_xlfn.XLOOKUP(sales_Data[[#This Row],[product_id]],sales_Data[product_id],sales_Data[unit_price])</f>
        <v>35</v>
      </c>
    </row>
    <row r="515" spans="1:10" x14ac:dyDescent="0.3">
      <c r="A515" t="s">
        <v>531</v>
      </c>
      <c r="B515" s="1">
        <v>45760</v>
      </c>
      <c r="C515" t="s">
        <v>18</v>
      </c>
      <c r="D515" t="s">
        <v>19</v>
      </c>
      <c r="E515">
        <v>120</v>
      </c>
      <c r="F515">
        <v>45</v>
      </c>
      <c r="G515">
        <v>0</v>
      </c>
      <c r="H515">
        <v>5400</v>
      </c>
      <c r="I515">
        <f>AVERAGEIFS(sales_Data[units_sold], sales_Data[product_id],sales_Data[[#This Row],[product_id]])</f>
        <v>30.473972602739725</v>
      </c>
      <c r="J515">
        <f>_xlfn.XLOOKUP(sales_Data[[#This Row],[product_id]],sales_Data[product_id],sales_Data[unit_price])</f>
        <v>120</v>
      </c>
    </row>
    <row r="516" spans="1:10" x14ac:dyDescent="0.3">
      <c r="A516" t="s">
        <v>532</v>
      </c>
      <c r="B516" s="1">
        <v>45760</v>
      </c>
      <c r="C516" t="s">
        <v>21</v>
      </c>
      <c r="D516" t="s">
        <v>22</v>
      </c>
      <c r="E516">
        <v>25</v>
      </c>
      <c r="F516">
        <v>70</v>
      </c>
      <c r="G516">
        <v>0.1</v>
      </c>
      <c r="H516">
        <v>1575</v>
      </c>
      <c r="I516">
        <f>AVERAGEIFS(sales_Data[units_sold], sales_Data[product_id],sales_Data[[#This Row],[product_id]])</f>
        <v>29.463013698630139</v>
      </c>
      <c r="J516">
        <f>_xlfn.XLOOKUP(sales_Data[[#This Row],[product_id]],sales_Data[product_id],sales_Data[unit_price])</f>
        <v>25</v>
      </c>
    </row>
    <row r="517" spans="1:10" x14ac:dyDescent="0.3">
      <c r="A517" t="s">
        <v>533</v>
      </c>
      <c r="B517" s="1">
        <v>45761</v>
      </c>
      <c r="C517" t="s">
        <v>9</v>
      </c>
      <c r="D517" t="s">
        <v>10</v>
      </c>
      <c r="E517">
        <v>45</v>
      </c>
      <c r="F517">
        <v>21</v>
      </c>
      <c r="G517">
        <v>0.1</v>
      </c>
      <c r="H517">
        <v>850.5</v>
      </c>
      <c r="I517">
        <f>AVERAGEIFS(sales_Data[units_sold], sales_Data[product_id],sales_Data[[#This Row],[product_id]])</f>
        <v>31.479452054794521</v>
      </c>
      <c r="J517">
        <f>_xlfn.XLOOKUP(sales_Data[[#This Row],[product_id]],sales_Data[product_id],sales_Data[unit_price])</f>
        <v>45</v>
      </c>
    </row>
    <row r="518" spans="1:10" x14ac:dyDescent="0.3">
      <c r="A518" t="s">
        <v>534</v>
      </c>
      <c r="B518" s="1">
        <v>45761</v>
      </c>
      <c r="C518" t="s">
        <v>12</v>
      </c>
      <c r="D518" t="s">
        <v>13</v>
      </c>
      <c r="E518">
        <v>12.5</v>
      </c>
      <c r="F518">
        <v>15</v>
      </c>
      <c r="G518">
        <v>0.1</v>
      </c>
      <c r="H518">
        <v>168.75</v>
      </c>
      <c r="I518">
        <f>AVERAGEIFS(sales_Data[units_sold], sales_Data[product_id],sales_Data[[#This Row],[product_id]])</f>
        <v>31.794520547945204</v>
      </c>
      <c r="J518">
        <f>_xlfn.XLOOKUP(sales_Data[[#This Row],[product_id]],sales_Data[product_id],sales_Data[unit_price])</f>
        <v>12.5</v>
      </c>
    </row>
    <row r="519" spans="1:10" x14ac:dyDescent="0.3">
      <c r="A519" t="s">
        <v>535</v>
      </c>
      <c r="B519" s="1">
        <v>45761</v>
      </c>
      <c r="C519" t="s">
        <v>15</v>
      </c>
      <c r="D519" t="s">
        <v>16</v>
      </c>
      <c r="E519">
        <v>35</v>
      </c>
      <c r="F519">
        <v>12</v>
      </c>
      <c r="G519">
        <v>0</v>
      </c>
      <c r="H519">
        <v>420</v>
      </c>
      <c r="I519">
        <f>AVERAGEIFS(sales_Data[units_sold], sales_Data[product_id],sales_Data[[#This Row],[product_id]])</f>
        <v>30.438356164383563</v>
      </c>
      <c r="J519">
        <f>_xlfn.XLOOKUP(sales_Data[[#This Row],[product_id]],sales_Data[product_id],sales_Data[unit_price])</f>
        <v>35</v>
      </c>
    </row>
    <row r="520" spans="1:10" x14ac:dyDescent="0.3">
      <c r="A520" t="s">
        <v>536</v>
      </c>
      <c r="B520" s="1">
        <v>45761</v>
      </c>
      <c r="C520" t="s">
        <v>18</v>
      </c>
      <c r="D520" t="s">
        <v>19</v>
      </c>
      <c r="E520">
        <v>120</v>
      </c>
      <c r="F520">
        <v>13</v>
      </c>
      <c r="G520">
        <v>0</v>
      </c>
      <c r="H520">
        <v>1560</v>
      </c>
      <c r="I520">
        <f>AVERAGEIFS(sales_Data[units_sold], sales_Data[product_id],sales_Data[[#This Row],[product_id]])</f>
        <v>30.473972602739725</v>
      </c>
      <c r="J520">
        <f>_xlfn.XLOOKUP(sales_Data[[#This Row],[product_id]],sales_Data[product_id],sales_Data[unit_price])</f>
        <v>120</v>
      </c>
    </row>
    <row r="521" spans="1:10" x14ac:dyDescent="0.3">
      <c r="A521" t="s">
        <v>537</v>
      </c>
      <c r="B521" s="1">
        <v>45761</v>
      </c>
      <c r="C521" t="s">
        <v>21</v>
      </c>
      <c r="D521" t="s">
        <v>22</v>
      </c>
      <c r="E521">
        <v>25</v>
      </c>
      <c r="F521">
        <v>35</v>
      </c>
      <c r="G521">
        <v>0</v>
      </c>
      <c r="H521">
        <v>875</v>
      </c>
      <c r="I521">
        <f>AVERAGEIFS(sales_Data[units_sold], sales_Data[product_id],sales_Data[[#This Row],[product_id]])</f>
        <v>29.463013698630139</v>
      </c>
      <c r="J521">
        <f>_xlfn.XLOOKUP(sales_Data[[#This Row],[product_id]],sales_Data[product_id],sales_Data[unit_price])</f>
        <v>25</v>
      </c>
    </row>
    <row r="522" spans="1:10" x14ac:dyDescent="0.3">
      <c r="A522" t="s">
        <v>538</v>
      </c>
      <c r="B522" s="1">
        <v>45762</v>
      </c>
      <c r="C522" t="s">
        <v>9</v>
      </c>
      <c r="D522" t="s">
        <v>10</v>
      </c>
      <c r="E522">
        <v>45</v>
      </c>
      <c r="F522">
        <v>27</v>
      </c>
      <c r="G522">
        <v>0</v>
      </c>
      <c r="H522">
        <v>1215</v>
      </c>
      <c r="I522">
        <f>AVERAGEIFS(sales_Data[units_sold], sales_Data[product_id],sales_Data[[#This Row],[product_id]])</f>
        <v>31.479452054794521</v>
      </c>
      <c r="J522">
        <f>_xlfn.XLOOKUP(sales_Data[[#This Row],[product_id]],sales_Data[product_id],sales_Data[unit_price])</f>
        <v>45</v>
      </c>
    </row>
    <row r="523" spans="1:10" x14ac:dyDescent="0.3">
      <c r="A523" t="s">
        <v>539</v>
      </c>
      <c r="B523" s="1">
        <v>45762</v>
      </c>
      <c r="C523" t="s">
        <v>12</v>
      </c>
      <c r="D523" t="s">
        <v>13</v>
      </c>
      <c r="E523">
        <v>12.5</v>
      </c>
      <c r="F523">
        <v>43</v>
      </c>
      <c r="G523">
        <v>0</v>
      </c>
      <c r="H523">
        <v>537.5</v>
      </c>
      <c r="I523">
        <f>AVERAGEIFS(sales_Data[units_sold], sales_Data[product_id],sales_Data[[#This Row],[product_id]])</f>
        <v>31.794520547945204</v>
      </c>
      <c r="J523">
        <f>_xlfn.XLOOKUP(sales_Data[[#This Row],[product_id]],sales_Data[product_id],sales_Data[unit_price])</f>
        <v>12.5</v>
      </c>
    </row>
    <row r="524" spans="1:10" x14ac:dyDescent="0.3">
      <c r="A524" t="s">
        <v>540</v>
      </c>
      <c r="B524" s="1">
        <v>45762</v>
      </c>
      <c r="C524" t="s">
        <v>15</v>
      </c>
      <c r="D524" t="s">
        <v>16</v>
      </c>
      <c r="E524">
        <v>35</v>
      </c>
      <c r="F524">
        <v>6</v>
      </c>
      <c r="G524">
        <v>0</v>
      </c>
      <c r="H524">
        <v>210</v>
      </c>
      <c r="I524">
        <f>AVERAGEIFS(sales_Data[units_sold], sales_Data[product_id],sales_Data[[#This Row],[product_id]])</f>
        <v>30.438356164383563</v>
      </c>
      <c r="J524">
        <f>_xlfn.XLOOKUP(sales_Data[[#This Row],[product_id]],sales_Data[product_id],sales_Data[unit_price])</f>
        <v>35</v>
      </c>
    </row>
    <row r="525" spans="1:10" x14ac:dyDescent="0.3">
      <c r="A525" t="s">
        <v>541</v>
      </c>
      <c r="B525" s="1">
        <v>45762</v>
      </c>
      <c r="C525" t="s">
        <v>18</v>
      </c>
      <c r="D525" t="s">
        <v>19</v>
      </c>
      <c r="E525">
        <v>120</v>
      </c>
      <c r="F525">
        <v>13</v>
      </c>
      <c r="G525">
        <v>0</v>
      </c>
      <c r="H525">
        <v>1560</v>
      </c>
      <c r="I525">
        <f>AVERAGEIFS(sales_Data[units_sold], sales_Data[product_id],sales_Data[[#This Row],[product_id]])</f>
        <v>30.473972602739725</v>
      </c>
      <c r="J525">
        <f>_xlfn.XLOOKUP(sales_Data[[#This Row],[product_id]],sales_Data[product_id],sales_Data[unit_price])</f>
        <v>120</v>
      </c>
    </row>
    <row r="526" spans="1:10" x14ac:dyDescent="0.3">
      <c r="A526" t="s">
        <v>542</v>
      </c>
      <c r="B526" s="1">
        <v>45762</v>
      </c>
      <c r="C526" t="s">
        <v>21</v>
      </c>
      <c r="D526" t="s">
        <v>22</v>
      </c>
      <c r="E526">
        <v>25</v>
      </c>
      <c r="F526">
        <v>27</v>
      </c>
      <c r="G526">
        <v>0</v>
      </c>
      <c r="H526">
        <v>675</v>
      </c>
      <c r="I526">
        <f>AVERAGEIFS(sales_Data[units_sold], sales_Data[product_id],sales_Data[[#This Row],[product_id]])</f>
        <v>29.463013698630139</v>
      </c>
      <c r="J526">
        <f>_xlfn.XLOOKUP(sales_Data[[#This Row],[product_id]],sales_Data[product_id],sales_Data[unit_price])</f>
        <v>25</v>
      </c>
    </row>
    <row r="527" spans="1:10" x14ac:dyDescent="0.3">
      <c r="A527" t="s">
        <v>543</v>
      </c>
      <c r="B527" s="1">
        <v>45763</v>
      </c>
      <c r="C527" t="s">
        <v>9</v>
      </c>
      <c r="D527" t="s">
        <v>10</v>
      </c>
      <c r="E527">
        <v>45</v>
      </c>
      <c r="F527">
        <v>39</v>
      </c>
      <c r="G527">
        <v>0</v>
      </c>
      <c r="H527">
        <v>1755</v>
      </c>
      <c r="I527">
        <f>AVERAGEIFS(sales_Data[units_sold], sales_Data[product_id],sales_Data[[#This Row],[product_id]])</f>
        <v>31.479452054794521</v>
      </c>
      <c r="J527">
        <f>_xlfn.XLOOKUP(sales_Data[[#This Row],[product_id]],sales_Data[product_id],sales_Data[unit_price])</f>
        <v>45</v>
      </c>
    </row>
    <row r="528" spans="1:10" x14ac:dyDescent="0.3">
      <c r="A528" t="s">
        <v>544</v>
      </c>
      <c r="B528" s="1">
        <v>45763</v>
      </c>
      <c r="C528" t="s">
        <v>12</v>
      </c>
      <c r="D528" t="s">
        <v>13</v>
      </c>
      <c r="E528">
        <v>12.5</v>
      </c>
      <c r="F528">
        <v>47</v>
      </c>
      <c r="G528">
        <v>0</v>
      </c>
      <c r="H528">
        <v>587.5</v>
      </c>
      <c r="I528">
        <f>AVERAGEIFS(sales_Data[units_sold], sales_Data[product_id],sales_Data[[#This Row],[product_id]])</f>
        <v>31.794520547945204</v>
      </c>
      <c r="J528">
        <f>_xlfn.XLOOKUP(sales_Data[[#This Row],[product_id]],sales_Data[product_id],sales_Data[unit_price])</f>
        <v>12.5</v>
      </c>
    </row>
    <row r="529" spans="1:10" x14ac:dyDescent="0.3">
      <c r="A529" t="s">
        <v>545</v>
      </c>
      <c r="B529" s="1">
        <v>45763</v>
      </c>
      <c r="C529" t="s">
        <v>15</v>
      </c>
      <c r="D529" t="s">
        <v>16</v>
      </c>
      <c r="E529">
        <v>35</v>
      </c>
      <c r="F529">
        <v>32</v>
      </c>
      <c r="G529">
        <v>0</v>
      </c>
      <c r="H529">
        <v>1120</v>
      </c>
      <c r="I529">
        <f>AVERAGEIFS(sales_Data[units_sold], sales_Data[product_id],sales_Data[[#This Row],[product_id]])</f>
        <v>30.438356164383563</v>
      </c>
      <c r="J529">
        <f>_xlfn.XLOOKUP(sales_Data[[#This Row],[product_id]],sales_Data[product_id],sales_Data[unit_price])</f>
        <v>35</v>
      </c>
    </row>
    <row r="530" spans="1:10" x14ac:dyDescent="0.3">
      <c r="A530" t="s">
        <v>546</v>
      </c>
      <c r="B530" s="1">
        <v>45763</v>
      </c>
      <c r="C530" t="s">
        <v>18</v>
      </c>
      <c r="D530" t="s">
        <v>19</v>
      </c>
      <c r="E530">
        <v>120</v>
      </c>
      <c r="F530">
        <v>33</v>
      </c>
      <c r="G530">
        <v>0</v>
      </c>
      <c r="H530">
        <v>3960</v>
      </c>
      <c r="I530">
        <f>AVERAGEIFS(sales_Data[units_sold], sales_Data[product_id],sales_Data[[#This Row],[product_id]])</f>
        <v>30.473972602739725</v>
      </c>
      <c r="J530">
        <f>_xlfn.XLOOKUP(sales_Data[[#This Row],[product_id]],sales_Data[product_id],sales_Data[unit_price])</f>
        <v>120</v>
      </c>
    </row>
    <row r="531" spans="1:10" x14ac:dyDescent="0.3">
      <c r="A531" t="s">
        <v>547</v>
      </c>
      <c r="B531" s="1">
        <v>45763</v>
      </c>
      <c r="C531" t="s">
        <v>21</v>
      </c>
      <c r="D531" t="s">
        <v>22</v>
      </c>
      <c r="E531">
        <v>25</v>
      </c>
      <c r="F531">
        <v>46</v>
      </c>
      <c r="G531">
        <v>0</v>
      </c>
      <c r="H531">
        <v>1150</v>
      </c>
      <c r="I531">
        <f>AVERAGEIFS(sales_Data[units_sold], sales_Data[product_id],sales_Data[[#This Row],[product_id]])</f>
        <v>29.463013698630139</v>
      </c>
      <c r="J531">
        <f>_xlfn.XLOOKUP(sales_Data[[#This Row],[product_id]],sales_Data[product_id],sales_Data[unit_price])</f>
        <v>25</v>
      </c>
    </row>
    <row r="532" spans="1:10" x14ac:dyDescent="0.3">
      <c r="A532" t="s">
        <v>548</v>
      </c>
      <c r="B532" s="1">
        <v>45764</v>
      </c>
      <c r="C532" t="s">
        <v>9</v>
      </c>
      <c r="D532" t="s">
        <v>10</v>
      </c>
      <c r="E532">
        <v>45</v>
      </c>
      <c r="F532">
        <v>19</v>
      </c>
      <c r="G532">
        <v>0.1</v>
      </c>
      <c r="H532">
        <v>769.5</v>
      </c>
      <c r="I532">
        <f>AVERAGEIFS(sales_Data[units_sold], sales_Data[product_id],sales_Data[[#This Row],[product_id]])</f>
        <v>31.479452054794521</v>
      </c>
      <c r="J532">
        <f>_xlfn.XLOOKUP(sales_Data[[#This Row],[product_id]],sales_Data[product_id],sales_Data[unit_price])</f>
        <v>45</v>
      </c>
    </row>
    <row r="533" spans="1:10" x14ac:dyDescent="0.3">
      <c r="A533" t="s">
        <v>549</v>
      </c>
      <c r="B533" s="1">
        <v>45764</v>
      </c>
      <c r="C533" t="s">
        <v>12</v>
      </c>
      <c r="D533" t="s">
        <v>13</v>
      </c>
      <c r="E533">
        <v>12.5</v>
      </c>
      <c r="F533">
        <v>49</v>
      </c>
      <c r="G533">
        <v>0.1</v>
      </c>
      <c r="H533">
        <v>551.25</v>
      </c>
      <c r="I533">
        <f>AVERAGEIFS(sales_Data[units_sold], sales_Data[product_id],sales_Data[[#This Row],[product_id]])</f>
        <v>31.794520547945204</v>
      </c>
      <c r="J533">
        <f>_xlfn.XLOOKUP(sales_Data[[#This Row],[product_id]],sales_Data[product_id],sales_Data[unit_price])</f>
        <v>12.5</v>
      </c>
    </row>
    <row r="534" spans="1:10" x14ac:dyDescent="0.3">
      <c r="A534" t="s">
        <v>550</v>
      </c>
      <c r="B534" s="1">
        <v>45764</v>
      </c>
      <c r="C534" t="s">
        <v>15</v>
      </c>
      <c r="D534" t="s">
        <v>16</v>
      </c>
      <c r="E534">
        <v>35</v>
      </c>
      <c r="F534">
        <v>5</v>
      </c>
      <c r="G534">
        <v>0</v>
      </c>
      <c r="H534">
        <v>175</v>
      </c>
      <c r="I534">
        <f>AVERAGEIFS(sales_Data[units_sold], sales_Data[product_id],sales_Data[[#This Row],[product_id]])</f>
        <v>30.438356164383563</v>
      </c>
      <c r="J534">
        <f>_xlfn.XLOOKUP(sales_Data[[#This Row],[product_id]],sales_Data[product_id],sales_Data[unit_price])</f>
        <v>35</v>
      </c>
    </row>
    <row r="535" spans="1:10" x14ac:dyDescent="0.3">
      <c r="A535" t="s">
        <v>551</v>
      </c>
      <c r="B535" s="1">
        <v>45764</v>
      </c>
      <c r="C535" t="s">
        <v>18</v>
      </c>
      <c r="D535" t="s">
        <v>19</v>
      </c>
      <c r="E535">
        <v>120</v>
      </c>
      <c r="F535">
        <v>49</v>
      </c>
      <c r="G535">
        <v>0</v>
      </c>
      <c r="H535">
        <v>5880</v>
      </c>
      <c r="I535">
        <f>AVERAGEIFS(sales_Data[units_sold], sales_Data[product_id],sales_Data[[#This Row],[product_id]])</f>
        <v>30.473972602739725</v>
      </c>
      <c r="J535">
        <f>_xlfn.XLOOKUP(sales_Data[[#This Row],[product_id]],sales_Data[product_id],sales_Data[unit_price])</f>
        <v>120</v>
      </c>
    </row>
    <row r="536" spans="1:10" x14ac:dyDescent="0.3">
      <c r="A536" t="s">
        <v>552</v>
      </c>
      <c r="B536" s="1">
        <v>45764</v>
      </c>
      <c r="C536" t="s">
        <v>21</v>
      </c>
      <c r="D536" t="s">
        <v>22</v>
      </c>
      <c r="E536">
        <v>25</v>
      </c>
      <c r="F536">
        <v>31</v>
      </c>
      <c r="G536">
        <v>0.1</v>
      </c>
      <c r="H536">
        <v>697.5</v>
      </c>
      <c r="I536">
        <f>AVERAGEIFS(sales_Data[units_sold], sales_Data[product_id],sales_Data[[#This Row],[product_id]])</f>
        <v>29.463013698630139</v>
      </c>
      <c r="J536">
        <f>_xlfn.XLOOKUP(sales_Data[[#This Row],[product_id]],sales_Data[product_id],sales_Data[unit_price])</f>
        <v>25</v>
      </c>
    </row>
    <row r="537" spans="1:10" x14ac:dyDescent="0.3">
      <c r="A537" t="s">
        <v>553</v>
      </c>
      <c r="B537" s="1">
        <v>45765</v>
      </c>
      <c r="C537" t="s">
        <v>9</v>
      </c>
      <c r="D537" t="s">
        <v>10</v>
      </c>
      <c r="E537">
        <v>45</v>
      </c>
      <c r="F537">
        <v>32</v>
      </c>
      <c r="G537">
        <v>0</v>
      </c>
      <c r="H537">
        <v>1440</v>
      </c>
      <c r="I537">
        <f>AVERAGEIFS(sales_Data[units_sold], sales_Data[product_id],sales_Data[[#This Row],[product_id]])</f>
        <v>31.479452054794521</v>
      </c>
      <c r="J537">
        <f>_xlfn.XLOOKUP(sales_Data[[#This Row],[product_id]],sales_Data[product_id],sales_Data[unit_price])</f>
        <v>45</v>
      </c>
    </row>
    <row r="538" spans="1:10" x14ac:dyDescent="0.3">
      <c r="A538" t="s">
        <v>554</v>
      </c>
      <c r="B538" s="1">
        <v>45765</v>
      </c>
      <c r="C538" t="s">
        <v>12</v>
      </c>
      <c r="D538" t="s">
        <v>13</v>
      </c>
      <c r="E538">
        <v>12.5</v>
      </c>
      <c r="F538">
        <v>36</v>
      </c>
      <c r="G538">
        <v>0</v>
      </c>
      <c r="H538">
        <v>450</v>
      </c>
      <c r="I538">
        <f>AVERAGEIFS(sales_Data[units_sold], sales_Data[product_id],sales_Data[[#This Row],[product_id]])</f>
        <v>31.794520547945204</v>
      </c>
      <c r="J538">
        <f>_xlfn.XLOOKUP(sales_Data[[#This Row],[product_id]],sales_Data[product_id],sales_Data[unit_price])</f>
        <v>12.5</v>
      </c>
    </row>
    <row r="539" spans="1:10" x14ac:dyDescent="0.3">
      <c r="A539" t="s">
        <v>555</v>
      </c>
      <c r="B539" s="1">
        <v>45765</v>
      </c>
      <c r="C539" t="s">
        <v>15</v>
      </c>
      <c r="D539" t="s">
        <v>16</v>
      </c>
      <c r="E539">
        <v>35</v>
      </c>
      <c r="F539">
        <v>27</v>
      </c>
      <c r="G539">
        <v>0.2</v>
      </c>
      <c r="H539">
        <v>756</v>
      </c>
      <c r="I539">
        <f>AVERAGEIFS(sales_Data[units_sold], sales_Data[product_id],sales_Data[[#This Row],[product_id]])</f>
        <v>30.438356164383563</v>
      </c>
      <c r="J539">
        <f>_xlfn.XLOOKUP(sales_Data[[#This Row],[product_id]],sales_Data[product_id],sales_Data[unit_price])</f>
        <v>35</v>
      </c>
    </row>
    <row r="540" spans="1:10" x14ac:dyDescent="0.3">
      <c r="A540" t="s">
        <v>556</v>
      </c>
      <c r="B540" s="1">
        <v>45765</v>
      </c>
      <c r="C540" t="s">
        <v>18</v>
      </c>
      <c r="D540" t="s">
        <v>19</v>
      </c>
      <c r="E540">
        <v>120</v>
      </c>
      <c r="F540">
        <v>29</v>
      </c>
      <c r="G540">
        <v>0</v>
      </c>
      <c r="H540">
        <v>3480</v>
      </c>
      <c r="I540">
        <f>AVERAGEIFS(sales_Data[units_sold], sales_Data[product_id],sales_Data[[#This Row],[product_id]])</f>
        <v>30.473972602739725</v>
      </c>
      <c r="J540">
        <f>_xlfn.XLOOKUP(sales_Data[[#This Row],[product_id]],sales_Data[product_id],sales_Data[unit_price])</f>
        <v>120</v>
      </c>
    </row>
    <row r="541" spans="1:10" x14ac:dyDescent="0.3">
      <c r="A541" t="s">
        <v>557</v>
      </c>
      <c r="B541" s="1">
        <v>45765</v>
      </c>
      <c r="C541" t="s">
        <v>21</v>
      </c>
      <c r="D541" t="s">
        <v>22</v>
      </c>
      <c r="E541">
        <v>25</v>
      </c>
      <c r="F541">
        <v>28</v>
      </c>
      <c r="G541">
        <v>0</v>
      </c>
      <c r="H541">
        <v>700</v>
      </c>
      <c r="I541">
        <f>AVERAGEIFS(sales_Data[units_sold], sales_Data[product_id],sales_Data[[#This Row],[product_id]])</f>
        <v>29.463013698630139</v>
      </c>
      <c r="J541">
        <f>_xlfn.XLOOKUP(sales_Data[[#This Row],[product_id]],sales_Data[product_id],sales_Data[unit_price])</f>
        <v>25</v>
      </c>
    </row>
    <row r="542" spans="1:10" x14ac:dyDescent="0.3">
      <c r="A542" t="s">
        <v>558</v>
      </c>
      <c r="B542" s="1">
        <v>45766</v>
      </c>
      <c r="C542" t="s">
        <v>9</v>
      </c>
      <c r="D542" t="s">
        <v>10</v>
      </c>
      <c r="E542">
        <v>45</v>
      </c>
      <c r="F542">
        <v>45</v>
      </c>
      <c r="G542">
        <v>0</v>
      </c>
      <c r="H542">
        <v>2025</v>
      </c>
      <c r="I542">
        <f>AVERAGEIFS(sales_Data[units_sold], sales_Data[product_id],sales_Data[[#This Row],[product_id]])</f>
        <v>31.479452054794521</v>
      </c>
      <c r="J542">
        <f>_xlfn.XLOOKUP(sales_Data[[#This Row],[product_id]],sales_Data[product_id],sales_Data[unit_price])</f>
        <v>45</v>
      </c>
    </row>
    <row r="543" spans="1:10" x14ac:dyDescent="0.3">
      <c r="A543" t="s">
        <v>559</v>
      </c>
      <c r="B543" s="1">
        <v>45766</v>
      </c>
      <c r="C543" t="s">
        <v>12</v>
      </c>
      <c r="D543" t="s">
        <v>13</v>
      </c>
      <c r="E543">
        <v>12.5</v>
      </c>
      <c r="F543">
        <v>36</v>
      </c>
      <c r="G543">
        <v>0</v>
      </c>
      <c r="H543">
        <v>450</v>
      </c>
      <c r="I543">
        <f>AVERAGEIFS(sales_Data[units_sold], sales_Data[product_id],sales_Data[[#This Row],[product_id]])</f>
        <v>31.794520547945204</v>
      </c>
      <c r="J543">
        <f>_xlfn.XLOOKUP(sales_Data[[#This Row],[product_id]],sales_Data[product_id],sales_Data[unit_price])</f>
        <v>12.5</v>
      </c>
    </row>
    <row r="544" spans="1:10" x14ac:dyDescent="0.3">
      <c r="A544" t="s">
        <v>560</v>
      </c>
      <c r="B544" s="1">
        <v>45766</v>
      </c>
      <c r="C544" t="s">
        <v>15</v>
      </c>
      <c r="D544" t="s">
        <v>16</v>
      </c>
      <c r="E544">
        <v>35</v>
      </c>
      <c r="F544">
        <v>9</v>
      </c>
      <c r="G544">
        <v>0.1</v>
      </c>
      <c r="H544">
        <v>283.5</v>
      </c>
      <c r="I544">
        <f>AVERAGEIFS(sales_Data[units_sold], sales_Data[product_id],sales_Data[[#This Row],[product_id]])</f>
        <v>30.438356164383563</v>
      </c>
      <c r="J544">
        <f>_xlfn.XLOOKUP(sales_Data[[#This Row],[product_id]],sales_Data[product_id],sales_Data[unit_price])</f>
        <v>35</v>
      </c>
    </row>
    <row r="545" spans="1:10" x14ac:dyDescent="0.3">
      <c r="A545" t="s">
        <v>561</v>
      </c>
      <c r="B545" s="1">
        <v>45766</v>
      </c>
      <c r="C545" t="s">
        <v>18</v>
      </c>
      <c r="D545" t="s">
        <v>19</v>
      </c>
      <c r="E545">
        <v>120</v>
      </c>
      <c r="F545">
        <v>31</v>
      </c>
      <c r="G545">
        <v>0</v>
      </c>
      <c r="H545">
        <v>3720</v>
      </c>
      <c r="I545">
        <f>AVERAGEIFS(sales_Data[units_sold], sales_Data[product_id],sales_Data[[#This Row],[product_id]])</f>
        <v>30.473972602739725</v>
      </c>
      <c r="J545">
        <f>_xlfn.XLOOKUP(sales_Data[[#This Row],[product_id]],sales_Data[product_id],sales_Data[unit_price])</f>
        <v>120</v>
      </c>
    </row>
    <row r="546" spans="1:10" x14ac:dyDescent="0.3">
      <c r="A546" t="s">
        <v>562</v>
      </c>
      <c r="B546" s="1">
        <v>45766</v>
      </c>
      <c r="C546" t="s">
        <v>21</v>
      </c>
      <c r="D546" t="s">
        <v>22</v>
      </c>
      <c r="E546">
        <v>25</v>
      </c>
      <c r="F546">
        <v>67</v>
      </c>
      <c r="G546">
        <v>0</v>
      </c>
      <c r="H546">
        <v>1675</v>
      </c>
      <c r="I546">
        <f>AVERAGEIFS(sales_Data[units_sold], sales_Data[product_id],sales_Data[[#This Row],[product_id]])</f>
        <v>29.463013698630139</v>
      </c>
      <c r="J546">
        <f>_xlfn.XLOOKUP(sales_Data[[#This Row],[product_id]],sales_Data[product_id],sales_Data[unit_price])</f>
        <v>25</v>
      </c>
    </row>
    <row r="547" spans="1:10" x14ac:dyDescent="0.3">
      <c r="A547" t="s">
        <v>563</v>
      </c>
      <c r="B547" s="1">
        <v>45767</v>
      </c>
      <c r="C547" t="s">
        <v>9</v>
      </c>
      <c r="D547" t="s">
        <v>10</v>
      </c>
      <c r="E547">
        <v>45</v>
      </c>
      <c r="F547">
        <v>58</v>
      </c>
      <c r="G547">
        <v>0.2</v>
      </c>
      <c r="H547">
        <v>2088</v>
      </c>
      <c r="I547">
        <f>AVERAGEIFS(sales_Data[units_sold], sales_Data[product_id],sales_Data[[#This Row],[product_id]])</f>
        <v>31.479452054794521</v>
      </c>
      <c r="J547">
        <f>_xlfn.XLOOKUP(sales_Data[[#This Row],[product_id]],sales_Data[product_id],sales_Data[unit_price])</f>
        <v>45</v>
      </c>
    </row>
    <row r="548" spans="1:10" x14ac:dyDescent="0.3">
      <c r="A548" t="s">
        <v>564</v>
      </c>
      <c r="B548" s="1">
        <v>45767</v>
      </c>
      <c r="C548" t="s">
        <v>12</v>
      </c>
      <c r="D548" t="s">
        <v>13</v>
      </c>
      <c r="E548">
        <v>12.5</v>
      </c>
      <c r="F548">
        <v>16</v>
      </c>
      <c r="G548">
        <v>0.2</v>
      </c>
      <c r="H548">
        <v>160</v>
      </c>
      <c r="I548">
        <f>AVERAGEIFS(sales_Data[units_sold], sales_Data[product_id],sales_Data[[#This Row],[product_id]])</f>
        <v>31.794520547945204</v>
      </c>
      <c r="J548">
        <f>_xlfn.XLOOKUP(sales_Data[[#This Row],[product_id]],sales_Data[product_id],sales_Data[unit_price])</f>
        <v>12.5</v>
      </c>
    </row>
    <row r="549" spans="1:10" x14ac:dyDescent="0.3">
      <c r="A549" t="s">
        <v>565</v>
      </c>
      <c r="B549" s="1">
        <v>45767</v>
      </c>
      <c r="C549" t="s">
        <v>15</v>
      </c>
      <c r="D549" t="s">
        <v>16</v>
      </c>
      <c r="E549">
        <v>35</v>
      </c>
      <c r="F549">
        <v>15</v>
      </c>
      <c r="G549">
        <v>0.2</v>
      </c>
      <c r="H549">
        <v>420</v>
      </c>
      <c r="I549">
        <f>AVERAGEIFS(sales_Data[units_sold], sales_Data[product_id],sales_Data[[#This Row],[product_id]])</f>
        <v>30.438356164383563</v>
      </c>
      <c r="J549">
        <f>_xlfn.XLOOKUP(sales_Data[[#This Row],[product_id]],sales_Data[product_id],sales_Data[unit_price])</f>
        <v>35</v>
      </c>
    </row>
    <row r="550" spans="1:10" x14ac:dyDescent="0.3">
      <c r="A550" t="s">
        <v>566</v>
      </c>
      <c r="B550" s="1">
        <v>45767</v>
      </c>
      <c r="C550" t="s">
        <v>18</v>
      </c>
      <c r="D550" t="s">
        <v>19</v>
      </c>
      <c r="E550">
        <v>120</v>
      </c>
      <c r="F550">
        <v>30</v>
      </c>
      <c r="G550">
        <v>0</v>
      </c>
      <c r="H550">
        <v>3600</v>
      </c>
      <c r="I550">
        <f>AVERAGEIFS(sales_Data[units_sold], sales_Data[product_id],sales_Data[[#This Row],[product_id]])</f>
        <v>30.473972602739725</v>
      </c>
      <c r="J550">
        <f>_xlfn.XLOOKUP(sales_Data[[#This Row],[product_id]],sales_Data[product_id],sales_Data[unit_price])</f>
        <v>120</v>
      </c>
    </row>
    <row r="551" spans="1:10" x14ac:dyDescent="0.3">
      <c r="A551" t="s">
        <v>567</v>
      </c>
      <c r="B551" s="1">
        <v>45767</v>
      </c>
      <c r="C551" t="s">
        <v>21</v>
      </c>
      <c r="D551" t="s">
        <v>22</v>
      </c>
      <c r="E551">
        <v>25</v>
      </c>
      <c r="F551">
        <v>16</v>
      </c>
      <c r="G551">
        <v>0</v>
      </c>
      <c r="H551">
        <v>400</v>
      </c>
      <c r="I551">
        <f>AVERAGEIFS(sales_Data[units_sold], sales_Data[product_id],sales_Data[[#This Row],[product_id]])</f>
        <v>29.463013698630139</v>
      </c>
      <c r="J551">
        <f>_xlfn.XLOOKUP(sales_Data[[#This Row],[product_id]],sales_Data[product_id],sales_Data[unit_price])</f>
        <v>25</v>
      </c>
    </row>
    <row r="552" spans="1:10" x14ac:dyDescent="0.3">
      <c r="A552" t="s">
        <v>568</v>
      </c>
      <c r="B552" s="1">
        <v>45768</v>
      </c>
      <c r="C552" t="s">
        <v>9</v>
      </c>
      <c r="D552" t="s">
        <v>10</v>
      </c>
      <c r="E552">
        <v>45</v>
      </c>
      <c r="F552">
        <v>34</v>
      </c>
      <c r="G552">
        <v>0.2</v>
      </c>
      <c r="H552">
        <v>1224</v>
      </c>
      <c r="I552">
        <f>AVERAGEIFS(sales_Data[units_sold], sales_Data[product_id],sales_Data[[#This Row],[product_id]])</f>
        <v>31.479452054794521</v>
      </c>
      <c r="J552">
        <f>_xlfn.XLOOKUP(sales_Data[[#This Row],[product_id]],sales_Data[product_id],sales_Data[unit_price])</f>
        <v>45</v>
      </c>
    </row>
    <row r="553" spans="1:10" x14ac:dyDescent="0.3">
      <c r="A553" t="s">
        <v>569</v>
      </c>
      <c r="B553" s="1">
        <v>45768</v>
      </c>
      <c r="C553" t="s">
        <v>12</v>
      </c>
      <c r="D553" t="s">
        <v>13</v>
      </c>
      <c r="E553">
        <v>12.5</v>
      </c>
      <c r="F553">
        <v>11</v>
      </c>
      <c r="G553">
        <v>0</v>
      </c>
      <c r="H553">
        <v>137.5</v>
      </c>
      <c r="I553">
        <f>AVERAGEIFS(sales_Data[units_sold], sales_Data[product_id],sales_Data[[#This Row],[product_id]])</f>
        <v>31.794520547945204</v>
      </c>
      <c r="J553">
        <f>_xlfn.XLOOKUP(sales_Data[[#This Row],[product_id]],sales_Data[product_id],sales_Data[unit_price])</f>
        <v>12.5</v>
      </c>
    </row>
    <row r="554" spans="1:10" x14ac:dyDescent="0.3">
      <c r="A554" t="s">
        <v>570</v>
      </c>
      <c r="B554" s="1">
        <v>45768</v>
      </c>
      <c r="C554" t="s">
        <v>15</v>
      </c>
      <c r="D554" t="s">
        <v>16</v>
      </c>
      <c r="E554">
        <v>35</v>
      </c>
      <c r="F554">
        <v>11</v>
      </c>
      <c r="G554">
        <v>0.1</v>
      </c>
      <c r="H554">
        <v>346.5</v>
      </c>
      <c r="I554">
        <f>AVERAGEIFS(sales_Data[units_sold], sales_Data[product_id],sales_Data[[#This Row],[product_id]])</f>
        <v>30.438356164383563</v>
      </c>
      <c r="J554">
        <f>_xlfn.XLOOKUP(sales_Data[[#This Row],[product_id]],sales_Data[product_id],sales_Data[unit_price])</f>
        <v>35</v>
      </c>
    </row>
    <row r="555" spans="1:10" x14ac:dyDescent="0.3">
      <c r="A555" t="s">
        <v>571</v>
      </c>
      <c r="B555" s="1">
        <v>45768</v>
      </c>
      <c r="C555" t="s">
        <v>18</v>
      </c>
      <c r="D555" t="s">
        <v>19</v>
      </c>
      <c r="E555">
        <v>120</v>
      </c>
      <c r="F555">
        <v>48</v>
      </c>
      <c r="G555">
        <v>0.1</v>
      </c>
      <c r="H555">
        <v>5184</v>
      </c>
      <c r="I555">
        <f>AVERAGEIFS(sales_Data[units_sold], sales_Data[product_id],sales_Data[[#This Row],[product_id]])</f>
        <v>30.473972602739725</v>
      </c>
      <c r="J555">
        <f>_xlfn.XLOOKUP(sales_Data[[#This Row],[product_id]],sales_Data[product_id],sales_Data[unit_price])</f>
        <v>120</v>
      </c>
    </row>
    <row r="556" spans="1:10" x14ac:dyDescent="0.3">
      <c r="A556" t="s">
        <v>572</v>
      </c>
      <c r="B556" s="1">
        <v>45768</v>
      </c>
      <c r="C556" t="s">
        <v>21</v>
      </c>
      <c r="D556" t="s">
        <v>22</v>
      </c>
      <c r="E556">
        <v>25</v>
      </c>
      <c r="F556">
        <v>11</v>
      </c>
      <c r="G556">
        <v>0.1</v>
      </c>
      <c r="H556">
        <v>247.5</v>
      </c>
      <c r="I556">
        <f>AVERAGEIFS(sales_Data[units_sold], sales_Data[product_id],sales_Data[[#This Row],[product_id]])</f>
        <v>29.463013698630139</v>
      </c>
      <c r="J556">
        <f>_xlfn.XLOOKUP(sales_Data[[#This Row],[product_id]],sales_Data[product_id],sales_Data[unit_price])</f>
        <v>25</v>
      </c>
    </row>
    <row r="557" spans="1:10" x14ac:dyDescent="0.3">
      <c r="A557" t="s">
        <v>573</v>
      </c>
      <c r="B557" s="1">
        <v>45769</v>
      </c>
      <c r="C557" t="s">
        <v>9</v>
      </c>
      <c r="D557" t="s">
        <v>10</v>
      </c>
      <c r="E557">
        <v>45</v>
      </c>
      <c r="F557">
        <v>32</v>
      </c>
      <c r="G557">
        <v>0.2</v>
      </c>
      <c r="H557">
        <v>1152</v>
      </c>
      <c r="I557">
        <f>AVERAGEIFS(sales_Data[units_sold], sales_Data[product_id],sales_Data[[#This Row],[product_id]])</f>
        <v>31.479452054794521</v>
      </c>
      <c r="J557">
        <f>_xlfn.XLOOKUP(sales_Data[[#This Row],[product_id]],sales_Data[product_id],sales_Data[unit_price])</f>
        <v>45</v>
      </c>
    </row>
    <row r="558" spans="1:10" x14ac:dyDescent="0.3">
      <c r="A558" t="s">
        <v>574</v>
      </c>
      <c r="B558" s="1">
        <v>45769</v>
      </c>
      <c r="C558" t="s">
        <v>12</v>
      </c>
      <c r="D558" t="s">
        <v>13</v>
      </c>
      <c r="E558">
        <v>12.5</v>
      </c>
      <c r="F558">
        <v>32</v>
      </c>
      <c r="G558">
        <v>0.1</v>
      </c>
      <c r="H558">
        <v>360</v>
      </c>
      <c r="I558">
        <f>AVERAGEIFS(sales_Data[units_sold], sales_Data[product_id],sales_Data[[#This Row],[product_id]])</f>
        <v>31.794520547945204</v>
      </c>
      <c r="J558">
        <f>_xlfn.XLOOKUP(sales_Data[[#This Row],[product_id]],sales_Data[product_id],sales_Data[unit_price])</f>
        <v>12.5</v>
      </c>
    </row>
    <row r="559" spans="1:10" x14ac:dyDescent="0.3">
      <c r="A559" t="s">
        <v>575</v>
      </c>
      <c r="B559" s="1">
        <v>45769</v>
      </c>
      <c r="C559" t="s">
        <v>15</v>
      </c>
      <c r="D559" t="s">
        <v>16</v>
      </c>
      <c r="E559">
        <v>35</v>
      </c>
      <c r="F559">
        <v>8</v>
      </c>
      <c r="G559">
        <v>0</v>
      </c>
      <c r="H559">
        <v>280</v>
      </c>
      <c r="I559">
        <f>AVERAGEIFS(sales_Data[units_sold], sales_Data[product_id],sales_Data[[#This Row],[product_id]])</f>
        <v>30.438356164383563</v>
      </c>
      <c r="J559">
        <f>_xlfn.XLOOKUP(sales_Data[[#This Row],[product_id]],sales_Data[product_id],sales_Data[unit_price])</f>
        <v>35</v>
      </c>
    </row>
    <row r="560" spans="1:10" x14ac:dyDescent="0.3">
      <c r="A560" t="s">
        <v>576</v>
      </c>
      <c r="B560" s="1">
        <v>45769</v>
      </c>
      <c r="C560" t="s">
        <v>18</v>
      </c>
      <c r="D560" t="s">
        <v>19</v>
      </c>
      <c r="E560">
        <v>120</v>
      </c>
      <c r="F560">
        <v>39</v>
      </c>
      <c r="G560">
        <v>0.2</v>
      </c>
      <c r="H560">
        <v>3744</v>
      </c>
      <c r="I560">
        <f>AVERAGEIFS(sales_Data[units_sold], sales_Data[product_id],sales_Data[[#This Row],[product_id]])</f>
        <v>30.473972602739725</v>
      </c>
      <c r="J560">
        <f>_xlfn.XLOOKUP(sales_Data[[#This Row],[product_id]],sales_Data[product_id],sales_Data[unit_price])</f>
        <v>120</v>
      </c>
    </row>
    <row r="561" spans="1:10" x14ac:dyDescent="0.3">
      <c r="A561" t="s">
        <v>577</v>
      </c>
      <c r="B561" s="1">
        <v>45769</v>
      </c>
      <c r="C561" t="s">
        <v>21</v>
      </c>
      <c r="D561" t="s">
        <v>22</v>
      </c>
      <c r="E561">
        <v>25</v>
      </c>
      <c r="F561">
        <v>41</v>
      </c>
      <c r="G561">
        <v>0</v>
      </c>
      <c r="H561">
        <v>1025</v>
      </c>
      <c r="I561">
        <f>AVERAGEIFS(sales_Data[units_sold], sales_Data[product_id],sales_Data[[#This Row],[product_id]])</f>
        <v>29.463013698630139</v>
      </c>
      <c r="J561">
        <f>_xlfn.XLOOKUP(sales_Data[[#This Row],[product_id]],sales_Data[product_id],sales_Data[unit_price])</f>
        <v>25</v>
      </c>
    </row>
    <row r="562" spans="1:10" x14ac:dyDescent="0.3">
      <c r="A562" t="s">
        <v>578</v>
      </c>
      <c r="B562" s="1">
        <v>45770</v>
      </c>
      <c r="C562" t="s">
        <v>9</v>
      </c>
      <c r="D562" t="s">
        <v>10</v>
      </c>
      <c r="E562">
        <v>45</v>
      </c>
      <c r="F562">
        <v>19</v>
      </c>
      <c r="G562">
        <v>0.1</v>
      </c>
      <c r="H562">
        <v>769.5</v>
      </c>
      <c r="I562">
        <f>AVERAGEIFS(sales_Data[units_sold], sales_Data[product_id],sales_Data[[#This Row],[product_id]])</f>
        <v>31.479452054794521</v>
      </c>
      <c r="J562">
        <f>_xlfn.XLOOKUP(sales_Data[[#This Row],[product_id]],sales_Data[product_id],sales_Data[unit_price])</f>
        <v>45</v>
      </c>
    </row>
    <row r="563" spans="1:10" x14ac:dyDescent="0.3">
      <c r="A563" t="s">
        <v>579</v>
      </c>
      <c r="B563" s="1">
        <v>45770</v>
      </c>
      <c r="C563" t="s">
        <v>12</v>
      </c>
      <c r="D563" t="s">
        <v>13</v>
      </c>
      <c r="E563">
        <v>12.5</v>
      </c>
      <c r="F563">
        <v>19</v>
      </c>
      <c r="G563">
        <v>0.1</v>
      </c>
      <c r="H563">
        <v>213.75</v>
      </c>
      <c r="I563">
        <f>AVERAGEIFS(sales_Data[units_sold], sales_Data[product_id],sales_Data[[#This Row],[product_id]])</f>
        <v>31.794520547945204</v>
      </c>
      <c r="J563">
        <f>_xlfn.XLOOKUP(sales_Data[[#This Row],[product_id]],sales_Data[product_id],sales_Data[unit_price])</f>
        <v>12.5</v>
      </c>
    </row>
    <row r="564" spans="1:10" x14ac:dyDescent="0.3">
      <c r="A564" t="s">
        <v>580</v>
      </c>
      <c r="B564" s="1">
        <v>45770</v>
      </c>
      <c r="C564" t="s">
        <v>15</v>
      </c>
      <c r="D564" t="s">
        <v>16</v>
      </c>
      <c r="E564">
        <v>35</v>
      </c>
      <c r="F564">
        <v>27</v>
      </c>
      <c r="G564">
        <v>0.1</v>
      </c>
      <c r="H564">
        <v>850.5</v>
      </c>
      <c r="I564">
        <f>AVERAGEIFS(sales_Data[units_sold], sales_Data[product_id],sales_Data[[#This Row],[product_id]])</f>
        <v>30.438356164383563</v>
      </c>
      <c r="J564">
        <f>_xlfn.XLOOKUP(sales_Data[[#This Row],[product_id]],sales_Data[product_id],sales_Data[unit_price])</f>
        <v>35</v>
      </c>
    </row>
    <row r="565" spans="1:10" x14ac:dyDescent="0.3">
      <c r="A565" t="s">
        <v>581</v>
      </c>
      <c r="B565" s="1">
        <v>45770</v>
      </c>
      <c r="C565" t="s">
        <v>18</v>
      </c>
      <c r="D565" t="s">
        <v>19</v>
      </c>
      <c r="E565">
        <v>120</v>
      </c>
      <c r="F565">
        <v>30</v>
      </c>
      <c r="G565">
        <v>0.2</v>
      </c>
      <c r="H565">
        <v>2880</v>
      </c>
      <c r="I565">
        <f>AVERAGEIFS(sales_Data[units_sold], sales_Data[product_id],sales_Data[[#This Row],[product_id]])</f>
        <v>30.473972602739725</v>
      </c>
      <c r="J565">
        <f>_xlfn.XLOOKUP(sales_Data[[#This Row],[product_id]],sales_Data[product_id],sales_Data[unit_price])</f>
        <v>120</v>
      </c>
    </row>
    <row r="566" spans="1:10" x14ac:dyDescent="0.3">
      <c r="A566" t="s">
        <v>582</v>
      </c>
      <c r="B566" s="1">
        <v>45770</v>
      </c>
      <c r="C566" t="s">
        <v>21</v>
      </c>
      <c r="D566" t="s">
        <v>22</v>
      </c>
      <c r="E566">
        <v>25</v>
      </c>
      <c r="F566">
        <v>32</v>
      </c>
      <c r="G566">
        <v>0.1</v>
      </c>
      <c r="H566">
        <v>720</v>
      </c>
      <c r="I566">
        <f>AVERAGEIFS(sales_Data[units_sold], sales_Data[product_id],sales_Data[[#This Row],[product_id]])</f>
        <v>29.463013698630139</v>
      </c>
      <c r="J566">
        <f>_xlfn.XLOOKUP(sales_Data[[#This Row],[product_id]],sales_Data[product_id],sales_Data[unit_price])</f>
        <v>25</v>
      </c>
    </row>
    <row r="567" spans="1:10" x14ac:dyDescent="0.3">
      <c r="A567" t="s">
        <v>583</v>
      </c>
      <c r="B567" s="1">
        <v>45771</v>
      </c>
      <c r="C567" t="s">
        <v>9</v>
      </c>
      <c r="D567" t="s">
        <v>10</v>
      </c>
      <c r="E567">
        <v>45</v>
      </c>
      <c r="F567">
        <v>26</v>
      </c>
      <c r="G567">
        <v>0.1</v>
      </c>
      <c r="H567">
        <v>1053</v>
      </c>
      <c r="I567">
        <f>AVERAGEIFS(sales_Data[units_sold], sales_Data[product_id],sales_Data[[#This Row],[product_id]])</f>
        <v>31.479452054794521</v>
      </c>
      <c r="J567">
        <f>_xlfn.XLOOKUP(sales_Data[[#This Row],[product_id]],sales_Data[product_id],sales_Data[unit_price])</f>
        <v>45</v>
      </c>
    </row>
    <row r="568" spans="1:10" x14ac:dyDescent="0.3">
      <c r="A568" t="s">
        <v>584</v>
      </c>
      <c r="B568" s="1">
        <v>45771</v>
      </c>
      <c r="C568" t="s">
        <v>12</v>
      </c>
      <c r="D568" t="s">
        <v>13</v>
      </c>
      <c r="E568">
        <v>12.5</v>
      </c>
      <c r="F568">
        <v>16</v>
      </c>
      <c r="G568">
        <v>0.1</v>
      </c>
      <c r="H568">
        <v>180</v>
      </c>
      <c r="I568">
        <f>AVERAGEIFS(sales_Data[units_sold], sales_Data[product_id],sales_Data[[#This Row],[product_id]])</f>
        <v>31.794520547945204</v>
      </c>
      <c r="J568">
        <f>_xlfn.XLOOKUP(sales_Data[[#This Row],[product_id]],sales_Data[product_id],sales_Data[unit_price])</f>
        <v>12.5</v>
      </c>
    </row>
    <row r="569" spans="1:10" x14ac:dyDescent="0.3">
      <c r="A569" t="s">
        <v>585</v>
      </c>
      <c r="B569" s="1">
        <v>45771</v>
      </c>
      <c r="C569" t="s">
        <v>15</v>
      </c>
      <c r="D569" t="s">
        <v>16</v>
      </c>
      <c r="E569">
        <v>35</v>
      </c>
      <c r="F569">
        <v>26</v>
      </c>
      <c r="G569">
        <v>0</v>
      </c>
      <c r="H569">
        <v>910</v>
      </c>
      <c r="I569">
        <f>AVERAGEIFS(sales_Data[units_sold], sales_Data[product_id],sales_Data[[#This Row],[product_id]])</f>
        <v>30.438356164383563</v>
      </c>
      <c r="J569">
        <f>_xlfn.XLOOKUP(sales_Data[[#This Row],[product_id]],sales_Data[product_id],sales_Data[unit_price])</f>
        <v>35</v>
      </c>
    </row>
    <row r="570" spans="1:10" x14ac:dyDescent="0.3">
      <c r="A570" t="s">
        <v>586</v>
      </c>
      <c r="B570" s="1">
        <v>45771</v>
      </c>
      <c r="C570" t="s">
        <v>18</v>
      </c>
      <c r="D570" t="s">
        <v>19</v>
      </c>
      <c r="E570">
        <v>120</v>
      </c>
      <c r="F570">
        <v>44</v>
      </c>
      <c r="G570">
        <v>0</v>
      </c>
      <c r="H570">
        <v>5280</v>
      </c>
      <c r="I570">
        <f>AVERAGEIFS(sales_Data[units_sold], sales_Data[product_id],sales_Data[[#This Row],[product_id]])</f>
        <v>30.473972602739725</v>
      </c>
      <c r="J570">
        <f>_xlfn.XLOOKUP(sales_Data[[#This Row],[product_id]],sales_Data[product_id],sales_Data[unit_price])</f>
        <v>120</v>
      </c>
    </row>
    <row r="571" spans="1:10" x14ac:dyDescent="0.3">
      <c r="A571" t="s">
        <v>587</v>
      </c>
      <c r="B571" s="1">
        <v>45771</v>
      </c>
      <c r="C571" t="s">
        <v>21</v>
      </c>
      <c r="D571" t="s">
        <v>22</v>
      </c>
      <c r="E571">
        <v>25</v>
      </c>
      <c r="F571">
        <v>22</v>
      </c>
      <c r="G571">
        <v>0</v>
      </c>
      <c r="H571">
        <v>550</v>
      </c>
      <c r="I571">
        <f>AVERAGEIFS(sales_Data[units_sold], sales_Data[product_id],sales_Data[[#This Row],[product_id]])</f>
        <v>29.463013698630139</v>
      </c>
      <c r="J571">
        <f>_xlfn.XLOOKUP(sales_Data[[#This Row],[product_id]],sales_Data[product_id],sales_Data[unit_price])</f>
        <v>25</v>
      </c>
    </row>
    <row r="572" spans="1:10" x14ac:dyDescent="0.3">
      <c r="A572" t="s">
        <v>588</v>
      </c>
      <c r="B572" s="1">
        <v>45772</v>
      </c>
      <c r="C572" t="s">
        <v>9</v>
      </c>
      <c r="D572" t="s">
        <v>10</v>
      </c>
      <c r="E572">
        <v>45</v>
      </c>
      <c r="F572">
        <v>16</v>
      </c>
      <c r="G572">
        <v>0.1</v>
      </c>
      <c r="H572">
        <v>648</v>
      </c>
      <c r="I572">
        <f>AVERAGEIFS(sales_Data[units_sold], sales_Data[product_id],sales_Data[[#This Row],[product_id]])</f>
        <v>31.479452054794521</v>
      </c>
      <c r="J572">
        <f>_xlfn.XLOOKUP(sales_Data[[#This Row],[product_id]],sales_Data[product_id],sales_Data[unit_price])</f>
        <v>45</v>
      </c>
    </row>
    <row r="573" spans="1:10" x14ac:dyDescent="0.3">
      <c r="A573" t="s">
        <v>589</v>
      </c>
      <c r="B573" s="1">
        <v>45772</v>
      </c>
      <c r="C573" t="s">
        <v>12</v>
      </c>
      <c r="D573" t="s">
        <v>13</v>
      </c>
      <c r="E573">
        <v>12.5</v>
      </c>
      <c r="F573">
        <v>21</v>
      </c>
      <c r="G573">
        <v>0</v>
      </c>
      <c r="H573">
        <v>262.5</v>
      </c>
      <c r="I573">
        <f>AVERAGEIFS(sales_Data[units_sold], sales_Data[product_id],sales_Data[[#This Row],[product_id]])</f>
        <v>31.794520547945204</v>
      </c>
      <c r="J573">
        <f>_xlfn.XLOOKUP(sales_Data[[#This Row],[product_id]],sales_Data[product_id],sales_Data[unit_price])</f>
        <v>12.5</v>
      </c>
    </row>
    <row r="574" spans="1:10" x14ac:dyDescent="0.3">
      <c r="A574" t="s">
        <v>590</v>
      </c>
      <c r="B574" s="1">
        <v>45772</v>
      </c>
      <c r="C574" t="s">
        <v>15</v>
      </c>
      <c r="D574" t="s">
        <v>16</v>
      </c>
      <c r="E574">
        <v>35</v>
      </c>
      <c r="F574">
        <v>24</v>
      </c>
      <c r="G574">
        <v>0</v>
      </c>
      <c r="H574">
        <v>840</v>
      </c>
      <c r="I574">
        <f>AVERAGEIFS(sales_Data[units_sold], sales_Data[product_id],sales_Data[[#This Row],[product_id]])</f>
        <v>30.438356164383563</v>
      </c>
      <c r="J574">
        <f>_xlfn.XLOOKUP(sales_Data[[#This Row],[product_id]],sales_Data[product_id],sales_Data[unit_price])</f>
        <v>35</v>
      </c>
    </row>
    <row r="575" spans="1:10" x14ac:dyDescent="0.3">
      <c r="A575" t="s">
        <v>591</v>
      </c>
      <c r="B575" s="1">
        <v>45772</v>
      </c>
      <c r="C575" t="s">
        <v>18</v>
      </c>
      <c r="D575" t="s">
        <v>19</v>
      </c>
      <c r="E575">
        <v>120</v>
      </c>
      <c r="F575">
        <v>8</v>
      </c>
      <c r="G575">
        <v>0</v>
      </c>
      <c r="H575">
        <v>960</v>
      </c>
      <c r="I575">
        <f>AVERAGEIFS(sales_Data[units_sold], sales_Data[product_id],sales_Data[[#This Row],[product_id]])</f>
        <v>30.473972602739725</v>
      </c>
      <c r="J575">
        <f>_xlfn.XLOOKUP(sales_Data[[#This Row],[product_id]],sales_Data[product_id],sales_Data[unit_price])</f>
        <v>120</v>
      </c>
    </row>
    <row r="576" spans="1:10" x14ac:dyDescent="0.3">
      <c r="A576" t="s">
        <v>592</v>
      </c>
      <c r="B576" s="1">
        <v>45772</v>
      </c>
      <c r="C576" t="s">
        <v>21</v>
      </c>
      <c r="D576" t="s">
        <v>22</v>
      </c>
      <c r="E576">
        <v>25</v>
      </c>
      <c r="F576">
        <v>10</v>
      </c>
      <c r="G576">
        <v>0</v>
      </c>
      <c r="H576">
        <v>250</v>
      </c>
      <c r="I576">
        <f>AVERAGEIFS(sales_Data[units_sold], sales_Data[product_id],sales_Data[[#This Row],[product_id]])</f>
        <v>29.463013698630139</v>
      </c>
      <c r="J576">
        <f>_xlfn.XLOOKUP(sales_Data[[#This Row],[product_id]],sales_Data[product_id],sales_Data[unit_price])</f>
        <v>25</v>
      </c>
    </row>
    <row r="577" spans="1:10" x14ac:dyDescent="0.3">
      <c r="A577" t="s">
        <v>593</v>
      </c>
      <c r="B577" s="1">
        <v>45773</v>
      </c>
      <c r="C577" t="s">
        <v>9</v>
      </c>
      <c r="D577" t="s">
        <v>10</v>
      </c>
      <c r="E577">
        <v>45</v>
      </c>
      <c r="F577">
        <v>63</v>
      </c>
      <c r="G577">
        <v>0</v>
      </c>
      <c r="H577">
        <v>2835</v>
      </c>
      <c r="I577">
        <f>AVERAGEIFS(sales_Data[units_sold], sales_Data[product_id],sales_Data[[#This Row],[product_id]])</f>
        <v>31.479452054794521</v>
      </c>
      <c r="J577">
        <f>_xlfn.XLOOKUP(sales_Data[[#This Row],[product_id]],sales_Data[product_id],sales_Data[unit_price])</f>
        <v>45</v>
      </c>
    </row>
    <row r="578" spans="1:10" x14ac:dyDescent="0.3">
      <c r="A578" t="s">
        <v>594</v>
      </c>
      <c r="B578" s="1">
        <v>45773</v>
      </c>
      <c r="C578" t="s">
        <v>12</v>
      </c>
      <c r="D578" t="s">
        <v>13</v>
      </c>
      <c r="E578">
        <v>12.5</v>
      </c>
      <c r="F578">
        <v>72</v>
      </c>
      <c r="G578">
        <v>0</v>
      </c>
      <c r="H578">
        <v>900</v>
      </c>
      <c r="I578">
        <f>AVERAGEIFS(sales_Data[units_sold], sales_Data[product_id],sales_Data[[#This Row],[product_id]])</f>
        <v>31.794520547945204</v>
      </c>
      <c r="J578">
        <f>_xlfn.XLOOKUP(sales_Data[[#This Row],[product_id]],sales_Data[product_id],sales_Data[unit_price])</f>
        <v>12.5</v>
      </c>
    </row>
    <row r="579" spans="1:10" x14ac:dyDescent="0.3">
      <c r="A579" t="s">
        <v>595</v>
      </c>
      <c r="B579" s="1">
        <v>45773</v>
      </c>
      <c r="C579" t="s">
        <v>15</v>
      </c>
      <c r="D579" t="s">
        <v>16</v>
      </c>
      <c r="E579">
        <v>35</v>
      </c>
      <c r="F579">
        <v>72</v>
      </c>
      <c r="G579">
        <v>0</v>
      </c>
      <c r="H579">
        <v>2520</v>
      </c>
      <c r="I579">
        <f>AVERAGEIFS(sales_Data[units_sold], sales_Data[product_id],sales_Data[[#This Row],[product_id]])</f>
        <v>30.438356164383563</v>
      </c>
      <c r="J579">
        <f>_xlfn.XLOOKUP(sales_Data[[#This Row],[product_id]],sales_Data[product_id],sales_Data[unit_price])</f>
        <v>35</v>
      </c>
    </row>
    <row r="580" spans="1:10" x14ac:dyDescent="0.3">
      <c r="A580" t="s">
        <v>596</v>
      </c>
      <c r="B580" s="1">
        <v>45773</v>
      </c>
      <c r="C580" t="s">
        <v>18</v>
      </c>
      <c r="D580" t="s">
        <v>19</v>
      </c>
      <c r="E580">
        <v>120</v>
      </c>
      <c r="F580">
        <v>54</v>
      </c>
      <c r="G580">
        <v>0</v>
      </c>
      <c r="H580">
        <v>6480</v>
      </c>
      <c r="I580">
        <f>AVERAGEIFS(sales_Data[units_sold], sales_Data[product_id],sales_Data[[#This Row],[product_id]])</f>
        <v>30.473972602739725</v>
      </c>
      <c r="J580">
        <f>_xlfn.XLOOKUP(sales_Data[[#This Row],[product_id]],sales_Data[product_id],sales_Data[unit_price])</f>
        <v>120</v>
      </c>
    </row>
    <row r="581" spans="1:10" x14ac:dyDescent="0.3">
      <c r="A581" t="s">
        <v>597</v>
      </c>
      <c r="B581" s="1">
        <v>45773</v>
      </c>
      <c r="C581" t="s">
        <v>21</v>
      </c>
      <c r="D581" t="s">
        <v>22</v>
      </c>
      <c r="E581">
        <v>25</v>
      </c>
      <c r="F581">
        <v>57</v>
      </c>
      <c r="G581">
        <v>0.1</v>
      </c>
      <c r="H581">
        <v>1282.5</v>
      </c>
      <c r="I581">
        <f>AVERAGEIFS(sales_Data[units_sold], sales_Data[product_id],sales_Data[[#This Row],[product_id]])</f>
        <v>29.463013698630139</v>
      </c>
      <c r="J581">
        <f>_xlfn.XLOOKUP(sales_Data[[#This Row],[product_id]],sales_Data[product_id],sales_Data[unit_price])</f>
        <v>25</v>
      </c>
    </row>
    <row r="582" spans="1:10" x14ac:dyDescent="0.3">
      <c r="A582" t="s">
        <v>598</v>
      </c>
      <c r="B582" s="1">
        <v>45774</v>
      </c>
      <c r="C582" t="s">
        <v>9</v>
      </c>
      <c r="D582" t="s">
        <v>10</v>
      </c>
      <c r="E582">
        <v>45</v>
      </c>
      <c r="F582">
        <v>64</v>
      </c>
      <c r="G582">
        <v>0</v>
      </c>
      <c r="H582">
        <v>2880</v>
      </c>
      <c r="I582">
        <f>AVERAGEIFS(sales_Data[units_sold], sales_Data[product_id],sales_Data[[#This Row],[product_id]])</f>
        <v>31.479452054794521</v>
      </c>
      <c r="J582">
        <f>_xlfn.XLOOKUP(sales_Data[[#This Row],[product_id]],sales_Data[product_id],sales_Data[unit_price])</f>
        <v>45</v>
      </c>
    </row>
    <row r="583" spans="1:10" x14ac:dyDescent="0.3">
      <c r="A583" t="s">
        <v>599</v>
      </c>
      <c r="B583" s="1">
        <v>45774</v>
      </c>
      <c r="C583" t="s">
        <v>12</v>
      </c>
      <c r="D583" t="s">
        <v>13</v>
      </c>
      <c r="E583">
        <v>12.5</v>
      </c>
      <c r="F583">
        <v>25</v>
      </c>
      <c r="G583">
        <v>0.1</v>
      </c>
      <c r="H583">
        <v>281.25</v>
      </c>
      <c r="I583">
        <f>AVERAGEIFS(sales_Data[units_sold], sales_Data[product_id],sales_Data[[#This Row],[product_id]])</f>
        <v>31.794520547945204</v>
      </c>
      <c r="J583">
        <f>_xlfn.XLOOKUP(sales_Data[[#This Row],[product_id]],sales_Data[product_id],sales_Data[unit_price])</f>
        <v>12.5</v>
      </c>
    </row>
    <row r="584" spans="1:10" x14ac:dyDescent="0.3">
      <c r="A584" t="s">
        <v>600</v>
      </c>
      <c r="B584" s="1">
        <v>45774</v>
      </c>
      <c r="C584" t="s">
        <v>15</v>
      </c>
      <c r="D584" t="s">
        <v>16</v>
      </c>
      <c r="E584">
        <v>35</v>
      </c>
      <c r="F584">
        <v>36</v>
      </c>
      <c r="G584">
        <v>0</v>
      </c>
      <c r="H584">
        <v>1260</v>
      </c>
      <c r="I584">
        <f>AVERAGEIFS(sales_Data[units_sold], sales_Data[product_id],sales_Data[[#This Row],[product_id]])</f>
        <v>30.438356164383563</v>
      </c>
      <c r="J584">
        <f>_xlfn.XLOOKUP(sales_Data[[#This Row],[product_id]],sales_Data[product_id],sales_Data[unit_price])</f>
        <v>35</v>
      </c>
    </row>
    <row r="585" spans="1:10" x14ac:dyDescent="0.3">
      <c r="A585" t="s">
        <v>601</v>
      </c>
      <c r="B585" s="1">
        <v>45774</v>
      </c>
      <c r="C585" t="s">
        <v>18</v>
      </c>
      <c r="D585" t="s">
        <v>19</v>
      </c>
      <c r="E585">
        <v>120</v>
      </c>
      <c r="F585">
        <v>24</v>
      </c>
      <c r="G585">
        <v>0.1</v>
      </c>
      <c r="H585">
        <v>2592</v>
      </c>
      <c r="I585">
        <f>AVERAGEIFS(sales_Data[units_sold], sales_Data[product_id],sales_Data[[#This Row],[product_id]])</f>
        <v>30.473972602739725</v>
      </c>
      <c r="J585">
        <f>_xlfn.XLOOKUP(sales_Data[[#This Row],[product_id]],sales_Data[product_id],sales_Data[unit_price])</f>
        <v>120</v>
      </c>
    </row>
    <row r="586" spans="1:10" x14ac:dyDescent="0.3">
      <c r="A586" t="s">
        <v>602</v>
      </c>
      <c r="B586" s="1">
        <v>45774</v>
      </c>
      <c r="C586" t="s">
        <v>21</v>
      </c>
      <c r="D586" t="s">
        <v>22</v>
      </c>
      <c r="E586">
        <v>25</v>
      </c>
      <c r="F586">
        <v>21</v>
      </c>
      <c r="G586">
        <v>0</v>
      </c>
      <c r="H586">
        <v>525</v>
      </c>
      <c r="I586">
        <f>AVERAGEIFS(sales_Data[units_sold], sales_Data[product_id],sales_Data[[#This Row],[product_id]])</f>
        <v>29.463013698630139</v>
      </c>
      <c r="J586">
        <f>_xlfn.XLOOKUP(sales_Data[[#This Row],[product_id]],sales_Data[product_id],sales_Data[unit_price])</f>
        <v>25</v>
      </c>
    </row>
    <row r="587" spans="1:10" x14ac:dyDescent="0.3">
      <c r="A587" t="s">
        <v>603</v>
      </c>
      <c r="B587" s="1">
        <v>45775</v>
      </c>
      <c r="C587" t="s">
        <v>9</v>
      </c>
      <c r="D587" t="s">
        <v>10</v>
      </c>
      <c r="E587">
        <v>45</v>
      </c>
      <c r="F587">
        <v>14</v>
      </c>
      <c r="G587">
        <v>0</v>
      </c>
      <c r="H587">
        <v>630</v>
      </c>
      <c r="I587">
        <f>AVERAGEIFS(sales_Data[units_sold], sales_Data[product_id],sales_Data[[#This Row],[product_id]])</f>
        <v>31.479452054794521</v>
      </c>
      <c r="J587">
        <f>_xlfn.XLOOKUP(sales_Data[[#This Row],[product_id]],sales_Data[product_id],sales_Data[unit_price])</f>
        <v>45</v>
      </c>
    </row>
    <row r="588" spans="1:10" x14ac:dyDescent="0.3">
      <c r="A588" t="s">
        <v>604</v>
      </c>
      <c r="B588" s="1">
        <v>45775</v>
      </c>
      <c r="C588" t="s">
        <v>12</v>
      </c>
      <c r="D588" t="s">
        <v>13</v>
      </c>
      <c r="E588">
        <v>12.5</v>
      </c>
      <c r="F588">
        <v>25</v>
      </c>
      <c r="G588">
        <v>0</v>
      </c>
      <c r="H588">
        <v>312.5</v>
      </c>
      <c r="I588">
        <f>AVERAGEIFS(sales_Data[units_sold], sales_Data[product_id],sales_Data[[#This Row],[product_id]])</f>
        <v>31.794520547945204</v>
      </c>
      <c r="J588">
        <f>_xlfn.XLOOKUP(sales_Data[[#This Row],[product_id]],sales_Data[product_id],sales_Data[unit_price])</f>
        <v>12.5</v>
      </c>
    </row>
    <row r="589" spans="1:10" x14ac:dyDescent="0.3">
      <c r="A589" t="s">
        <v>605</v>
      </c>
      <c r="B589" s="1">
        <v>45775</v>
      </c>
      <c r="C589" t="s">
        <v>15</v>
      </c>
      <c r="D589" t="s">
        <v>16</v>
      </c>
      <c r="E589">
        <v>35</v>
      </c>
      <c r="F589">
        <v>21</v>
      </c>
      <c r="G589">
        <v>0</v>
      </c>
      <c r="H589">
        <v>735</v>
      </c>
      <c r="I589">
        <f>AVERAGEIFS(sales_Data[units_sold], sales_Data[product_id],sales_Data[[#This Row],[product_id]])</f>
        <v>30.438356164383563</v>
      </c>
      <c r="J589">
        <f>_xlfn.XLOOKUP(sales_Data[[#This Row],[product_id]],sales_Data[product_id],sales_Data[unit_price])</f>
        <v>35</v>
      </c>
    </row>
    <row r="590" spans="1:10" x14ac:dyDescent="0.3">
      <c r="A590" t="s">
        <v>606</v>
      </c>
      <c r="B590" s="1">
        <v>45775</v>
      </c>
      <c r="C590" t="s">
        <v>18</v>
      </c>
      <c r="D590" t="s">
        <v>19</v>
      </c>
      <c r="E590">
        <v>120</v>
      </c>
      <c r="F590">
        <v>21</v>
      </c>
      <c r="G590">
        <v>0</v>
      </c>
      <c r="H590">
        <v>2520</v>
      </c>
      <c r="I590">
        <f>AVERAGEIFS(sales_Data[units_sold], sales_Data[product_id],sales_Data[[#This Row],[product_id]])</f>
        <v>30.473972602739725</v>
      </c>
      <c r="J590">
        <f>_xlfn.XLOOKUP(sales_Data[[#This Row],[product_id]],sales_Data[product_id],sales_Data[unit_price])</f>
        <v>120</v>
      </c>
    </row>
    <row r="591" spans="1:10" x14ac:dyDescent="0.3">
      <c r="A591" t="s">
        <v>607</v>
      </c>
      <c r="B591" s="1">
        <v>45775</v>
      </c>
      <c r="C591" t="s">
        <v>21</v>
      </c>
      <c r="D591" t="s">
        <v>22</v>
      </c>
      <c r="E591">
        <v>25</v>
      </c>
      <c r="F591">
        <v>26</v>
      </c>
      <c r="G591">
        <v>0</v>
      </c>
      <c r="H591">
        <v>650</v>
      </c>
      <c r="I591">
        <f>AVERAGEIFS(sales_Data[units_sold], sales_Data[product_id],sales_Data[[#This Row],[product_id]])</f>
        <v>29.463013698630139</v>
      </c>
      <c r="J591">
        <f>_xlfn.XLOOKUP(sales_Data[[#This Row],[product_id]],sales_Data[product_id],sales_Data[unit_price])</f>
        <v>25</v>
      </c>
    </row>
    <row r="592" spans="1:10" x14ac:dyDescent="0.3">
      <c r="A592" t="s">
        <v>608</v>
      </c>
      <c r="B592" s="1">
        <v>45776</v>
      </c>
      <c r="C592" t="s">
        <v>9</v>
      </c>
      <c r="D592" t="s">
        <v>10</v>
      </c>
      <c r="E592">
        <v>45</v>
      </c>
      <c r="F592">
        <v>25</v>
      </c>
      <c r="G592">
        <v>0</v>
      </c>
      <c r="H592">
        <v>1125</v>
      </c>
      <c r="I592">
        <f>AVERAGEIFS(sales_Data[units_sold], sales_Data[product_id],sales_Data[[#This Row],[product_id]])</f>
        <v>31.479452054794521</v>
      </c>
      <c r="J592">
        <f>_xlfn.XLOOKUP(sales_Data[[#This Row],[product_id]],sales_Data[product_id],sales_Data[unit_price])</f>
        <v>45</v>
      </c>
    </row>
    <row r="593" spans="1:10" x14ac:dyDescent="0.3">
      <c r="A593" t="s">
        <v>609</v>
      </c>
      <c r="B593" s="1">
        <v>45776</v>
      </c>
      <c r="C593" t="s">
        <v>12</v>
      </c>
      <c r="D593" t="s">
        <v>13</v>
      </c>
      <c r="E593">
        <v>12.5</v>
      </c>
      <c r="F593">
        <v>46</v>
      </c>
      <c r="G593">
        <v>0</v>
      </c>
      <c r="H593">
        <v>575</v>
      </c>
      <c r="I593">
        <f>AVERAGEIFS(sales_Data[units_sold], sales_Data[product_id],sales_Data[[#This Row],[product_id]])</f>
        <v>31.794520547945204</v>
      </c>
      <c r="J593">
        <f>_xlfn.XLOOKUP(sales_Data[[#This Row],[product_id]],sales_Data[product_id],sales_Data[unit_price])</f>
        <v>12.5</v>
      </c>
    </row>
    <row r="594" spans="1:10" x14ac:dyDescent="0.3">
      <c r="A594" t="s">
        <v>610</v>
      </c>
      <c r="B594" s="1">
        <v>45776</v>
      </c>
      <c r="C594" t="s">
        <v>15</v>
      </c>
      <c r="D594" t="s">
        <v>16</v>
      </c>
      <c r="E594">
        <v>35</v>
      </c>
      <c r="F594">
        <v>31</v>
      </c>
      <c r="G594">
        <v>0.2</v>
      </c>
      <c r="H594">
        <v>868</v>
      </c>
      <c r="I594">
        <f>AVERAGEIFS(sales_Data[units_sold], sales_Data[product_id],sales_Data[[#This Row],[product_id]])</f>
        <v>30.438356164383563</v>
      </c>
      <c r="J594">
        <f>_xlfn.XLOOKUP(sales_Data[[#This Row],[product_id]],sales_Data[product_id],sales_Data[unit_price])</f>
        <v>35</v>
      </c>
    </row>
    <row r="595" spans="1:10" x14ac:dyDescent="0.3">
      <c r="A595" t="s">
        <v>611</v>
      </c>
      <c r="B595" s="1">
        <v>45776</v>
      </c>
      <c r="C595" t="s">
        <v>18</v>
      </c>
      <c r="D595" t="s">
        <v>19</v>
      </c>
      <c r="E595">
        <v>120</v>
      </c>
      <c r="F595">
        <v>44</v>
      </c>
      <c r="G595">
        <v>0</v>
      </c>
      <c r="H595">
        <v>5280</v>
      </c>
      <c r="I595">
        <f>AVERAGEIFS(sales_Data[units_sold], sales_Data[product_id],sales_Data[[#This Row],[product_id]])</f>
        <v>30.473972602739725</v>
      </c>
      <c r="J595">
        <f>_xlfn.XLOOKUP(sales_Data[[#This Row],[product_id]],sales_Data[product_id],sales_Data[unit_price])</f>
        <v>120</v>
      </c>
    </row>
    <row r="596" spans="1:10" x14ac:dyDescent="0.3">
      <c r="A596" t="s">
        <v>612</v>
      </c>
      <c r="B596" s="1">
        <v>45776</v>
      </c>
      <c r="C596" t="s">
        <v>21</v>
      </c>
      <c r="D596" t="s">
        <v>22</v>
      </c>
      <c r="E596">
        <v>25</v>
      </c>
      <c r="F596">
        <v>22</v>
      </c>
      <c r="G596">
        <v>0.2</v>
      </c>
      <c r="H596">
        <v>440</v>
      </c>
      <c r="I596">
        <f>AVERAGEIFS(sales_Data[units_sold], sales_Data[product_id],sales_Data[[#This Row],[product_id]])</f>
        <v>29.463013698630139</v>
      </c>
      <c r="J596">
        <f>_xlfn.XLOOKUP(sales_Data[[#This Row],[product_id]],sales_Data[product_id],sales_Data[unit_price])</f>
        <v>25</v>
      </c>
    </row>
    <row r="597" spans="1:10" x14ac:dyDescent="0.3">
      <c r="A597" t="s">
        <v>613</v>
      </c>
      <c r="B597" s="1">
        <v>45777</v>
      </c>
      <c r="C597" t="s">
        <v>9</v>
      </c>
      <c r="D597" t="s">
        <v>10</v>
      </c>
      <c r="E597">
        <v>45</v>
      </c>
      <c r="F597">
        <v>29</v>
      </c>
      <c r="G597">
        <v>0</v>
      </c>
      <c r="H597">
        <v>1305</v>
      </c>
      <c r="I597">
        <f>AVERAGEIFS(sales_Data[units_sold], sales_Data[product_id],sales_Data[[#This Row],[product_id]])</f>
        <v>31.479452054794521</v>
      </c>
      <c r="J597">
        <f>_xlfn.XLOOKUP(sales_Data[[#This Row],[product_id]],sales_Data[product_id],sales_Data[unit_price])</f>
        <v>45</v>
      </c>
    </row>
    <row r="598" spans="1:10" x14ac:dyDescent="0.3">
      <c r="A598" t="s">
        <v>614</v>
      </c>
      <c r="B598" s="1">
        <v>45777</v>
      </c>
      <c r="C598" t="s">
        <v>12</v>
      </c>
      <c r="D598" t="s">
        <v>13</v>
      </c>
      <c r="E598">
        <v>12.5</v>
      </c>
      <c r="F598">
        <v>7</v>
      </c>
      <c r="G598">
        <v>0</v>
      </c>
      <c r="H598">
        <v>87.5</v>
      </c>
      <c r="I598">
        <f>AVERAGEIFS(sales_Data[units_sold], sales_Data[product_id],sales_Data[[#This Row],[product_id]])</f>
        <v>31.794520547945204</v>
      </c>
      <c r="J598">
        <f>_xlfn.XLOOKUP(sales_Data[[#This Row],[product_id]],sales_Data[product_id],sales_Data[unit_price])</f>
        <v>12.5</v>
      </c>
    </row>
    <row r="599" spans="1:10" x14ac:dyDescent="0.3">
      <c r="A599" t="s">
        <v>615</v>
      </c>
      <c r="B599" s="1">
        <v>45777</v>
      </c>
      <c r="C599" t="s">
        <v>15</v>
      </c>
      <c r="D599" t="s">
        <v>16</v>
      </c>
      <c r="E599">
        <v>35</v>
      </c>
      <c r="F599">
        <v>8</v>
      </c>
      <c r="G599">
        <v>0</v>
      </c>
      <c r="H599">
        <v>280</v>
      </c>
      <c r="I599">
        <f>AVERAGEIFS(sales_Data[units_sold], sales_Data[product_id],sales_Data[[#This Row],[product_id]])</f>
        <v>30.438356164383563</v>
      </c>
      <c r="J599">
        <f>_xlfn.XLOOKUP(sales_Data[[#This Row],[product_id]],sales_Data[product_id],sales_Data[unit_price])</f>
        <v>35</v>
      </c>
    </row>
    <row r="600" spans="1:10" x14ac:dyDescent="0.3">
      <c r="A600" t="s">
        <v>616</v>
      </c>
      <c r="B600" s="1">
        <v>45777</v>
      </c>
      <c r="C600" t="s">
        <v>18</v>
      </c>
      <c r="D600" t="s">
        <v>19</v>
      </c>
      <c r="E600">
        <v>120</v>
      </c>
      <c r="F600">
        <v>7</v>
      </c>
      <c r="G600">
        <v>0</v>
      </c>
      <c r="H600">
        <v>840</v>
      </c>
      <c r="I600">
        <f>AVERAGEIFS(sales_Data[units_sold], sales_Data[product_id],sales_Data[[#This Row],[product_id]])</f>
        <v>30.473972602739725</v>
      </c>
      <c r="J600">
        <f>_xlfn.XLOOKUP(sales_Data[[#This Row],[product_id]],sales_Data[product_id],sales_Data[unit_price])</f>
        <v>120</v>
      </c>
    </row>
    <row r="601" spans="1:10" x14ac:dyDescent="0.3">
      <c r="A601" t="s">
        <v>617</v>
      </c>
      <c r="B601" s="1">
        <v>45777</v>
      </c>
      <c r="C601" t="s">
        <v>21</v>
      </c>
      <c r="D601" t="s">
        <v>22</v>
      </c>
      <c r="E601">
        <v>25</v>
      </c>
      <c r="F601">
        <v>6</v>
      </c>
      <c r="G601">
        <v>0.1</v>
      </c>
      <c r="H601">
        <v>135</v>
      </c>
      <c r="I601">
        <f>AVERAGEIFS(sales_Data[units_sold], sales_Data[product_id],sales_Data[[#This Row],[product_id]])</f>
        <v>29.463013698630139</v>
      </c>
      <c r="J601">
        <f>_xlfn.XLOOKUP(sales_Data[[#This Row],[product_id]],sales_Data[product_id],sales_Data[unit_price])</f>
        <v>25</v>
      </c>
    </row>
    <row r="602" spans="1:10" x14ac:dyDescent="0.3">
      <c r="A602" t="s">
        <v>618</v>
      </c>
      <c r="B602" s="1">
        <v>45778</v>
      </c>
      <c r="C602" t="s">
        <v>9</v>
      </c>
      <c r="D602" t="s">
        <v>10</v>
      </c>
      <c r="E602">
        <v>45</v>
      </c>
      <c r="F602">
        <v>24</v>
      </c>
      <c r="G602">
        <v>0</v>
      </c>
      <c r="H602">
        <v>1080</v>
      </c>
      <c r="I602">
        <f>AVERAGEIFS(sales_Data[units_sold], sales_Data[product_id],sales_Data[[#This Row],[product_id]])</f>
        <v>31.479452054794521</v>
      </c>
      <c r="J602">
        <f>_xlfn.XLOOKUP(sales_Data[[#This Row],[product_id]],sales_Data[product_id],sales_Data[unit_price])</f>
        <v>45</v>
      </c>
    </row>
    <row r="603" spans="1:10" x14ac:dyDescent="0.3">
      <c r="A603" t="s">
        <v>619</v>
      </c>
      <c r="B603" s="1">
        <v>45778</v>
      </c>
      <c r="C603" t="s">
        <v>12</v>
      </c>
      <c r="D603" t="s">
        <v>13</v>
      </c>
      <c r="E603">
        <v>12.5</v>
      </c>
      <c r="F603">
        <v>22</v>
      </c>
      <c r="G603">
        <v>0</v>
      </c>
      <c r="H603">
        <v>275</v>
      </c>
      <c r="I603">
        <f>AVERAGEIFS(sales_Data[units_sold], sales_Data[product_id],sales_Data[[#This Row],[product_id]])</f>
        <v>31.794520547945204</v>
      </c>
      <c r="J603">
        <f>_xlfn.XLOOKUP(sales_Data[[#This Row],[product_id]],sales_Data[product_id],sales_Data[unit_price])</f>
        <v>12.5</v>
      </c>
    </row>
    <row r="604" spans="1:10" x14ac:dyDescent="0.3">
      <c r="A604" t="s">
        <v>620</v>
      </c>
      <c r="B604" s="1">
        <v>45778</v>
      </c>
      <c r="C604" t="s">
        <v>15</v>
      </c>
      <c r="D604" t="s">
        <v>16</v>
      </c>
      <c r="E604">
        <v>35</v>
      </c>
      <c r="F604">
        <v>21</v>
      </c>
      <c r="G604">
        <v>0.1</v>
      </c>
      <c r="H604">
        <v>661.5</v>
      </c>
      <c r="I604">
        <f>AVERAGEIFS(sales_Data[units_sold], sales_Data[product_id],sales_Data[[#This Row],[product_id]])</f>
        <v>30.438356164383563</v>
      </c>
      <c r="J604">
        <f>_xlfn.XLOOKUP(sales_Data[[#This Row],[product_id]],sales_Data[product_id],sales_Data[unit_price])</f>
        <v>35</v>
      </c>
    </row>
    <row r="605" spans="1:10" x14ac:dyDescent="0.3">
      <c r="A605" t="s">
        <v>621</v>
      </c>
      <c r="B605" s="1">
        <v>45778</v>
      </c>
      <c r="C605" t="s">
        <v>18</v>
      </c>
      <c r="D605" t="s">
        <v>19</v>
      </c>
      <c r="E605">
        <v>120</v>
      </c>
      <c r="F605">
        <v>48</v>
      </c>
      <c r="G605">
        <v>0</v>
      </c>
      <c r="H605">
        <v>5760</v>
      </c>
      <c r="I605">
        <f>AVERAGEIFS(sales_Data[units_sold], sales_Data[product_id],sales_Data[[#This Row],[product_id]])</f>
        <v>30.473972602739725</v>
      </c>
      <c r="J605">
        <f>_xlfn.XLOOKUP(sales_Data[[#This Row],[product_id]],sales_Data[product_id],sales_Data[unit_price])</f>
        <v>120</v>
      </c>
    </row>
    <row r="606" spans="1:10" x14ac:dyDescent="0.3">
      <c r="A606" t="s">
        <v>622</v>
      </c>
      <c r="B606" s="1">
        <v>45778</v>
      </c>
      <c r="C606" t="s">
        <v>21</v>
      </c>
      <c r="D606" t="s">
        <v>22</v>
      </c>
      <c r="E606">
        <v>25</v>
      </c>
      <c r="F606">
        <v>38</v>
      </c>
      <c r="G606">
        <v>0</v>
      </c>
      <c r="H606">
        <v>950</v>
      </c>
      <c r="I606">
        <f>AVERAGEIFS(sales_Data[units_sold], sales_Data[product_id],sales_Data[[#This Row],[product_id]])</f>
        <v>29.463013698630139</v>
      </c>
      <c r="J606">
        <f>_xlfn.XLOOKUP(sales_Data[[#This Row],[product_id]],sales_Data[product_id],sales_Data[unit_price])</f>
        <v>25</v>
      </c>
    </row>
    <row r="607" spans="1:10" x14ac:dyDescent="0.3">
      <c r="A607" t="s">
        <v>623</v>
      </c>
      <c r="B607" s="1">
        <v>45779</v>
      </c>
      <c r="C607" t="s">
        <v>9</v>
      </c>
      <c r="D607" t="s">
        <v>10</v>
      </c>
      <c r="E607">
        <v>45</v>
      </c>
      <c r="F607">
        <v>46</v>
      </c>
      <c r="G607">
        <v>0.2</v>
      </c>
      <c r="H607">
        <v>1656</v>
      </c>
      <c r="I607">
        <f>AVERAGEIFS(sales_Data[units_sold], sales_Data[product_id],sales_Data[[#This Row],[product_id]])</f>
        <v>31.479452054794521</v>
      </c>
      <c r="J607">
        <f>_xlfn.XLOOKUP(sales_Data[[#This Row],[product_id]],sales_Data[product_id],sales_Data[unit_price])</f>
        <v>45</v>
      </c>
    </row>
    <row r="608" spans="1:10" x14ac:dyDescent="0.3">
      <c r="A608" t="s">
        <v>624</v>
      </c>
      <c r="B608" s="1">
        <v>45779</v>
      </c>
      <c r="C608" t="s">
        <v>12</v>
      </c>
      <c r="D608" t="s">
        <v>13</v>
      </c>
      <c r="E608">
        <v>12.5</v>
      </c>
      <c r="F608">
        <v>47</v>
      </c>
      <c r="G608">
        <v>0.1</v>
      </c>
      <c r="H608">
        <v>528.75</v>
      </c>
      <c r="I608">
        <f>AVERAGEIFS(sales_Data[units_sold], sales_Data[product_id],sales_Data[[#This Row],[product_id]])</f>
        <v>31.794520547945204</v>
      </c>
      <c r="J608">
        <f>_xlfn.XLOOKUP(sales_Data[[#This Row],[product_id]],sales_Data[product_id],sales_Data[unit_price])</f>
        <v>12.5</v>
      </c>
    </row>
    <row r="609" spans="1:10" x14ac:dyDescent="0.3">
      <c r="A609" t="s">
        <v>625</v>
      </c>
      <c r="B609" s="1">
        <v>45779</v>
      </c>
      <c r="C609" t="s">
        <v>15</v>
      </c>
      <c r="D609" t="s">
        <v>16</v>
      </c>
      <c r="E609">
        <v>35</v>
      </c>
      <c r="F609">
        <v>26</v>
      </c>
      <c r="G609">
        <v>0</v>
      </c>
      <c r="H609">
        <v>910</v>
      </c>
      <c r="I609">
        <f>AVERAGEIFS(sales_Data[units_sold], sales_Data[product_id],sales_Data[[#This Row],[product_id]])</f>
        <v>30.438356164383563</v>
      </c>
      <c r="J609">
        <f>_xlfn.XLOOKUP(sales_Data[[#This Row],[product_id]],sales_Data[product_id],sales_Data[unit_price])</f>
        <v>35</v>
      </c>
    </row>
    <row r="610" spans="1:10" x14ac:dyDescent="0.3">
      <c r="A610" t="s">
        <v>626</v>
      </c>
      <c r="B610" s="1">
        <v>45779</v>
      </c>
      <c r="C610" t="s">
        <v>18</v>
      </c>
      <c r="D610" t="s">
        <v>19</v>
      </c>
      <c r="E610">
        <v>120</v>
      </c>
      <c r="F610">
        <v>17</v>
      </c>
      <c r="G610">
        <v>0</v>
      </c>
      <c r="H610">
        <v>2040</v>
      </c>
      <c r="I610">
        <f>AVERAGEIFS(sales_Data[units_sold], sales_Data[product_id],sales_Data[[#This Row],[product_id]])</f>
        <v>30.473972602739725</v>
      </c>
      <c r="J610">
        <f>_xlfn.XLOOKUP(sales_Data[[#This Row],[product_id]],sales_Data[product_id],sales_Data[unit_price])</f>
        <v>120</v>
      </c>
    </row>
    <row r="611" spans="1:10" x14ac:dyDescent="0.3">
      <c r="A611" t="s">
        <v>627</v>
      </c>
      <c r="B611" s="1">
        <v>45779</v>
      </c>
      <c r="C611" t="s">
        <v>21</v>
      </c>
      <c r="D611" t="s">
        <v>22</v>
      </c>
      <c r="E611">
        <v>25</v>
      </c>
      <c r="F611">
        <v>23</v>
      </c>
      <c r="G611">
        <v>0.1</v>
      </c>
      <c r="H611">
        <v>517.5</v>
      </c>
      <c r="I611">
        <f>AVERAGEIFS(sales_Data[units_sold], sales_Data[product_id],sales_Data[[#This Row],[product_id]])</f>
        <v>29.463013698630139</v>
      </c>
      <c r="J611">
        <f>_xlfn.XLOOKUP(sales_Data[[#This Row],[product_id]],sales_Data[product_id],sales_Data[unit_price])</f>
        <v>25</v>
      </c>
    </row>
    <row r="612" spans="1:10" x14ac:dyDescent="0.3">
      <c r="A612" t="s">
        <v>628</v>
      </c>
      <c r="B612" s="1">
        <v>45780</v>
      </c>
      <c r="C612" t="s">
        <v>9</v>
      </c>
      <c r="D612" t="s">
        <v>10</v>
      </c>
      <c r="E612">
        <v>45</v>
      </c>
      <c r="F612">
        <v>60</v>
      </c>
      <c r="G612">
        <v>0</v>
      </c>
      <c r="H612">
        <v>2700</v>
      </c>
      <c r="I612">
        <f>AVERAGEIFS(sales_Data[units_sold], sales_Data[product_id],sales_Data[[#This Row],[product_id]])</f>
        <v>31.479452054794521</v>
      </c>
      <c r="J612">
        <f>_xlfn.XLOOKUP(sales_Data[[#This Row],[product_id]],sales_Data[product_id],sales_Data[unit_price])</f>
        <v>45</v>
      </c>
    </row>
    <row r="613" spans="1:10" x14ac:dyDescent="0.3">
      <c r="A613" t="s">
        <v>629</v>
      </c>
      <c r="B613" s="1">
        <v>45780</v>
      </c>
      <c r="C613" t="s">
        <v>12</v>
      </c>
      <c r="D613" t="s">
        <v>13</v>
      </c>
      <c r="E613">
        <v>12.5</v>
      </c>
      <c r="F613">
        <v>27</v>
      </c>
      <c r="G613">
        <v>0.2</v>
      </c>
      <c r="H613">
        <v>270</v>
      </c>
      <c r="I613">
        <f>AVERAGEIFS(sales_Data[units_sold], sales_Data[product_id],sales_Data[[#This Row],[product_id]])</f>
        <v>31.794520547945204</v>
      </c>
      <c r="J613">
        <f>_xlfn.XLOOKUP(sales_Data[[#This Row],[product_id]],sales_Data[product_id],sales_Data[unit_price])</f>
        <v>12.5</v>
      </c>
    </row>
    <row r="614" spans="1:10" x14ac:dyDescent="0.3">
      <c r="A614" t="s">
        <v>630</v>
      </c>
      <c r="B614" s="1">
        <v>45780</v>
      </c>
      <c r="C614" t="s">
        <v>15</v>
      </c>
      <c r="D614" t="s">
        <v>16</v>
      </c>
      <c r="E614">
        <v>35</v>
      </c>
      <c r="F614">
        <v>61</v>
      </c>
      <c r="G614">
        <v>0.1</v>
      </c>
      <c r="H614">
        <v>1921.5</v>
      </c>
      <c r="I614">
        <f>AVERAGEIFS(sales_Data[units_sold], sales_Data[product_id],sales_Data[[#This Row],[product_id]])</f>
        <v>30.438356164383563</v>
      </c>
      <c r="J614">
        <f>_xlfn.XLOOKUP(sales_Data[[#This Row],[product_id]],sales_Data[product_id],sales_Data[unit_price])</f>
        <v>35</v>
      </c>
    </row>
    <row r="615" spans="1:10" x14ac:dyDescent="0.3">
      <c r="A615" t="s">
        <v>631</v>
      </c>
      <c r="B615" s="1">
        <v>45780</v>
      </c>
      <c r="C615" t="s">
        <v>18</v>
      </c>
      <c r="D615" t="s">
        <v>19</v>
      </c>
      <c r="E615">
        <v>120</v>
      </c>
      <c r="F615">
        <v>42</v>
      </c>
      <c r="G615">
        <v>0</v>
      </c>
      <c r="H615">
        <v>5040</v>
      </c>
      <c r="I615">
        <f>AVERAGEIFS(sales_Data[units_sold], sales_Data[product_id],sales_Data[[#This Row],[product_id]])</f>
        <v>30.473972602739725</v>
      </c>
      <c r="J615">
        <f>_xlfn.XLOOKUP(sales_Data[[#This Row],[product_id]],sales_Data[product_id],sales_Data[unit_price])</f>
        <v>120</v>
      </c>
    </row>
    <row r="616" spans="1:10" x14ac:dyDescent="0.3">
      <c r="A616" t="s">
        <v>632</v>
      </c>
      <c r="B616" s="1">
        <v>45780</v>
      </c>
      <c r="C616" t="s">
        <v>21</v>
      </c>
      <c r="D616" t="s">
        <v>22</v>
      </c>
      <c r="E616">
        <v>25</v>
      </c>
      <c r="F616">
        <v>16</v>
      </c>
      <c r="G616">
        <v>0.1</v>
      </c>
      <c r="H616">
        <v>360</v>
      </c>
      <c r="I616">
        <f>AVERAGEIFS(sales_Data[units_sold], sales_Data[product_id],sales_Data[[#This Row],[product_id]])</f>
        <v>29.463013698630139</v>
      </c>
      <c r="J616">
        <f>_xlfn.XLOOKUP(sales_Data[[#This Row],[product_id]],sales_Data[product_id],sales_Data[unit_price])</f>
        <v>25</v>
      </c>
    </row>
    <row r="617" spans="1:10" x14ac:dyDescent="0.3">
      <c r="A617" t="s">
        <v>633</v>
      </c>
      <c r="B617" s="1">
        <v>45781</v>
      </c>
      <c r="C617" t="s">
        <v>9</v>
      </c>
      <c r="D617" t="s">
        <v>10</v>
      </c>
      <c r="E617">
        <v>45</v>
      </c>
      <c r="F617">
        <v>33</v>
      </c>
      <c r="G617">
        <v>0.1</v>
      </c>
      <c r="H617">
        <v>1336.5</v>
      </c>
      <c r="I617">
        <f>AVERAGEIFS(sales_Data[units_sold], sales_Data[product_id],sales_Data[[#This Row],[product_id]])</f>
        <v>31.479452054794521</v>
      </c>
      <c r="J617">
        <f>_xlfn.XLOOKUP(sales_Data[[#This Row],[product_id]],sales_Data[product_id],sales_Data[unit_price])</f>
        <v>45</v>
      </c>
    </row>
    <row r="618" spans="1:10" x14ac:dyDescent="0.3">
      <c r="A618" t="s">
        <v>634</v>
      </c>
      <c r="B618" s="1">
        <v>45781</v>
      </c>
      <c r="C618" t="s">
        <v>12</v>
      </c>
      <c r="D618" t="s">
        <v>13</v>
      </c>
      <c r="E618">
        <v>12.5</v>
      </c>
      <c r="F618">
        <v>64</v>
      </c>
      <c r="G618">
        <v>0</v>
      </c>
      <c r="H618">
        <v>800</v>
      </c>
      <c r="I618">
        <f>AVERAGEIFS(sales_Data[units_sold], sales_Data[product_id],sales_Data[[#This Row],[product_id]])</f>
        <v>31.794520547945204</v>
      </c>
      <c r="J618">
        <f>_xlfn.XLOOKUP(sales_Data[[#This Row],[product_id]],sales_Data[product_id],sales_Data[unit_price])</f>
        <v>12.5</v>
      </c>
    </row>
    <row r="619" spans="1:10" x14ac:dyDescent="0.3">
      <c r="A619" t="s">
        <v>635</v>
      </c>
      <c r="B619" s="1">
        <v>45781</v>
      </c>
      <c r="C619" t="s">
        <v>15</v>
      </c>
      <c r="D619" t="s">
        <v>16</v>
      </c>
      <c r="E619">
        <v>35</v>
      </c>
      <c r="F619">
        <v>48</v>
      </c>
      <c r="G619">
        <v>0.2</v>
      </c>
      <c r="H619">
        <v>1344</v>
      </c>
      <c r="I619">
        <f>AVERAGEIFS(sales_Data[units_sold], sales_Data[product_id],sales_Data[[#This Row],[product_id]])</f>
        <v>30.438356164383563</v>
      </c>
      <c r="J619">
        <f>_xlfn.XLOOKUP(sales_Data[[#This Row],[product_id]],sales_Data[product_id],sales_Data[unit_price])</f>
        <v>35</v>
      </c>
    </row>
    <row r="620" spans="1:10" x14ac:dyDescent="0.3">
      <c r="A620" t="s">
        <v>636</v>
      </c>
      <c r="B620" s="1">
        <v>45781</v>
      </c>
      <c r="C620" t="s">
        <v>18</v>
      </c>
      <c r="D620" t="s">
        <v>19</v>
      </c>
      <c r="E620">
        <v>120</v>
      </c>
      <c r="F620">
        <v>13</v>
      </c>
      <c r="G620">
        <v>0</v>
      </c>
      <c r="H620">
        <v>1560</v>
      </c>
      <c r="I620">
        <f>AVERAGEIFS(sales_Data[units_sold], sales_Data[product_id],sales_Data[[#This Row],[product_id]])</f>
        <v>30.473972602739725</v>
      </c>
      <c r="J620">
        <f>_xlfn.XLOOKUP(sales_Data[[#This Row],[product_id]],sales_Data[product_id],sales_Data[unit_price])</f>
        <v>120</v>
      </c>
    </row>
    <row r="621" spans="1:10" x14ac:dyDescent="0.3">
      <c r="A621" t="s">
        <v>637</v>
      </c>
      <c r="B621" s="1">
        <v>45781</v>
      </c>
      <c r="C621" t="s">
        <v>21</v>
      </c>
      <c r="D621" t="s">
        <v>22</v>
      </c>
      <c r="E621">
        <v>25</v>
      </c>
      <c r="F621">
        <v>22</v>
      </c>
      <c r="G621">
        <v>0</v>
      </c>
      <c r="H621">
        <v>550</v>
      </c>
      <c r="I621">
        <f>AVERAGEIFS(sales_Data[units_sold], sales_Data[product_id],sales_Data[[#This Row],[product_id]])</f>
        <v>29.463013698630139</v>
      </c>
      <c r="J621">
        <f>_xlfn.XLOOKUP(sales_Data[[#This Row],[product_id]],sales_Data[product_id],sales_Data[unit_price])</f>
        <v>25</v>
      </c>
    </row>
    <row r="622" spans="1:10" x14ac:dyDescent="0.3">
      <c r="A622" t="s">
        <v>638</v>
      </c>
      <c r="B622" s="1">
        <v>45782</v>
      </c>
      <c r="C622" t="s">
        <v>9</v>
      </c>
      <c r="D622" t="s">
        <v>10</v>
      </c>
      <c r="E622">
        <v>45</v>
      </c>
      <c r="F622">
        <v>43</v>
      </c>
      <c r="G622">
        <v>0</v>
      </c>
      <c r="H622">
        <v>1935</v>
      </c>
      <c r="I622">
        <f>AVERAGEIFS(sales_Data[units_sold], sales_Data[product_id],sales_Data[[#This Row],[product_id]])</f>
        <v>31.479452054794521</v>
      </c>
      <c r="J622">
        <f>_xlfn.XLOOKUP(sales_Data[[#This Row],[product_id]],sales_Data[product_id],sales_Data[unit_price])</f>
        <v>45</v>
      </c>
    </row>
    <row r="623" spans="1:10" x14ac:dyDescent="0.3">
      <c r="A623" t="s">
        <v>639</v>
      </c>
      <c r="B623" s="1">
        <v>45782</v>
      </c>
      <c r="C623" t="s">
        <v>12</v>
      </c>
      <c r="D623" t="s">
        <v>13</v>
      </c>
      <c r="E623">
        <v>12.5</v>
      </c>
      <c r="F623">
        <v>7</v>
      </c>
      <c r="G623">
        <v>0.1</v>
      </c>
      <c r="H623">
        <v>78.75</v>
      </c>
      <c r="I623">
        <f>AVERAGEIFS(sales_Data[units_sold], sales_Data[product_id],sales_Data[[#This Row],[product_id]])</f>
        <v>31.794520547945204</v>
      </c>
      <c r="J623">
        <f>_xlfn.XLOOKUP(sales_Data[[#This Row],[product_id]],sales_Data[product_id],sales_Data[unit_price])</f>
        <v>12.5</v>
      </c>
    </row>
    <row r="624" spans="1:10" x14ac:dyDescent="0.3">
      <c r="A624" t="s">
        <v>640</v>
      </c>
      <c r="B624" s="1">
        <v>45782</v>
      </c>
      <c r="C624" t="s">
        <v>15</v>
      </c>
      <c r="D624" t="s">
        <v>16</v>
      </c>
      <c r="E624">
        <v>35</v>
      </c>
      <c r="F624">
        <v>42</v>
      </c>
      <c r="G624">
        <v>0</v>
      </c>
      <c r="H624">
        <v>1470</v>
      </c>
      <c r="I624">
        <f>AVERAGEIFS(sales_Data[units_sold], sales_Data[product_id],sales_Data[[#This Row],[product_id]])</f>
        <v>30.438356164383563</v>
      </c>
      <c r="J624">
        <f>_xlfn.XLOOKUP(sales_Data[[#This Row],[product_id]],sales_Data[product_id],sales_Data[unit_price])</f>
        <v>35</v>
      </c>
    </row>
    <row r="625" spans="1:10" x14ac:dyDescent="0.3">
      <c r="A625" t="s">
        <v>641</v>
      </c>
      <c r="B625" s="1">
        <v>45782</v>
      </c>
      <c r="C625" t="s">
        <v>18</v>
      </c>
      <c r="D625" t="s">
        <v>19</v>
      </c>
      <c r="E625">
        <v>120</v>
      </c>
      <c r="F625">
        <v>18</v>
      </c>
      <c r="G625">
        <v>0.1</v>
      </c>
      <c r="H625">
        <v>1944</v>
      </c>
      <c r="I625">
        <f>AVERAGEIFS(sales_Data[units_sold], sales_Data[product_id],sales_Data[[#This Row],[product_id]])</f>
        <v>30.473972602739725</v>
      </c>
      <c r="J625">
        <f>_xlfn.XLOOKUP(sales_Data[[#This Row],[product_id]],sales_Data[product_id],sales_Data[unit_price])</f>
        <v>120</v>
      </c>
    </row>
    <row r="626" spans="1:10" x14ac:dyDescent="0.3">
      <c r="A626" t="s">
        <v>642</v>
      </c>
      <c r="B626" s="1">
        <v>45782</v>
      </c>
      <c r="C626" t="s">
        <v>21</v>
      </c>
      <c r="D626" t="s">
        <v>22</v>
      </c>
      <c r="E626">
        <v>25</v>
      </c>
      <c r="F626">
        <v>14</v>
      </c>
      <c r="G626">
        <v>0</v>
      </c>
      <c r="H626">
        <v>350</v>
      </c>
      <c r="I626">
        <f>AVERAGEIFS(sales_Data[units_sold], sales_Data[product_id],sales_Data[[#This Row],[product_id]])</f>
        <v>29.463013698630139</v>
      </c>
      <c r="J626">
        <f>_xlfn.XLOOKUP(sales_Data[[#This Row],[product_id]],sales_Data[product_id],sales_Data[unit_price])</f>
        <v>25</v>
      </c>
    </row>
    <row r="627" spans="1:10" x14ac:dyDescent="0.3">
      <c r="A627" t="s">
        <v>643</v>
      </c>
      <c r="B627" s="1">
        <v>45783</v>
      </c>
      <c r="C627" t="s">
        <v>9</v>
      </c>
      <c r="D627" t="s">
        <v>10</v>
      </c>
      <c r="E627">
        <v>45</v>
      </c>
      <c r="F627">
        <v>14</v>
      </c>
      <c r="G627">
        <v>0.1</v>
      </c>
      <c r="H627">
        <v>567</v>
      </c>
      <c r="I627">
        <f>AVERAGEIFS(sales_Data[units_sold], sales_Data[product_id],sales_Data[[#This Row],[product_id]])</f>
        <v>31.479452054794521</v>
      </c>
      <c r="J627">
        <f>_xlfn.XLOOKUP(sales_Data[[#This Row],[product_id]],sales_Data[product_id],sales_Data[unit_price])</f>
        <v>45</v>
      </c>
    </row>
    <row r="628" spans="1:10" x14ac:dyDescent="0.3">
      <c r="A628" t="s">
        <v>644</v>
      </c>
      <c r="B628" s="1">
        <v>45783</v>
      </c>
      <c r="C628" t="s">
        <v>12</v>
      </c>
      <c r="D628" t="s">
        <v>13</v>
      </c>
      <c r="E628">
        <v>12.5</v>
      </c>
      <c r="F628">
        <v>18</v>
      </c>
      <c r="G628">
        <v>0.2</v>
      </c>
      <c r="H628">
        <v>180</v>
      </c>
      <c r="I628">
        <f>AVERAGEIFS(sales_Data[units_sold], sales_Data[product_id],sales_Data[[#This Row],[product_id]])</f>
        <v>31.794520547945204</v>
      </c>
      <c r="J628">
        <f>_xlfn.XLOOKUP(sales_Data[[#This Row],[product_id]],sales_Data[product_id],sales_Data[unit_price])</f>
        <v>12.5</v>
      </c>
    </row>
    <row r="629" spans="1:10" x14ac:dyDescent="0.3">
      <c r="A629" t="s">
        <v>645</v>
      </c>
      <c r="B629" s="1">
        <v>45783</v>
      </c>
      <c r="C629" t="s">
        <v>15</v>
      </c>
      <c r="D629" t="s">
        <v>16</v>
      </c>
      <c r="E629">
        <v>35</v>
      </c>
      <c r="F629">
        <v>49</v>
      </c>
      <c r="G629">
        <v>0.1</v>
      </c>
      <c r="H629">
        <v>1543.5</v>
      </c>
      <c r="I629">
        <f>AVERAGEIFS(sales_Data[units_sold], sales_Data[product_id],sales_Data[[#This Row],[product_id]])</f>
        <v>30.438356164383563</v>
      </c>
      <c r="J629">
        <f>_xlfn.XLOOKUP(sales_Data[[#This Row],[product_id]],sales_Data[product_id],sales_Data[unit_price])</f>
        <v>35</v>
      </c>
    </row>
    <row r="630" spans="1:10" x14ac:dyDescent="0.3">
      <c r="A630" t="s">
        <v>646</v>
      </c>
      <c r="B630" s="1">
        <v>45783</v>
      </c>
      <c r="C630" t="s">
        <v>18</v>
      </c>
      <c r="D630" t="s">
        <v>19</v>
      </c>
      <c r="E630">
        <v>120</v>
      </c>
      <c r="F630">
        <v>21</v>
      </c>
      <c r="G630">
        <v>0.1</v>
      </c>
      <c r="H630">
        <v>2268</v>
      </c>
      <c r="I630">
        <f>AVERAGEIFS(sales_Data[units_sold], sales_Data[product_id],sales_Data[[#This Row],[product_id]])</f>
        <v>30.473972602739725</v>
      </c>
      <c r="J630">
        <f>_xlfn.XLOOKUP(sales_Data[[#This Row],[product_id]],sales_Data[product_id],sales_Data[unit_price])</f>
        <v>120</v>
      </c>
    </row>
    <row r="631" spans="1:10" x14ac:dyDescent="0.3">
      <c r="A631" t="s">
        <v>647</v>
      </c>
      <c r="B631" s="1">
        <v>45783</v>
      </c>
      <c r="C631" t="s">
        <v>21</v>
      </c>
      <c r="D631" t="s">
        <v>22</v>
      </c>
      <c r="E631">
        <v>25</v>
      </c>
      <c r="F631">
        <v>34</v>
      </c>
      <c r="G631">
        <v>0</v>
      </c>
      <c r="H631">
        <v>850</v>
      </c>
      <c r="I631">
        <f>AVERAGEIFS(sales_Data[units_sold], sales_Data[product_id],sales_Data[[#This Row],[product_id]])</f>
        <v>29.463013698630139</v>
      </c>
      <c r="J631">
        <f>_xlfn.XLOOKUP(sales_Data[[#This Row],[product_id]],sales_Data[product_id],sales_Data[unit_price])</f>
        <v>25</v>
      </c>
    </row>
    <row r="632" spans="1:10" x14ac:dyDescent="0.3">
      <c r="A632" t="s">
        <v>648</v>
      </c>
      <c r="B632" s="1">
        <v>45784</v>
      </c>
      <c r="C632" t="s">
        <v>9</v>
      </c>
      <c r="D632" t="s">
        <v>10</v>
      </c>
      <c r="E632">
        <v>45</v>
      </c>
      <c r="F632">
        <v>37</v>
      </c>
      <c r="G632">
        <v>0.1</v>
      </c>
      <c r="H632">
        <v>1498.5</v>
      </c>
      <c r="I632">
        <f>AVERAGEIFS(sales_Data[units_sold], sales_Data[product_id],sales_Data[[#This Row],[product_id]])</f>
        <v>31.479452054794521</v>
      </c>
      <c r="J632">
        <f>_xlfn.XLOOKUP(sales_Data[[#This Row],[product_id]],sales_Data[product_id],sales_Data[unit_price])</f>
        <v>45</v>
      </c>
    </row>
    <row r="633" spans="1:10" x14ac:dyDescent="0.3">
      <c r="A633" t="s">
        <v>649</v>
      </c>
      <c r="B633" s="1">
        <v>45784</v>
      </c>
      <c r="C633" t="s">
        <v>12</v>
      </c>
      <c r="D633" t="s">
        <v>13</v>
      </c>
      <c r="E633">
        <v>12.5</v>
      </c>
      <c r="F633">
        <v>19</v>
      </c>
      <c r="G633">
        <v>0.1</v>
      </c>
      <c r="H633">
        <v>213.75</v>
      </c>
      <c r="I633">
        <f>AVERAGEIFS(sales_Data[units_sold], sales_Data[product_id],sales_Data[[#This Row],[product_id]])</f>
        <v>31.794520547945204</v>
      </c>
      <c r="J633">
        <f>_xlfn.XLOOKUP(sales_Data[[#This Row],[product_id]],sales_Data[product_id],sales_Data[unit_price])</f>
        <v>12.5</v>
      </c>
    </row>
    <row r="634" spans="1:10" x14ac:dyDescent="0.3">
      <c r="A634" t="s">
        <v>650</v>
      </c>
      <c r="B634" s="1">
        <v>45784</v>
      </c>
      <c r="C634" t="s">
        <v>15</v>
      </c>
      <c r="D634" t="s">
        <v>16</v>
      </c>
      <c r="E634">
        <v>35</v>
      </c>
      <c r="F634">
        <v>19</v>
      </c>
      <c r="G634">
        <v>0.2</v>
      </c>
      <c r="H634">
        <v>532</v>
      </c>
      <c r="I634">
        <f>AVERAGEIFS(sales_Data[units_sold], sales_Data[product_id],sales_Data[[#This Row],[product_id]])</f>
        <v>30.438356164383563</v>
      </c>
      <c r="J634">
        <f>_xlfn.XLOOKUP(sales_Data[[#This Row],[product_id]],sales_Data[product_id],sales_Data[unit_price])</f>
        <v>35</v>
      </c>
    </row>
    <row r="635" spans="1:10" x14ac:dyDescent="0.3">
      <c r="A635" t="s">
        <v>651</v>
      </c>
      <c r="B635" s="1">
        <v>45784</v>
      </c>
      <c r="C635" t="s">
        <v>18</v>
      </c>
      <c r="D635" t="s">
        <v>19</v>
      </c>
      <c r="E635">
        <v>120</v>
      </c>
      <c r="F635">
        <v>5</v>
      </c>
      <c r="G635">
        <v>0</v>
      </c>
      <c r="H635">
        <v>600</v>
      </c>
      <c r="I635">
        <f>AVERAGEIFS(sales_Data[units_sold], sales_Data[product_id],sales_Data[[#This Row],[product_id]])</f>
        <v>30.473972602739725</v>
      </c>
      <c r="J635">
        <f>_xlfn.XLOOKUP(sales_Data[[#This Row],[product_id]],sales_Data[product_id],sales_Data[unit_price])</f>
        <v>120</v>
      </c>
    </row>
    <row r="636" spans="1:10" x14ac:dyDescent="0.3">
      <c r="A636" t="s">
        <v>652</v>
      </c>
      <c r="B636" s="1">
        <v>45784</v>
      </c>
      <c r="C636" t="s">
        <v>21</v>
      </c>
      <c r="D636" t="s">
        <v>22</v>
      </c>
      <c r="E636">
        <v>25</v>
      </c>
      <c r="F636">
        <v>40</v>
      </c>
      <c r="G636">
        <v>0</v>
      </c>
      <c r="H636">
        <v>1000</v>
      </c>
      <c r="I636">
        <f>AVERAGEIFS(sales_Data[units_sold], sales_Data[product_id],sales_Data[[#This Row],[product_id]])</f>
        <v>29.463013698630139</v>
      </c>
      <c r="J636">
        <f>_xlfn.XLOOKUP(sales_Data[[#This Row],[product_id]],sales_Data[product_id],sales_Data[unit_price])</f>
        <v>25</v>
      </c>
    </row>
    <row r="637" spans="1:10" x14ac:dyDescent="0.3">
      <c r="A637" t="s">
        <v>653</v>
      </c>
      <c r="B637" s="1">
        <v>45785</v>
      </c>
      <c r="C637" t="s">
        <v>9</v>
      </c>
      <c r="D637" t="s">
        <v>10</v>
      </c>
      <c r="E637">
        <v>45</v>
      </c>
      <c r="F637">
        <v>10</v>
      </c>
      <c r="G637">
        <v>0.1</v>
      </c>
      <c r="H637">
        <v>405</v>
      </c>
      <c r="I637">
        <f>AVERAGEIFS(sales_Data[units_sold], sales_Data[product_id],sales_Data[[#This Row],[product_id]])</f>
        <v>31.479452054794521</v>
      </c>
      <c r="J637">
        <f>_xlfn.XLOOKUP(sales_Data[[#This Row],[product_id]],sales_Data[product_id],sales_Data[unit_price])</f>
        <v>45</v>
      </c>
    </row>
    <row r="638" spans="1:10" x14ac:dyDescent="0.3">
      <c r="A638" t="s">
        <v>654</v>
      </c>
      <c r="B638" s="1">
        <v>45785</v>
      </c>
      <c r="C638" t="s">
        <v>12</v>
      </c>
      <c r="D638" t="s">
        <v>13</v>
      </c>
      <c r="E638">
        <v>12.5</v>
      </c>
      <c r="F638">
        <v>48</v>
      </c>
      <c r="G638">
        <v>0</v>
      </c>
      <c r="H638">
        <v>600</v>
      </c>
      <c r="I638">
        <f>AVERAGEIFS(sales_Data[units_sold], sales_Data[product_id],sales_Data[[#This Row],[product_id]])</f>
        <v>31.794520547945204</v>
      </c>
      <c r="J638">
        <f>_xlfn.XLOOKUP(sales_Data[[#This Row],[product_id]],sales_Data[product_id],sales_Data[unit_price])</f>
        <v>12.5</v>
      </c>
    </row>
    <row r="639" spans="1:10" x14ac:dyDescent="0.3">
      <c r="A639" t="s">
        <v>655</v>
      </c>
      <c r="B639" s="1">
        <v>45785</v>
      </c>
      <c r="C639" t="s">
        <v>15</v>
      </c>
      <c r="D639" t="s">
        <v>16</v>
      </c>
      <c r="E639">
        <v>35</v>
      </c>
      <c r="F639">
        <v>5</v>
      </c>
      <c r="G639">
        <v>0.1</v>
      </c>
      <c r="H639">
        <v>157.5</v>
      </c>
      <c r="I639">
        <f>AVERAGEIFS(sales_Data[units_sold], sales_Data[product_id],sales_Data[[#This Row],[product_id]])</f>
        <v>30.438356164383563</v>
      </c>
      <c r="J639">
        <f>_xlfn.XLOOKUP(sales_Data[[#This Row],[product_id]],sales_Data[product_id],sales_Data[unit_price])</f>
        <v>35</v>
      </c>
    </row>
    <row r="640" spans="1:10" x14ac:dyDescent="0.3">
      <c r="A640" t="s">
        <v>656</v>
      </c>
      <c r="B640" s="1">
        <v>45785</v>
      </c>
      <c r="C640" t="s">
        <v>18</v>
      </c>
      <c r="D640" t="s">
        <v>19</v>
      </c>
      <c r="E640">
        <v>120</v>
      </c>
      <c r="F640">
        <v>44</v>
      </c>
      <c r="G640">
        <v>0.1</v>
      </c>
      <c r="H640">
        <v>4752</v>
      </c>
      <c r="I640">
        <f>AVERAGEIFS(sales_Data[units_sold], sales_Data[product_id],sales_Data[[#This Row],[product_id]])</f>
        <v>30.473972602739725</v>
      </c>
      <c r="J640">
        <f>_xlfn.XLOOKUP(sales_Data[[#This Row],[product_id]],sales_Data[product_id],sales_Data[unit_price])</f>
        <v>120</v>
      </c>
    </row>
    <row r="641" spans="1:10" x14ac:dyDescent="0.3">
      <c r="A641" t="s">
        <v>657</v>
      </c>
      <c r="B641" s="1">
        <v>45785</v>
      </c>
      <c r="C641" t="s">
        <v>21</v>
      </c>
      <c r="D641" t="s">
        <v>22</v>
      </c>
      <c r="E641">
        <v>25</v>
      </c>
      <c r="F641">
        <v>21</v>
      </c>
      <c r="G641">
        <v>0.1</v>
      </c>
      <c r="H641">
        <v>472.5</v>
      </c>
      <c r="I641">
        <f>AVERAGEIFS(sales_Data[units_sold], sales_Data[product_id],sales_Data[[#This Row],[product_id]])</f>
        <v>29.463013698630139</v>
      </c>
      <c r="J641">
        <f>_xlfn.XLOOKUP(sales_Data[[#This Row],[product_id]],sales_Data[product_id],sales_Data[unit_price])</f>
        <v>25</v>
      </c>
    </row>
    <row r="642" spans="1:10" x14ac:dyDescent="0.3">
      <c r="A642" t="s">
        <v>658</v>
      </c>
      <c r="B642" s="1">
        <v>45786</v>
      </c>
      <c r="C642" t="s">
        <v>9</v>
      </c>
      <c r="D642" t="s">
        <v>10</v>
      </c>
      <c r="E642">
        <v>45</v>
      </c>
      <c r="F642">
        <v>17</v>
      </c>
      <c r="G642">
        <v>0.2</v>
      </c>
      <c r="H642">
        <v>612</v>
      </c>
      <c r="I642">
        <f>AVERAGEIFS(sales_Data[units_sold], sales_Data[product_id],sales_Data[[#This Row],[product_id]])</f>
        <v>31.479452054794521</v>
      </c>
      <c r="J642">
        <f>_xlfn.XLOOKUP(sales_Data[[#This Row],[product_id]],sales_Data[product_id],sales_Data[unit_price])</f>
        <v>45</v>
      </c>
    </row>
    <row r="643" spans="1:10" x14ac:dyDescent="0.3">
      <c r="A643" t="s">
        <v>659</v>
      </c>
      <c r="B643" s="1">
        <v>45786</v>
      </c>
      <c r="C643" t="s">
        <v>12</v>
      </c>
      <c r="D643" t="s">
        <v>13</v>
      </c>
      <c r="E643">
        <v>12.5</v>
      </c>
      <c r="F643">
        <v>45</v>
      </c>
      <c r="G643">
        <v>0</v>
      </c>
      <c r="H643">
        <v>562.5</v>
      </c>
      <c r="I643">
        <f>AVERAGEIFS(sales_Data[units_sold], sales_Data[product_id],sales_Data[[#This Row],[product_id]])</f>
        <v>31.794520547945204</v>
      </c>
      <c r="J643">
        <f>_xlfn.XLOOKUP(sales_Data[[#This Row],[product_id]],sales_Data[product_id],sales_Data[unit_price])</f>
        <v>12.5</v>
      </c>
    </row>
    <row r="644" spans="1:10" x14ac:dyDescent="0.3">
      <c r="A644" t="s">
        <v>660</v>
      </c>
      <c r="B644" s="1">
        <v>45786</v>
      </c>
      <c r="C644" t="s">
        <v>15</v>
      </c>
      <c r="D644" t="s">
        <v>16</v>
      </c>
      <c r="E644">
        <v>35</v>
      </c>
      <c r="F644">
        <v>36</v>
      </c>
      <c r="G644">
        <v>0.1</v>
      </c>
      <c r="H644">
        <v>1134</v>
      </c>
      <c r="I644">
        <f>AVERAGEIFS(sales_Data[units_sold], sales_Data[product_id],sales_Data[[#This Row],[product_id]])</f>
        <v>30.438356164383563</v>
      </c>
      <c r="J644">
        <f>_xlfn.XLOOKUP(sales_Data[[#This Row],[product_id]],sales_Data[product_id],sales_Data[unit_price])</f>
        <v>35</v>
      </c>
    </row>
    <row r="645" spans="1:10" x14ac:dyDescent="0.3">
      <c r="A645" t="s">
        <v>661</v>
      </c>
      <c r="B645" s="1">
        <v>45786</v>
      </c>
      <c r="C645" t="s">
        <v>18</v>
      </c>
      <c r="D645" t="s">
        <v>19</v>
      </c>
      <c r="E645">
        <v>120</v>
      </c>
      <c r="F645">
        <v>38</v>
      </c>
      <c r="G645">
        <v>0</v>
      </c>
      <c r="H645">
        <v>4560</v>
      </c>
      <c r="I645">
        <f>AVERAGEIFS(sales_Data[units_sold], sales_Data[product_id],sales_Data[[#This Row],[product_id]])</f>
        <v>30.473972602739725</v>
      </c>
      <c r="J645">
        <f>_xlfn.XLOOKUP(sales_Data[[#This Row],[product_id]],sales_Data[product_id],sales_Data[unit_price])</f>
        <v>120</v>
      </c>
    </row>
    <row r="646" spans="1:10" x14ac:dyDescent="0.3">
      <c r="A646" t="s">
        <v>662</v>
      </c>
      <c r="B646" s="1">
        <v>45786</v>
      </c>
      <c r="C646" t="s">
        <v>21</v>
      </c>
      <c r="D646" t="s">
        <v>22</v>
      </c>
      <c r="E646">
        <v>25</v>
      </c>
      <c r="F646">
        <v>25</v>
      </c>
      <c r="G646">
        <v>0</v>
      </c>
      <c r="H646">
        <v>625</v>
      </c>
      <c r="I646">
        <f>AVERAGEIFS(sales_Data[units_sold], sales_Data[product_id],sales_Data[[#This Row],[product_id]])</f>
        <v>29.463013698630139</v>
      </c>
      <c r="J646">
        <f>_xlfn.XLOOKUP(sales_Data[[#This Row],[product_id]],sales_Data[product_id],sales_Data[unit_price])</f>
        <v>25</v>
      </c>
    </row>
    <row r="647" spans="1:10" x14ac:dyDescent="0.3">
      <c r="A647" t="s">
        <v>663</v>
      </c>
      <c r="B647" s="1">
        <v>45787</v>
      </c>
      <c r="C647" t="s">
        <v>9</v>
      </c>
      <c r="D647" t="s">
        <v>10</v>
      </c>
      <c r="E647">
        <v>45</v>
      </c>
      <c r="F647">
        <v>7</v>
      </c>
      <c r="G647">
        <v>0</v>
      </c>
      <c r="H647">
        <v>315</v>
      </c>
      <c r="I647">
        <f>AVERAGEIFS(sales_Data[units_sold], sales_Data[product_id],sales_Data[[#This Row],[product_id]])</f>
        <v>31.479452054794521</v>
      </c>
      <c r="J647">
        <f>_xlfn.XLOOKUP(sales_Data[[#This Row],[product_id]],sales_Data[product_id],sales_Data[unit_price])</f>
        <v>45</v>
      </c>
    </row>
    <row r="648" spans="1:10" x14ac:dyDescent="0.3">
      <c r="A648" t="s">
        <v>664</v>
      </c>
      <c r="B648" s="1">
        <v>45787</v>
      </c>
      <c r="C648" t="s">
        <v>12</v>
      </c>
      <c r="D648" t="s">
        <v>13</v>
      </c>
      <c r="E648">
        <v>12.5</v>
      </c>
      <c r="F648">
        <v>72</v>
      </c>
      <c r="G648">
        <v>0</v>
      </c>
      <c r="H648">
        <v>900</v>
      </c>
      <c r="I648">
        <f>AVERAGEIFS(sales_Data[units_sold], sales_Data[product_id],sales_Data[[#This Row],[product_id]])</f>
        <v>31.794520547945204</v>
      </c>
      <c r="J648">
        <f>_xlfn.XLOOKUP(sales_Data[[#This Row],[product_id]],sales_Data[product_id],sales_Data[unit_price])</f>
        <v>12.5</v>
      </c>
    </row>
    <row r="649" spans="1:10" x14ac:dyDescent="0.3">
      <c r="A649" t="s">
        <v>665</v>
      </c>
      <c r="B649" s="1">
        <v>45787</v>
      </c>
      <c r="C649" t="s">
        <v>15</v>
      </c>
      <c r="D649" t="s">
        <v>16</v>
      </c>
      <c r="E649">
        <v>35</v>
      </c>
      <c r="F649">
        <v>22</v>
      </c>
      <c r="G649">
        <v>0</v>
      </c>
      <c r="H649">
        <v>770</v>
      </c>
      <c r="I649">
        <f>AVERAGEIFS(sales_Data[units_sold], sales_Data[product_id],sales_Data[[#This Row],[product_id]])</f>
        <v>30.438356164383563</v>
      </c>
      <c r="J649">
        <f>_xlfn.XLOOKUP(sales_Data[[#This Row],[product_id]],sales_Data[product_id],sales_Data[unit_price])</f>
        <v>35</v>
      </c>
    </row>
    <row r="650" spans="1:10" x14ac:dyDescent="0.3">
      <c r="A650" t="s">
        <v>666</v>
      </c>
      <c r="B650" s="1">
        <v>45787</v>
      </c>
      <c r="C650" t="s">
        <v>18</v>
      </c>
      <c r="D650" t="s">
        <v>19</v>
      </c>
      <c r="E650">
        <v>120</v>
      </c>
      <c r="F650">
        <v>66</v>
      </c>
      <c r="G650">
        <v>0.1</v>
      </c>
      <c r="H650">
        <v>7128</v>
      </c>
      <c r="I650">
        <f>AVERAGEIFS(sales_Data[units_sold], sales_Data[product_id],sales_Data[[#This Row],[product_id]])</f>
        <v>30.473972602739725</v>
      </c>
      <c r="J650">
        <f>_xlfn.XLOOKUP(sales_Data[[#This Row],[product_id]],sales_Data[product_id],sales_Data[unit_price])</f>
        <v>120</v>
      </c>
    </row>
    <row r="651" spans="1:10" x14ac:dyDescent="0.3">
      <c r="A651" t="s">
        <v>667</v>
      </c>
      <c r="B651" s="1">
        <v>45787</v>
      </c>
      <c r="C651" t="s">
        <v>21</v>
      </c>
      <c r="D651" t="s">
        <v>22</v>
      </c>
      <c r="E651">
        <v>25</v>
      </c>
      <c r="F651">
        <v>51</v>
      </c>
      <c r="G651">
        <v>0</v>
      </c>
      <c r="H651">
        <v>1275</v>
      </c>
      <c r="I651">
        <f>AVERAGEIFS(sales_Data[units_sold], sales_Data[product_id],sales_Data[[#This Row],[product_id]])</f>
        <v>29.463013698630139</v>
      </c>
      <c r="J651">
        <f>_xlfn.XLOOKUP(sales_Data[[#This Row],[product_id]],sales_Data[product_id],sales_Data[unit_price])</f>
        <v>25</v>
      </c>
    </row>
    <row r="652" spans="1:10" x14ac:dyDescent="0.3">
      <c r="A652" t="s">
        <v>668</v>
      </c>
      <c r="B652" s="1">
        <v>45788</v>
      </c>
      <c r="C652" t="s">
        <v>9</v>
      </c>
      <c r="D652" t="s">
        <v>10</v>
      </c>
      <c r="E652">
        <v>45</v>
      </c>
      <c r="F652">
        <v>39</v>
      </c>
      <c r="G652">
        <v>0</v>
      </c>
      <c r="H652">
        <v>1755</v>
      </c>
      <c r="I652">
        <f>AVERAGEIFS(sales_Data[units_sold], sales_Data[product_id],sales_Data[[#This Row],[product_id]])</f>
        <v>31.479452054794521</v>
      </c>
      <c r="J652">
        <f>_xlfn.XLOOKUP(sales_Data[[#This Row],[product_id]],sales_Data[product_id],sales_Data[unit_price])</f>
        <v>45</v>
      </c>
    </row>
    <row r="653" spans="1:10" x14ac:dyDescent="0.3">
      <c r="A653" t="s">
        <v>669</v>
      </c>
      <c r="B653" s="1">
        <v>45788</v>
      </c>
      <c r="C653" t="s">
        <v>12</v>
      </c>
      <c r="D653" t="s">
        <v>13</v>
      </c>
      <c r="E653">
        <v>12.5</v>
      </c>
      <c r="F653">
        <v>69</v>
      </c>
      <c r="G653">
        <v>0</v>
      </c>
      <c r="H653">
        <v>862.5</v>
      </c>
      <c r="I653">
        <f>AVERAGEIFS(sales_Data[units_sold], sales_Data[product_id],sales_Data[[#This Row],[product_id]])</f>
        <v>31.794520547945204</v>
      </c>
      <c r="J653">
        <f>_xlfn.XLOOKUP(sales_Data[[#This Row],[product_id]],sales_Data[product_id],sales_Data[unit_price])</f>
        <v>12.5</v>
      </c>
    </row>
    <row r="654" spans="1:10" x14ac:dyDescent="0.3">
      <c r="A654" t="s">
        <v>670</v>
      </c>
      <c r="B654" s="1">
        <v>45788</v>
      </c>
      <c r="C654" t="s">
        <v>15</v>
      </c>
      <c r="D654" t="s">
        <v>16</v>
      </c>
      <c r="E654">
        <v>35</v>
      </c>
      <c r="F654">
        <v>15</v>
      </c>
      <c r="G654">
        <v>0</v>
      </c>
      <c r="H654">
        <v>525</v>
      </c>
      <c r="I654">
        <f>AVERAGEIFS(sales_Data[units_sold], sales_Data[product_id],sales_Data[[#This Row],[product_id]])</f>
        <v>30.438356164383563</v>
      </c>
      <c r="J654">
        <f>_xlfn.XLOOKUP(sales_Data[[#This Row],[product_id]],sales_Data[product_id],sales_Data[unit_price])</f>
        <v>35</v>
      </c>
    </row>
    <row r="655" spans="1:10" x14ac:dyDescent="0.3">
      <c r="A655" t="s">
        <v>671</v>
      </c>
      <c r="B655" s="1">
        <v>45788</v>
      </c>
      <c r="C655" t="s">
        <v>18</v>
      </c>
      <c r="D655" t="s">
        <v>19</v>
      </c>
      <c r="E655">
        <v>120</v>
      </c>
      <c r="F655">
        <v>40</v>
      </c>
      <c r="G655">
        <v>0</v>
      </c>
      <c r="H655">
        <v>4800</v>
      </c>
      <c r="I655">
        <f>AVERAGEIFS(sales_Data[units_sold], sales_Data[product_id],sales_Data[[#This Row],[product_id]])</f>
        <v>30.473972602739725</v>
      </c>
      <c r="J655">
        <f>_xlfn.XLOOKUP(sales_Data[[#This Row],[product_id]],sales_Data[product_id],sales_Data[unit_price])</f>
        <v>120</v>
      </c>
    </row>
    <row r="656" spans="1:10" x14ac:dyDescent="0.3">
      <c r="A656" t="s">
        <v>672</v>
      </c>
      <c r="B656" s="1">
        <v>45788</v>
      </c>
      <c r="C656" t="s">
        <v>21</v>
      </c>
      <c r="D656" t="s">
        <v>22</v>
      </c>
      <c r="E656">
        <v>25</v>
      </c>
      <c r="F656">
        <v>34</v>
      </c>
      <c r="G656">
        <v>0.2</v>
      </c>
      <c r="H656">
        <v>680</v>
      </c>
      <c r="I656">
        <f>AVERAGEIFS(sales_Data[units_sold], sales_Data[product_id],sales_Data[[#This Row],[product_id]])</f>
        <v>29.463013698630139</v>
      </c>
      <c r="J656">
        <f>_xlfn.XLOOKUP(sales_Data[[#This Row],[product_id]],sales_Data[product_id],sales_Data[unit_price])</f>
        <v>25</v>
      </c>
    </row>
    <row r="657" spans="1:10" x14ac:dyDescent="0.3">
      <c r="A657" t="s">
        <v>673</v>
      </c>
      <c r="B657" s="1">
        <v>45789</v>
      </c>
      <c r="C657" t="s">
        <v>9</v>
      </c>
      <c r="D657" t="s">
        <v>10</v>
      </c>
      <c r="E657">
        <v>45</v>
      </c>
      <c r="F657">
        <v>27</v>
      </c>
      <c r="G657">
        <v>0</v>
      </c>
      <c r="H657">
        <v>1215</v>
      </c>
      <c r="I657">
        <f>AVERAGEIFS(sales_Data[units_sold], sales_Data[product_id],sales_Data[[#This Row],[product_id]])</f>
        <v>31.479452054794521</v>
      </c>
      <c r="J657">
        <f>_xlfn.XLOOKUP(sales_Data[[#This Row],[product_id]],sales_Data[product_id],sales_Data[unit_price])</f>
        <v>45</v>
      </c>
    </row>
    <row r="658" spans="1:10" x14ac:dyDescent="0.3">
      <c r="A658" t="s">
        <v>674</v>
      </c>
      <c r="B658" s="1">
        <v>45789</v>
      </c>
      <c r="C658" t="s">
        <v>12</v>
      </c>
      <c r="D658" t="s">
        <v>13</v>
      </c>
      <c r="E658">
        <v>12.5</v>
      </c>
      <c r="F658">
        <v>26</v>
      </c>
      <c r="G658">
        <v>0.1</v>
      </c>
      <c r="H658">
        <v>292.5</v>
      </c>
      <c r="I658">
        <f>AVERAGEIFS(sales_Data[units_sold], sales_Data[product_id],sales_Data[[#This Row],[product_id]])</f>
        <v>31.794520547945204</v>
      </c>
      <c r="J658">
        <f>_xlfn.XLOOKUP(sales_Data[[#This Row],[product_id]],sales_Data[product_id],sales_Data[unit_price])</f>
        <v>12.5</v>
      </c>
    </row>
    <row r="659" spans="1:10" x14ac:dyDescent="0.3">
      <c r="A659" t="s">
        <v>675</v>
      </c>
      <c r="B659" s="1">
        <v>45789</v>
      </c>
      <c r="C659" t="s">
        <v>15</v>
      </c>
      <c r="D659" t="s">
        <v>16</v>
      </c>
      <c r="E659">
        <v>35</v>
      </c>
      <c r="F659">
        <v>12</v>
      </c>
      <c r="G659">
        <v>0</v>
      </c>
      <c r="H659">
        <v>420</v>
      </c>
      <c r="I659">
        <f>AVERAGEIFS(sales_Data[units_sold], sales_Data[product_id],sales_Data[[#This Row],[product_id]])</f>
        <v>30.438356164383563</v>
      </c>
      <c r="J659">
        <f>_xlfn.XLOOKUP(sales_Data[[#This Row],[product_id]],sales_Data[product_id],sales_Data[unit_price])</f>
        <v>35</v>
      </c>
    </row>
    <row r="660" spans="1:10" x14ac:dyDescent="0.3">
      <c r="A660" t="s">
        <v>676</v>
      </c>
      <c r="B660" s="1">
        <v>45789</v>
      </c>
      <c r="C660" t="s">
        <v>18</v>
      </c>
      <c r="D660" t="s">
        <v>19</v>
      </c>
      <c r="E660">
        <v>120</v>
      </c>
      <c r="F660">
        <v>16</v>
      </c>
      <c r="G660">
        <v>0.2</v>
      </c>
      <c r="H660">
        <v>1536</v>
      </c>
      <c r="I660">
        <f>AVERAGEIFS(sales_Data[units_sold], sales_Data[product_id],sales_Data[[#This Row],[product_id]])</f>
        <v>30.473972602739725</v>
      </c>
      <c r="J660">
        <f>_xlfn.XLOOKUP(sales_Data[[#This Row],[product_id]],sales_Data[product_id],sales_Data[unit_price])</f>
        <v>120</v>
      </c>
    </row>
    <row r="661" spans="1:10" x14ac:dyDescent="0.3">
      <c r="A661" t="s">
        <v>677</v>
      </c>
      <c r="B661" s="1">
        <v>45789</v>
      </c>
      <c r="C661" t="s">
        <v>21</v>
      </c>
      <c r="D661" t="s">
        <v>22</v>
      </c>
      <c r="E661">
        <v>25</v>
      </c>
      <c r="F661">
        <v>48</v>
      </c>
      <c r="G661">
        <v>0</v>
      </c>
      <c r="H661">
        <v>1200</v>
      </c>
      <c r="I661">
        <f>AVERAGEIFS(sales_Data[units_sold], sales_Data[product_id],sales_Data[[#This Row],[product_id]])</f>
        <v>29.463013698630139</v>
      </c>
      <c r="J661">
        <f>_xlfn.XLOOKUP(sales_Data[[#This Row],[product_id]],sales_Data[product_id],sales_Data[unit_price])</f>
        <v>25</v>
      </c>
    </row>
    <row r="662" spans="1:10" x14ac:dyDescent="0.3">
      <c r="A662" t="s">
        <v>678</v>
      </c>
      <c r="B662" s="1">
        <v>45790</v>
      </c>
      <c r="C662" t="s">
        <v>9</v>
      </c>
      <c r="D662" t="s">
        <v>10</v>
      </c>
      <c r="E662">
        <v>45</v>
      </c>
      <c r="F662">
        <v>36</v>
      </c>
      <c r="G662">
        <v>0.1</v>
      </c>
      <c r="H662">
        <v>1458</v>
      </c>
      <c r="I662">
        <f>AVERAGEIFS(sales_Data[units_sold], sales_Data[product_id],sales_Data[[#This Row],[product_id]])</f>
        <v>31.479452054794521</v>
      </c>
      <c r="J662">
        <f>_xlfn.XLOOKUP(sales_Data[[#This Row],[product_id]],sales_Data[product_id],sales_Data[unit_price])</f>
        <v>45</v>
      </c>
    </row>
    <row r="663" spans="1:10" x14ac:dyDescent="0.3">
      <c r="A663" t="s">
        <v>679</v>
      </c>
      <c r="B663" s="1">
        <v>45790</v>
      </c>
      <c r="C663" t="s">
        <v>12</v>
      </c>
      <c r="D663" t="s">
        <v>13</v>
      </c>
      <c r="E663">
        <v>12.5</v>
      </c>
      <c r="F663">
        <v>45</v>
      </c>
      <c r="G663">
        <v>0</v>
      </c>
      <c r="H663">
        <v>562.5</v>
      </c>
      <c r="I663">
        <f>AVERAGEIFS(sales_Data[units_sold], sales_Data[product_id],sales_Data[[#This Row],[product_id]])</f>
        <v>31.794520547945204</v>
      </c>
      <c r="J663">
        <f>_xlfn.XLOOKUP(sales_Data[[#This Row],[product_id]],sales_Data[product_id],sales_Data[unit_price])</f>
        <v>12.5</v>
      </c>
    </row>
    <row r="664" spans="1:10" x14ac:dyDescent="0.3">
      <c r="A664" t="s">
        <v>680</v>
      </c>
      <c r="B664" s="1">
        <v>45790</v>
      </c>
      <c r="C664" t="s">
        <v>15</v>
      </c>
      <c r="D664" t="s">
        <v>16</v>
      </c>
      <c r="E664">
        <v>35</v>
      </c>
      <c r="F664">
        <v>39</v>
      </c>
      <c r="G664">
        <v>0</v>
      </c>
      <c r="H664">
        <v>1365</v>
      </c>
      <c r="I664">
        <f>AVERAGEIFS(sales_Data[units_sold], sales_Data[product_id],sales_Data[[#This Row],[product_id]])</f>
        <v>30.438356164383563</v>
      </c>
      <c r="J664">
        <f>_xlfn.XLOOKUP(sales_Data[[#This Row],[product_id]],sales_Data[product_id],sales_Data[unit_price])</f>
        <v>35</v>
      </c>
    </row>
    <row r="665" spans="1:10" x14ac:dyDescent="0.3">
      <c r="A665" t="s">
        <v>681</v>
      </c>
      <c r="B665" s="1">
        <v>45790</v>
      </c>
      <c r="C665" t="s">
        <v>18</v>
      </c>
      <c r="D665" t="s">
        <v>19</v>
      </c>
      <c r="E665">
        <v>120</v>
      </c>
      <c r="F665">
        <v>29</v>
      </c>
      <c r="G665">
        <v>0.1</v>
      </c>
      <c r="H665">
        <v>3132</v>
      </c>
      <c r="I665">
        <f>AVERAGEIFS(sales_Data[units_sold], sales_Data[product_id],sales_Data[[#This Row],[product_id]])</f>
        <v>30.473972602739725</v>
      </c>
      <c r="J665">
        <f>_xlfn.XLOOKUP(sales_Data[[#This Row],[product_id]],sales_Data[product_id],sales_Data[unit_price])</f>
        <v>120</v>
      </c>
    </row>
    <row r="666" spans="1:10" x14ac:dyDescent="0.3">
      <c r="A666" t="s">
        <v>682</v>
      </c>
      <c r="B666" s="1">
        <v>45790</v>
      </c>
      <c r="C666" t="s">
        <v>21</v>
      </c>
      <c r="D666" t="s">
        <v>22</v>
      </c>
      <c r="E666">
        <v>25</v>
      </c>
      <c r="F666">
        <v>32</v>
      </c>
      <c r="G666">
        <v>0</v>
      </c>
      <c r="H666">
        <v>800</v>
      </c>
      <c r="I666">
        <f>AVERAGEIFS(sales_Data[units_sold], sales_Data[product_id],sales_Data[[#This Row],[product_id]])</f>
        <v>29.463013698630139</v>
      </c>
      <c r="J666">
        <f>_xlfn.XLOOKUP(sales_Data[[#This Row],[product_id]],sales_Data[product_id],sales_Data[unit_price])</f>
        <v>25</v>
      </c>
    </row>
    <row r="667" spans="1:10" x14ac:dyDescent="0.3">
      <c r="A667" t="s">
        <v>683</v>
      </c>
      <c r="B667" s="1">
        <v>45791</v>
      </c>
      <c r="C667" t="s">
        <v>9</v>
      </c>
      <c r="D667" t="s">
        <v>10</v>
      </c>
      <c r="E667">
        <v>45</v>
      </c>
      <c r="F667">
        <v>31</v>
      </c>
      <c r="G667">
        <v>0.2</v>
      </c>
      <c r="H667">
        <v>1116</v>
      </c>
      <c r="I667">
        <f>AVERAGEIFS(sales_Data[units_sold], sales_Data[product_id],sales_Data[[#This Row],[product_id]])</f>
        <v>31.479452054794521</v>
      </c>
      <c r="J667">
        <f>_xlfn.XLOOKUP(sales_Data[[#This Row],[product_id]],sales_Data[product_id],sales_Data[unit_price])</f>
        <v>45</v>
      </c>
    </row>
    <row r="668" spans="1:10" x14ac:dyDescent="0.3">
      <c r="A668" t="s">
        <v>684</v>
      </c>
      <c r="B668" s="1">
        <v>45791</v>
      </c>
      <c r="C668" t="s">
        <v>12</v>
      </c>
      <c r="D668" t="s">
        <v>13</v>
      </c>
      <c r="E668">
        <v>12.5</v>
      </c>
      <c r="F668">
        <v>22</v>
      </c>
      <c r="G668">
        <v>0</v>
      </c>
      <c r="H668">
        <v>275</v>
      </c>
      <c r="I668">
        <f>AVERAGEIFS(sales_Data[units_sold], sales_Data[product_id],sales_Data[[#This Row],[product_id]])</f>
        <v>31.794520547945204</v>
      </c>
      <c r="J668">
        <f>_xlfn.XLOOKUP(sales_Data[[#This Row],[product_id]],sales_Data[product_id],sales_Data[unit_price])</f>
        <v>12.5</v>
      </c>
    </row>
    <row r="669" spans="1:10" x14ac:dyDescent="0.3">
      <c r="A669" t="s">
        <v>685</v>
      </c>
      <c r="B669" s="1">
        <v>45791</v>
      </c>
      <c r="C669" t="s">
        <v>15</v>
      </c>
      <c r="D669" t="s">
        <v>16</v>
      </c>
      <c r="E669">
        <v>35</v>
      </c>
      <c r="F669">
        <v>34</v>
      </c>
      <c r="G669">
        <v>0</v>
      </c>
      <c r="H669">
        <v>1190</v>
      </c>
      <c r="I669">
        <f>AVERAGEIFS(sales_Data[units_sold], sales_Data[product_id],sales_Data[[#This Row],[product_id]])</f>
        <v>30.438356164383563</v>
      </c>
      <c r="J669">
        <f>_xlfn.XLOOKUP(sales_Data[[#This Row],[product_id]],sales_Data[product_id],sales_Data[unit_price])</f>
        <v>35</v>
      </c>
    </row>
    <row r="670" spans="1:10" x14ac:dyDescent="0.3">
      <c r="A670" t="s">
        <v>686</v>
      </c>
      <c r="B670" s="1">
        <v>45791</v>
      </c>
      <c r="C670" t="s">
        <v>18</v>
      </c>
      <c r="D670" t="s">
        <v>19</v>
      </c>
      <c r="E670">
        <v>120</v>
      </c>
      <c r="F670">
        <v>22</v>
      </c>
      <c r="G670">
        <v>0</v>
      </c>
      <c r="H670">
        <v>2640</v>
      </c>
      <c r="I670">
        <f>AVERAGEIFS(sales_Data[units_sold], sales_Data[product_id],sales_Data[[#This Row],[product_id]])</f>
        <v>30.473972602739725</v>
      </c>
      <c r="J670">
        <f>_xlfn.XLOOKUP(sales_Data[[#This Row],[product_id]],sales_Data[product_id],sales_Data[unit_price])</f>
        <v>120</v>
      </c>
    </row>
    <row r="671" spans="1:10" x14ac:dyDescent="0.3">
      <c r="A671" t="s">
        <v>687</v>
      </c>
      <c r="B671" s="1">
        <v>45791</v>
      </c>
      <c r="C671" t="s">
        <v>21</v>
      </c>
      <c r="D671" t="s">
        <v>22</v>
      </c>
      <c r="E671">
        <v>25</v>
      </c>
      <c r="F671">
        <v>17</v>
      </c>
      <c r="G671">
        <v>0.2</v>
      </c>
      <c r="H671">
        <v>340</v>
      </c>
      <c r="I671">
        <f>AVERAGEIFS(sales_Data[units_sold], sales_Data[product_id],sales_Data[[#This Row],[product_id]])</f>
        <v>29.463013698630139</v>
      </c>
      <c r="J671">
        <f>_xlfn.XLOOKUP(sales_Data[[#This Row],[product_id]],sales_Data[product_id],sales_Data[unit_price])</f>
        <v>25</v>
      </c>
    </row>
    <row r="672" spans="1:10" x14ac:dyDescent="0.3">
      <c r="A672" t="s">
        <v>688</v>
      </c>
      <c r="B672" s="1">
        <v>45792</v>
      </c>
      <c r="C672" t="s">
        <v>9</v>
      </c>
      <c r="D672" t="s">
        <v>10</v>
      </c>
      <c r="E672">
        <v>45</v>
      </c>
      <c r="F672">
        <v>30</v>
      </c>
      <c r="G672">
        <v>0.2</v>
      </c>
      <c r="H672">
        <v>1080</v>
      </c>
      <c r="I672">
        <f>AVERAGEIFS(sales_Data[units_sold], sales_Data[product_id],sales_Data[[#This Row],[product_id]])</f>
        <v>31.479452054794521</v>
      </c>
      <c r="J672">
        <f>_xlfn.XLOOKUP(sales_Data[[#This Row],[product_id]],sales_Data[product_id],sales_Data[unit_price])</f>
        <v>45</v>
      </c>
    </row>
    <row r="673" spans="1:10" x14ac:dyDescent="0.3">
      <c r="A673" t="s">
        <v>689</v>
      </c>
      <c r="B673" s="1">
        <v>45792</v>
      </c>
      <c r="C673" t="s">
        <v>12</v>
      </c>
      <c r="D673" t="s">
        <v>13</v>
      </c>
      <c r="E673">
        <v>12.5</v>
      </c>
      <c r="F673">
        <v>37</v>
      </c>
      <c r="G673">
        <v>0</v>
      </c>
      <c r="H673">
        <v>462.5</v>
      </c>
      <c r="I673">
        <f>AVERAGEIFS(sales_Data[units_sold], sales_Data[product_id],sales_Data[[#This Row],[product_id]])</f>
        <v>31.794520547945204</v>
      </c>
      <c r="J673">
        <f>_xlfn.XLOOKUP(sales_Data[[#This Row],[product_id]],sales_Data[product_id],sales_Data[unit_price])</f>
        <v>12.5</v>
      </c>
    </row>
    <row r="674" spans="1:10" x14ac:dyDescent="0.3">
      <c r="A674" t="s">
        <v>690</v>
      </c>
      <c r="B674" s="1">
        <v>45792</v>
      </c>
      <c r="C674" t="s">
        <v>15</v>
      </c>
      <c r="D674" t="s">
        <v>16</v>
      </c>
      <c r="E674">
        <v>35</v>
      </c>
      <c r="F674">
        <v>24</v>
      </c>
      <c r="G674">
        <v>0</v>
      </c>
      <c r="H674">
        <v>840</v>
      </c>
      <c r="I674">
        <f>AVERAGEIFS(sales_Data[units_sold], sales_Data[product_id],sales_Data[[#This Row],[product_id]])</f>
        <v>30.438356164383563</v>
      </c>
      <c r="J674">
        <f>_xlfn.XLOOKUP(sales_Data[[#This Row],[product_id]],sales_Data[product_id],sales_Data[unit_price])</f>
        <v>35</v>
      </c>
    </row>
    <row r="675" spans="1:10" x14ac:dyDescent="0.3">
      <c r="A675" t="s">
        <v>691</v>
      </c>
      <c r="B675" s="1">
        <v>45792</v>
      </c>
      <c r="C675" t="s">
        <v>18</v>
      </c>
      <c r="D675" t="s">
        <v>19</v>
      </c>
      <c r="E675">
        <v>120</v>
      </c>
      <c r="F675">
        <v>25</v>
      </c>
      <c r="G675">
        <v>0</v>
      </c>
      <c r="H675">
        <v>3000</v>
      </c>
      <c r="I675">
        <f>AVERAGEIFS(sales_Data[units_sold], sales_Data[product_id],sales_Data[[#This Row],[product_id]])</f>
        <v>30.473972602739725</v>
      </c>
      <c r="J675">
        <f>_xlfn.XLOOKUP(sales_Data[[#This Row],[product_id]],sales_Data[product_id],sales_Data[unit_price])</f>
        <v>120</v>
      </c>
    </row>
    <row r="676" spans="1:10" x14ac:dyDescent="0.3">
      <c r="A676" t="s">
        <v>692</v>
      </c>
      <c r="B676" s="1">
        <v>45792</v>
      </c>
      <c r="C676" t="s">
        <v>21</v>
      </c>
      <c r="D676" t="s">
        <v>22</v>
      </c>
      <c r="E676">
        <v>25</v>
      </c>
      <c r="F676">
        <v>49</v>
      </c>
      <c r="G676">
        <v>0</v>
      </c>
      <c r="H676">
        <v>1225</v>
      </c>
      <c r="I676">
        <f>AVERAGEIFS(sales_Data[units_sold], sales_Data[product_id],sales_Data[[#This Row],[product_id]])</f>
        <v>29.463013698630139</v>
      </c>
      <c r="J676">
        <f>_xlfn.XLOOKUP(sales_Data[[#This Row],[product_id]],sales_Data[product_id],sales_Data[unit_price])</f>
        <v>25</v>
      </c>
    </row>
    <row r="677" spans="1:10" x14ac:dyDescent="0.3">
      <c r="A677" t="s">
        <v>693</v>
      </c>
      <c r="B677" s="1">
        <v>45793</v>
      </c>
      <c r="C677" t="s">
        <v>9</v>
      </c>
      <c r="D677" t="s">
        <v>10</v>
      </c>
      <c r="E677">
        <v>45</v>
      </c>
      <c r="F677">
        <v>40</v>
      </c>
      <c r="G677">
        <v>0</v>
      </c>
      <c r="H677">
        <v>1800</v>
      </c>
      <c r="I677">
        <f>AVERAGEIFS(sales_Data[units_sold], sales_Data[product_id],sales_Data[[#This Row],[product_id]])</f>
        <v>31.479452054794521</v>
      </c>
      <c r="J677">
        <f>_xlfn.XLOOKUP(sales_Data[[#This Row],[product_id]],sales_Data[product_id],sales_Data[unit_price])</f>
        <v>45</v>
      </c>
    </row>
    <row r="678" spans="1:10" x14ac:dyDescent="0.3">
      <c r="A678" t="s">
        <v>694</v>
      </c>
      <c r="B678" s="1">
        <v>45793</v>
      </c>
      <c r="C678" t="s">
        <v>12</v>
      </c>
      <c r="D678" t="s">
        <v>13</v>
      </c>
      <c r="E678">
        <v>12.5</v>
      </c>
      <c r="F678">
        <v>43</v>
      </c>
      <c r="G678">
        <v>0</v>
      </c>
      <c r="H678">
        <v>537.5</v>
      </c>
      <c r="I678">
        <f>AVERAGEIFS(sales_Data[units_sold], sales_Data[product_id],sales_Data[[#This Row],[product_id]])</f>
        <v>31.794520547945204</v>
      </c>
      <c r="J678">
        <f>_xlfn.XLOOKUP(sales_Data[[#This Row],[product_id]],sales_Data[product_id],sales_Data[unit_price])</f>
        <v>12.5</v>
      </c>
    </row>
    <row r="679" spans="1:10" x14ac:dyDescent="0.3">
      <c r="A679" t="s">
        <v>695</v>
      </c>
      <c r="B679" s="1">
        <v>45793</v>
      </c>
      <c r="C679" t="s">
        <v>15</v>
      </c>
      <c r="D679" t="s">
        <v>16</v>
      </c>
      <c r="E679">
        <v>35</v>
      </c>
      <c r="F679">
        <v>11</v>
      </c>
      <c r="G679">
        <v>0.1</v>
      </c>
      <c r="H679">
        <v>346.5</v>
      </c>
      <c r="I679">
        <f>AVERAGEIFS(sales_Data[units_sold], sales_Data[product_id],sales_Data[[#This Row],[product_id]])</f>
        <v>30.438356164383563</v>
      </c>
      <c r="J679">
        <f>_xlfn.XLOOKUP(sales_Data[[#This Row],[product_id]],sales_Data[product_id],sales_Data[unit_price])</f>
        <v>35</v>
      </c>
    </row>
    <row r="680" spans="1:10" x14ac:dyDescent="0.3">
      <c r="A680" t="s">
        <v>696</v>
      </c>
      <c r="B680" s="1">
        <v>45793</v>
      </c>
      <c r="C680" t="s">
        <v>18</v>
      </c>
      <c r="D680" t="s">
        <v>19</v>
      </c>
      <c r="E680">
        <v>120</v>
      </c>
      <c r="F680">
        <v>9</v>
      </c>
      <c r="G680">
        <v>0</v>
      </c>
      <c r="H680">
        <v>1080</v>
      </c>
      <c r="I680">
        <f>AVERAGEIFS(sales_Data[units_sold], sales_Data[product_id],sales_Data[[#This Row],[product_id]])</f>
        <v>30.473972602739725</v>
      </c>
      <c r="J680">
        <f>_xlfn.XLOOKUP(sales_Data[[#This Row],[product_id]],sales_Data[product_id],sales_Data[unit_price])</f>
        <v>120</v>
      </c>
    </row>
    <row r="681" spans="1:10" x14ac:dyDescent="0.3">
      <c r="A681" t="s">
        <v>697</v>
      </c>
      <c r="B681" s="1">
        <v>45793</v>
      </c>
      <c r="C681" t="s">
        <v>21</v>
      </c>
      <c r="D681" t="s">
        <v>22</v>
      </c>
      <c r="E681">
        <v>25</v>
      </c>
      <c r="F681">
        <v>47</v>
      </c>
      <c r="G681">
        <v>0.1</v>
      </c>
      <c r="H681">
        <v>1057.5</v>
      </c>
      <c r="I681">
        <f>AVERAGEIFS(sales_Data[units_sold], sales_Data[product_id],sales_Data[[#This Row],[product_id]])</f>
        <v>29.463013698630139</v>
      </c>
      <c r="J681">
        <f>_xlfn.XLOOKUP(sales_Data[[#This Row],[product_id]],sales_Data[product_id],sales_Data[unit_price])</f>
        <v>25</v>
      </c>
    </row>
    <row r="682" spans="1:10" x14ac:dyDescent="0.3">
      <c r="A682" t="s">
        <v>698</v>
      </c>
      <c r="B682" s="1">
        <v>45794</v>
      </c>
      <c r="C682" t="s">
        <v>9</v>
      </c>
      <c r="D682" t="s">
        <v>10</v>
      </c>
      <c r="E682">
        <v>45</v>
      </c>
      <c r="F682">
        <v>30</v>
      </c>
      <c r="G682">
        <v>0</v>
      </c>
      <c r="H682">
        <v>1350</v>
      </c>
      <c r="I682">
        <f>AVERAGEIFS(sales_Data[units_sold], sales_Data[product_id],sales_Data[[#This Row],[product_id]])</f>
        <v>31.479452054794521</v>
      </c>
      <c r="J682">
        <f>_xlfn.XLOOKUP(sales_Data[[#This Row],[product_id]],sales_Data[product_id],sales_Data[unit_price])</f>
        <v>45</v>
      </c>
    </row>
    <row r="683" spans="1:10" x14ac:dyDescent="0.3">
      <c r="A683" t="s">
        <v>699</v>
      </c>
      <c r="B683" s="1">
        <v>45794</v>
      </c>
      <c r="C683" t="s">
        <v>12</v>
      </c>
      <c r="D683" t="s">
        <v>13</v>
      </c>
      <c r="E683">
        <v>12.5</v>
      </c>
      <c r="F683">
        <v>48</v>
      </c>
      <c r="G683">
        <v>0</v>
      </c>
      <c r="H683">
        <v>600</v>
      </c>
      <c r="I683">
        <f>AVERAGEIFS(sales_Data[units_sold], sales_Data[product_id],sales_Data[[#This Row],[product_id]])</f>
        <v>31.794520547945204</v>
      </c>
      <c r="J683">
        <f>_xlfn.XLOOKUP(sales_Data[[#This Row],[product_id]],sales_Data[product_id],sales_Data[unit_price])</f>
        <v>12.5</v>
      </c>
    </row>
    <row r="684" spans="1:10" x14ac:dyDescent="0.3">
      <c r="A684" t="s">
        <v>700</v>
      </c>
      <c r="B684" s="1">
        <v>45794</v>
      </c>
      <c r="C684" t="s">
        <v>15</v>
      </c>
      <c r="D684" t="s">
        <v>16</v>
      </c>
      <c r="E684">
        <v>35</v>
      </c>
      <c r="F684">
        <v>18</v>
      </c>
      <c r="G684">
        <v>0</v>
      </c>
      <c r="H684">
        <v>630</v>
      </c>
      <c r="I684">
        <f>AVERAGEIFS(sales_Data[units_sold], sales_Data[product_id],sales_Data[[#This Row],[product_id]])</f>
        <v>30.438356164383563</v>
      </c>
      <c r="J684">
        <f>_xlfn.XLOOKUP(sales_Data[[#This Row],[product_id]],sales_Data[product_id],sales_Data[unit_price])</f>
        <v>35</v>
      </c>
    </row>
    <row r="685" spans="1:10" x14ac:dyDescent="0.3">
      <c r="A685" t="s">
        <v>701</v>
      </c>
      <c r="B685" s="1">
        <v>45794</v>
      </c>
      <c r="C685" t="s">
        <v>18</v>
      </c>
      <c r="D685" t="s">
        <v>19</v>
      </c>
      <c r="E685">
        <v>120</v>
      </c>
      <c r="F685">
        <v>46</v>
      </c>
      <c r="G685">
        <v>0</v>
      </c>
      <c r="H685">
        <v>5520</v>
      </c>
      <c r="I685">
        <f>AVERAGEIFS(sales_Data[units_sold], sales_Data[product_id],sales_Data[[#This Row],[product_id]])</f>
        <v>30.473972602739725</v>
      </c>
      <c r="J685">
        <f>_xlfn.XLOOKUP(sales_Data[[#This Row],[product_id]],sales_Data[product_id],sales_Data[unit_price])</f>
        <v>120</v>
      </c>
    </row>
    <row r="686" spans="1:10" x14ac:dyDescent="0.3">
      <c r="A686" t="s">
        <v>702</v>
      </c>
      <c r="B686" s="1">
        <v>45794</v>
      </c>
      <c r="C686" t="s">
        <v>21</v>
      </c>
      <c r="D686" t="s">
        <v>22</v>
      </c>
      <c r="E686">
        <v>25</v>
      </c>
      <c r="F686">
        <v>43</v>
      </c>
      <c r="G686">
        <v>0</v>
      </c>
      <c r="H686">
        <v>1075</v>
      </c>
      <c r="I686">
        <f>AVERAGEIFS(sales_Data[units_sold], sales_Data[product_id],sales_Data[[#This Row],[product_id]])</f>
        <v>29.463013698630139</v>
      </c>
      <c r="J686">
        <f>_xlfn.XLOOKUP(sales_Data[[#This Row],[product_id]],sales_Data[product_id],sales_Data[unit_price])</f>
        <v>25</v>
      </c>
    </row>
    <row r="687" spans="1:10" x14ac:dyDescent="0.3">
      <c r="A687" t="s">
        <v>703</v>
      </c>
      <c r="B687" s="1">
        <v>45795</v>
      </c>
      <c r="C687" t="s">
        <v>9</v>
      </c>
      <c r="D687" t="s">
        <v>10</v>
      </c>
      <c r="E687">
        <v>45</v>
      </c>
      <c r="F687">
        <v>15</v>
      </c>
      <c r="G687">
        <v>0</v>
      </c>
      <c r="H687">
        <v>675</v>
      </c>
      <c r="I687">
        <f>AVERAGEIFS(sales_Data[units_sold], sales_Data[product_id],sales_Data[[#This Row],[product_id]])</f>
        <v>31.479452054794521</v>
      </c>
      <c r="J687">
        <f>_xlfn.XLOOKUP(sales_Data[[#This Row],[product_id]],sales_Data[product_id],sales_Data[unit_price])</f>
        <v>45</v>
      </c>
    </row>
    <row r="688" spans="1:10" x14ac:dyDescent="0.3">
      <c r="A688" t="s">
        <v>704</v>
      </c>
      <c r="B688" s="1">
        <v>45795</v>
      </c>
      <c r="C688" t="s">
        <v>12</v>
      </c>
      <c r="D688" t="s">
        <v>13</v>
      </c>
      <c r="E688">
        <v>12.5</v>
      </c>
      <c r="F688">
        <v>36</v>
      </c>
      <c r="G688">
        <v>0</v>
      </c>
      <c r="H688">
        <v>450</v>
      </c>
      <c r="I688">
        <f>AVERAGEIFS(sales_Data[units_sold], sales_Data[product_id],sales_Data[[#This Row],[product_id]])</f>
        <v>31.794520547945204</v>
      </c>
      <c r="J688">
        <f>_xlfn.XLOOKUP(sales_Data[[#This Row],[product_id]],sales_Data[product_id],sales_Data[unit_price])</f>
        <v>12.5</v>
      </c>
    </row>
    <row r="689" spans="1:10" x14ac:dyDescent="0.3">
      <c r="A689" t="s">
        <v>705</v>
      </c>
      <c r="B689" s="1">
        <v>45795</v>
      </c>
      <c r="C689" t="s">
        <v>15</v>
      </c>
      <c r="D689" t="s">
        <v>16</v>
      </c>
      <c r="E689">
        <v>35</v>
      </c>
      <c r="F689">
        <v>31</v>
      </c>
      <c r="G689">
        <v>0</v>
      </c>
      <c r="H689">
        <v>1085</v>
      </c>
      <c r="I689">
        <f>AVERAGEIFS(sales_Data[units_sold], sales_Data[product_id],sales_Data[[#This Row],[product_id]])</f>
        <v>30.438356164383563</v>
      </c>
      <c r="J689">
        <f>_xlfn.XLOOKUP(sales_Data[[#This Row],[product_id]],sales_Data[product_id],sales_Data[unit_price])</f>
        <v>35</v>
      </c>
    </row>
    <row r="690" spans="1:10" x14ac:dyDescent="0.3">
      <c r="A690" t="s">
        <v>706</v>
      </c>
      <c r="B690" s="1">
        <v>45795</v>
      </c>
      <c r="C690" t="s">
        <v>18</v>
      </c>
      <c r="D690" t="s">
        <v>19</v>
      </c>
      <c r="E690">
        <v>120</v>
      </c>
      <c r="F690">
        <v>31</v>
      </c>
      <c r="G690">
        <v>0</v>
      </c>
      <c r="H690">
        <v>3720</v>
      </c>
      <c r="I690">
        <f>AVERAGEIFS(sales_Data[units_sold], sales_Data[product_id],sales_Data[[#This Row],[product_id]])</f>
        <v>30.473972602739725</v>
      </c>
      <c r="J690">
        <f>_xlfn.XLOOKUP(sales_Data[[#This Row],[product_id]],sales_Data[product_id],sales_Data[unit_price])</f>
        <v>120</v>
      </c>
    </row>
    <row r="691" spans="1:10" x14ac:dyDescent="0.3">
      <c r="A691" t="s">
        <v>707</v>
      </c>
      <c r="B691" s="1">
        <v>45795</v>
      </c>
      <c r="C691" t="s">
        <v>21</v>
      </c>
      <c r="D691" t="s">
        <v>22</v>
      </c>
      <c r="E691">
        <v>25</v>
      </c>
      <c r="F691">
        <v>31</v>
      </c>
      <c r="G691">
        <v>0</v>
      </c>
      <c r="H691">
        <v>775</v>
      </c>
      <c r="I691">
        <f>AVERAGEIFS(sales_Data[units_sold], sales_Data[product_id],sales_Data[[#This Row],[product_id]])</f>
        <v>29.463013698630139</v>
      </c>
      <c r="J691">
        <f>_xlfn.XLOOKUP(sales_Data[[#This Row],[product_id]],sales_Data[product_id],sales_Data[unit_price])</f>
        <v>25</v>
      </c>
    </row>
    <row r="692" spans="1:10" x14ac:dyDescent="0.3">
      <c r="A692" t="s">
        <v>708</v>
      </c>
      <c r="B692" s="1">
        <v>45796</v>
      </c>
      <c r="C692" t="s">
        <v>9</v>
      </c>
      <c r="D692" t="s">
        <v>10</v>
      </c>
      <c r="E692">
        <v>45</v>
      </c>
      <c r="F692">
        <v>42</v>
      </c>
      <c r="G692">
        <v>0</v>
      </c>
      <c r="H692">
        <v>1890</v>
      </c>
      <c r="I692">
        <f>AVERAGEIFS(sales_Data[units_sold], sales_Data[product_id],sales_Data[[#This Row],[product_id]])</f>
        <v>31.479452054794521</v>
      </c>
      <c r="J692">
        <f>_xlfn.XLOOKUP(sales_Data[[#This Row],[product_id]],sales_Data[product_id],sales_Data[unit_price])</f>
        <v>45</v>
      </c>
    </row>
    <row r="693" spans="1:10" x14ac:dyDescent="0.3">
      <c r="A693" t="s">
        <v>709</v>
      </c>
      <c r="B693" s="1">
        <v>45796</v>
      </c>
      <c r="C693" t="s">
        <v>12</v>
      </c>
      <c r="D693" t="s">
        <v>13</v>
      </c>
      <c r="E693">
        <v>12.5</v>
      </c>
      <c r="F693">
        <v>5</v>
      </c>
      <c r="G693">
        <v>0</v>
      </c>
      <c r="H693">
        <v>62.5</v>
      </c>
      <c r="I693">
        <f>AVERAGEIFS(sales_Data[units_sold], sales_Data[product_id],sales_Data[[#This Row],[product_id]])</f>
        <v>31.794520547945204</v>
      </c>
      <c r="J693">
        <f>_xlfn.XLOOKUP(sales_Data[[#This Row],[product_id]],sales_Data[product_id],sales_Data[unit_price])</f>
        <v>12.5</v>
      </c>
    </row>
    <row r="694" spans="1:10" x14ac:dyDescent="0.3">
      <c r="A694" t="s">
        <v>710</v>
      </c>
      <c r="B694" s="1">
        <v>45796</v>
      </c>
      <c r="C694" t="s">
        <v>15</v>
      </c>
      <c r="D694" t="s">
        <v>16</v>
      </c>
      <c r="E694">
        <v>35</v>
      </c>
      <c r="F694">
        <v>6</v>
      </c>
      <c r="G694">
        <v>0</v>
      </c>
      <c r="H694">
        <v>210</v>
      </c>
      <c r="I694">
        <f>AVERAGEIFS(sales_Data[units_sold], sales_Data[product_id],sales_Data[[#This Row],[product_id]])</f>
        <v>30.438356164383563</v>
      </c>
      <c r="J694">
        <f>_xlfn.XLOOKUP(sales_Data[[#This Row],[product_id]],sales_Data[product_id],sales_Data[unit_price])</f>
        <v>35</v>
      </c>
    </row>
    <row r="695" spans="1:10" x14ac:dyDescent="0.3">
      <c r="A695" t="s">
        <v>711</v>
      </c>
      <c r="B695" s="1">
        <v>45796</v>
      </c>
      <c r="C695" t="s">
        <v>18</v>
      </c>
      <c r="D695" t="s">
        <v>19</v>
      </c>
      <c r="E695">
        <v>120</v>
      </c>
      <c r="F695">
        <v>21</v>
      </c>
      <c r="G695">
        <v>0</v>
      </c>
      <c r="H695">
        <v>2520</v>
      </c>
      <c r="I695">
        <f>AVERAGEIFS(sales_Data[units_sold], sales_Data[product_id],sales_Data[[#This Row],[product_id]])</f>
        <v>30.473972602739725</v>
      </c>
      <c r="J695">
        <f>_xlfn.XLOOKUP(sales_Data[[#This Row],[product_id]],sales_Data[product_id],sales_Data[unit_price])</f>
        <v>120</v>
      </c>
    </row>
    <row r="696" spans="1:10" x14ac:dyDescent="0.3">
      <c r="A696" t="s">
        <v>712</v>
      </c>
      <c r="B696" s="1">
        <v>45796</v>
      </c>
      <c r="C696" t="s">
        <v>21</v>
      </c>
      <c r="D696" t="s">
        <v>22</v>
      </c>
      <c r="E696">
        <v>25</v>
      </c>
      <c r="F696">
        <v>26</v>
      </c>
      <c r="G696">
        <v>0</v>
      </c>
      <c r="H696">
        <v>650</v>
      </c>
      <c r="I696">
        <f>AVERAGEIFS(sales_Data[units_sold], sales_Data[product_id],sales_Data[[#This Row],[product_id]])</f>
        <v>29.463013698630139</v>
      </c>
      <c r="J696">
        <f>_xlfn.XLOOKUP(sales_Data[[#This Row],[product_id]],sales_Data[product_id],sales_Data[unit_price])</f>
        <v>25</v>
      </c>
    </row>
    <row r="697" spans="1:10" x14ac:dyDescent="0.3">
      <c r="A697" t="s">
        <v>713</v>
      </c>
      <c r="B697" s="1">
        <v>45797</v>
      </c>
      <c r="C697" t="s">
        <v>9</v>
      </c>
      <c r="D697" t="s">
        <v>10</v>
      </c>
      <c r="E697">
        <v>45</v>
      </c>
      <c r="F697">
        <v>42</v>
      </c>
      <c r="G697">
        <v>0.1</v>
      </c>
      <c r="H697">
        <v>1701</v>
      </c>
      <c r="I697">
        <f>AVERAGEIFS(sales_Data[units_sold], sales_Data[product_id],sales_Data[[#This Row],[product_id]])</f>
        <v>31.479452054794521</v>
      </c>
      <c r="J697">
        <f>_xlfn.XLOOKUP(sales_Data[[#This Row],[product_id]],sales_Data[product_id],sales_Data[unit_price])</f>
        <v>45</v>
      </c>
    </row>
    <row r="698" spans="1:10" x14ac:dyDescent="0.3">
      <c r="A698" t="s">
        <v>714</v>
      </c>
      <c r="B698" s="1">
        <v>45797</v>
      </c>
      <c r="C698" t="s">
        <v>12</v>
      </c>
      <c r="D698" t="s">
        <v>13</v>
      </c>
      <c r="E698">
        <v>12.5</v>
      </c>
      <c r="F698">
        <v>39</v>
      </c>
      <c r="G698">
        <v>0.1</v>
      </c>
      <c r="H698">
        <v>438.75</v>
      </c>
      <c r="I698">
        <f>AVERAGEIFS(sales_Data[units_sold], sales_Data[product_id],sales_Data[[#This Row],[product_id]])</f>
        <v>31.794520547945204</v>
      </c>
      <c r="J698">
        <f>_xlfn.XLOOKUP(sales_Data[[#This Row],[product_id]],sales_Data[product_id],sales_Data[unit_price])</f>
        <v>12.5</v>
      </c>
    </row>
    <row r="699" spans="1:10" x14ac:dyDescent="0.3">
      <c r="A699" t="s">
        <v>715</v>
      </c>
      <c r="B699" s="1">
        <v>45797</v>
      </c>
      <c r="C699" t="s">
        <v>15</v>
      </c>
      <c r="D699" t="s">
        <v>16</v>
      </c>
      <c r="E699">
        <v>35</v>
      </c>
      <c r="F699">
        <v>12</v>
      </c>
      <c r="G699">
        <v>0.2</v>
      </c>
      <c r="H699">
        <v>336</v>
      </c>
      <c r="I699">
        <f>AVERAGEIFS(sales_Data[units_sold], sales_Data[product_id],sales_Data[[#This Row],[product_id]])</f>
        <v>30.438356164383563</v>
      </c>
      <c r="J699">
        <f>_xlfn.XLOOKUP(sales_Data[[#This Row],[product_id]],sales_Data[product_id],sales_Data[unit_price])</f>
        <v>35</v>
      </c>
    </row>
    <row r="700" spans="1:10" x14ac:dyDescent="0.3">
      <c r="A700" t="s">
        <v>716</v>
      </c>
      <c r="B700" s="1">
        <v>45797</v>
      </c>
      <c r="C700" t="s">
        <v>18</v>
      </c>
      <c r="D700" t="s">
        <v>19</v>
      </c>
      <c r="E700">
        <v>120</v>
      </c>
      <c r="F700">
        <v>9</v>
      </c>
      <c r="G700">
        <v>0</v>
      </c>
      <c r="H700">
        <v>1080</v>
      </c>
      <c r="I700">
        <f>AVERAGEIFS(sales_Data[units_sold], sales_Data[product_id],sales_Data[[#This Row],[product_id]])</f>
        <v>30.473972602739725</v>
      </c>
      <c r="J700">
        <f>_xlfn.XLOOKUP(sales_Data[[#This Row],[product_id]],sales_Data[product_id],sales_Data[unit_price])</f>
        <v>120</v>
      </c>
    </row>
    <row r="701" spans="1:10" x14ac:dyDescent="0.3">
      <c r="A701" t="s">
        <v>717</v>
      </c>
      <c r="B701" s="1">
        <v>45797</v>
      </c>
      <c r="C701" t="s">
        <v>21</v>
      </c>
      <c r="D701" t="s">
        <v>22</v>
      </c>
      <c r="E701">
        <v>25</v>
      </c>
      <c r="F701">
        <v>16</v>
      </c>
      <c r="G701">
        <v>0.1</v>
      </c>
      <c r="H701">
        <v>360</v>
      </c>
      <c r="I701">
        <f>AVERAGEIFS(sales_Data[units_sold], sales_Data[product_id],sales_Data[[#This Row],[product_id]])</f>
        <v>29.463013698630139</v>
      </c>
      <c r="J701">
        <f>_xlfn.XLOOKUP(sales_Data[[#This Row],[product_id]],sales_Data[product_id],sales_Data[unit_price])</f>
        <v>25</v>
      </c>
    </row>
    <row r="702" spans="1:10" x14ac:dyDescent="0.3">
      <c r="A702" t="s">
        <v>718</v>
      </c>
      <c r="B702" s="1">
        <v>45798</v>
      </c>
      <c r="C702" t="s">
        <v>9</v>
      </c>
      <c r="D702" t="s">
        <v>10</v>
      </c>
      <c r="E702">
        <v>45</v>
      </c>
      <c r="F702">
        <v>32</v>
      </c>
      <c r="G702">
        <v>0</v>
      </c>
      <c r="H702">
        <v>1440</v>
      </c>
      <c r="I702">
        <f>AVERAGEIFS(sales_Data[units_sold], sales_Data[product_id],sales_Data[[#This Row],[product_id]])</f>
        <v>31.479452054794521</v>
      </c>
      <c r="J702">
        <f>_xlfn.XLOOKUP(sales_Data[[#This Row],[product_id]],sales_Data[product_id],sales_Data[unit_price])</f>
        <v>45</v>
      </c>
    </row>
    <row r="703" spans="1:10" x14ac:dyDescent="0.3">
      <c r="A703" t="s">
        <v>719</v>
      </c>
      <c r="B703" s="1">
        <v>45798</v>
      </c>
      <c r="C703" t="s">
        <v>12</v>
      </c>
      <c r="D703" t="s">
        <v>13</v>
      </c>
      <c r="E703">
        <v>12.5</v>
      </c>
      <c r="F703">
        <v>10</v>
      </c>
      <c r="G703">
        <v>0</v>
      </c>
      <c r="H703">
        <v>125</v>
      </c>
      <c r="I703">
        <f>AVERAGEIFS(sales_Data[units_sold], sales_Data[product_id],sales_Data[[#This Row],[product_id]])</f>
        <v>31.794520547945204</v>
      </c>
      <c r="J703">
        <f>_xlfn.XLOOKUP(sales_Data[[#This Row],[product_id]],sales_Data[product_id],sales_Data[unit_price])</f>
        <v>12.5</v>
      </c>
    </row>
    <row r="704" spans="1:10" x14ac:dyDescent="0.3">
      <c r="A704" t="s">
        <v>720</v>
      </c>
      <c r="B704" s="1">
        <v>45798</v>
      </c>
      <c r="C704" t="s">
        <v>15</v>
      </c>
      <c r="D704" t="s">
        <v>16</v>
      </c>
      <c r="E704">
        <v>35</v>
      </c>
      <c r="F704">
        <v>29</v>
      </c>
      <c r="G704">
        <v>0</v>
      </c>
      <c r="H704">
        <v>1015</v>
      </c>
      <c r="I704">
        <f>AVERAGEIFS(sales_Data[units_sold], sales_Data[product_id],sales_Data[[#This Row],[product_id]])</f>
        <v>30.438356164383563</v>
      </c>
      <c r="J704">
        <f>_xlfn.XLOOKUP(sales_Data[[#This Row],[product_id]],sales_Data[product_id],sales_Data[unit_price])</f>
        <v>35</v>
      </c>
    </row>
    <row r="705" spans="1:10" x14ac:dyDescent="0.3">
      <c r="A705" t="s">
        <v>721</v>
      </c>
      <c r="B705" s="1">
        <v>45798</v>
      </c>
      <c r="C705" t="s">
        <v>18</v>
      </c>
      <c r="D705" t="s">
        <v>19</v>
      </c>
      <c r="E705">
        <v>120</v>
      </c>
      <c r="F705">
        <v>25</v>
      </c>
      <c r="G705">
        <v>0.2</v>
      </c>
      <c r="H705">
        <v>2400</v>
      </c>
      <c r="I705">
        <f>AVERAGEIFS(sales_Data[units_sold], sales_Data[product_id],sales_Data[[#This Row],[product_id]])</f>
        <v>30.473972602739725</v>
      </c>
      <c r="J705">
        <f>_xlfn.XLOOKUP(sales_Data[[#This Row],[product_id]],sales_Data[product_id],sales_Data[unit_price])</f>
        <v>120</v>
      </c>
    </row>
    <row r="706" spans="1:10" x14ac:dyDescent="0.3">
      <c r="A706" t="s">
        <v>722</v>
      </c>
      <c r="B706" s="1">
        <v>45798</v>
      </c>
      <c r="C706" t="s">
        <v>21</v>
      </c>
      <c r="D706" t="s">
        <v>22</v>
      </c>
      <c r="E706">
        <v>25</v>
      </c>
      <c r="F706">
        <v>29</v>
      </c>
      <c r="G706">
        <v>0</v>
      </c>
      <c r="H706">
        <v>725</v>
      </c>
      <c r="I706">
        <f>AVERAGEIFS(sales_Data[units_sold], sales_Data[product_id],sales_Data[[#This Row],[product_id]])</f>
        <v>29.463013698630139</v>
      </c>
      <c r="J706">
        <f>_xlfn.XLOOKUP(sales_Data[[#This Row],[product_id]],sales_Data[product_id],sales_Data[unit_price])</f>
        <v>25</v>
      </c>
    </row>
    <row r="707" spans="1:10" x14ac:dyDescent="0.3">
      <c r="A707" t="s">
        <v>723</v>
      </c>
      <c r="B707" s="1">
        <v>45799</v>
      </c>
      <c r="C707" t="s">
        <v>9</v>
      </c>
      <c r="D707" t="s">
        <v>10</v>
      </c>
      <c r="E707">
        <v>45</v>
      </c>
      <c r="F707">
        <v>29</v>
      </c>
      <c r="G707">
        <v>0.1</v>
      </c>
      <c r="H707">
        <v>1174.5</v>
      </c>
      <c r="I707">
        <f>AVERAGEIFS(sales_Data[units_sold], sales_Data[product_id],sales_Data[[#This Row],[product_id]])</f>
        <v>31.479452054794521</v>
      </c>
      <c r="J707">
        <f>_xlfn.XLOOKUP(sales_Data[[#This Row],[product_id]],sales_Data[product_id],sales_Data[unit_price])</f>
        <v>45</v>
      </c>
    </row>
    <row r="708" spans="1:10" x14ac:dyDescent="0.3">
      <c r="A708" t="s">
        <v>724</v>
      </c>
      <c r="B708" s="1">
        <v>45799</v>
      </c>
      <c r="C708" t="s">
        <v>12</v>
      </c>
      <c r="D708" t="s">
        <v>13</v>
      </c>
      <c r="E708">
        <v>12.5</v>
      </c>
      <c r="F708">
        <v>20</v>
      </c>
      <c r="G708">
        <v>0</v>
      </c>
      <c r="H708">
        <v>250</v>
      </c>
      <c r="I708">
        <f>AVERAGEIFS(sales_Data[units_sold], sales_Data[product_id],sales_Data[[#This Row],[product_id]])</f>
        <v>31.794520547945204</v>
      </c>
      <c r="J708">
        <f>_xlfn.XLOOKUP(sales_Data[[#This Row],[product_id]],sales_Data[product_id],sales_Data[unit_price])</f>
        <v>12.5</v>
      </c>
    </row>
    <row r="709" spans="1:10" x14ac:dyDescent="0.3">
      <c r="A709" t="s">
        <v>725</v>
      </c>
      <c r="B709" s="1">
        <v>45799</v>
      </c>
      <c r="C709" t="s">
        <v>15</v>
      </c>
      <c r="D709" t="s">
        <v>16</v>
      </c>
      <c r="E709">
        <v>35</v>
      </c>
      <c r="F709">
        <v>34</v>
      </c>
      <c r="G709">
        <v>0</v>
      </c>
      <c r="H709">
        <v>1190</v>
      </c>
      <c r="I709">
        <f>AVERAGEIFS(sales_Data[units_sold], sales_Data[product_id],sales_Data[[#This Row],[product_id]])</f>
        <v>30.438356164383563</v>
      </c>
      <c r="J709">
        <f>_xlfn.XLOOKUP(sales_Data[[#This Row],[product_id]],sales_Data[product_id],sales_Data[unit_price])</f>
        <v>35</v>
      </c>
    </row>
    <row r="710" spans="1:10" x14ac:dyDescent="0.3">
      <c r="A710" t="s">
        <v>726</v>
      </c>
      <c r="B710" s="1">
        <v>45799</v>
      </c>
      <c r="C710" t="s">
        <v>18</v>
      </c>
      <c r="D710" t="s">
        <v>19</v>
      </c>
      <c r="E710">
        <v>120</v>
      </c>
      <c r="F710">
        <v>11</v>
      </c>
      <c r="G710">
        <v>0</v>
      </c>
      <c r="H710">
        <v>1320</v>
      </c>
      <c r="I710">
        <f>AVERAGEIFS(sales_Data[units_sold], sales_Data[product_id],sales_Data[[#This Row],[product_id]])</f>
        <v>30.473972602739725</v>
      </c>
      <c r="J710">
        <f>_xlfn.XLOOKUP(sales_Data[[#This Row],[product_id]],sales_Data[product_id],sales_Data[unit_price])</f>
        <v>120</v>
      </c>
    </row>
    <row r="711" spans="1:10" x14ac:dyDescent="0.3">
      <c r="A711" t="s">
        <v>727</v>
      </c>
      <c r="B711" s="1">
        <v>45799</v>
      </c>
      <c r="C711" t="s">
        <v>21</v>
      </c>
      <c r="D711" t="s">
        <v>22</v>
      </c>
      <c r="E711">
        <v>25</v>
      </c>
      <c r="F711">
        <v>48</v>
      </c>
      <c r="G711">
        <v>0</v>
      </c>
      <c r="H711">
        <v>1200</v>
      </c>
      <c r="I711">
        <f>AVERAGEIFS(sales_Data[units_sold], sales_Data[product_id],sales_Data[[#This Row],[product_id]])</f>
        <v>29.463013698630139</v>
      </c>
      <c r="J711">
        <f>_xlfn.XLOOKUP(sales_Data[[#This Row],[product_id]],sales_Data[product_id],sales_Data[unit_price])</f>
        <v>25</v>
      </c>
    </row>
    <row r="712" spans="1:10" x14ac:dyDescent="0.3">
      <c r="A712" t="s">
        <v>728</v>
      </c>
      <c r="B712" s="1">
        <v>45800</v>
      </c>
      <c r="C712" t="s">
        <v>9</v>
      </c>
      <c r="D712" t="s">
        <v>10</v>
      </c>
      <c r="E712">
        <v>45</v>
      </c>
      <c r="F712">
        <v>46</v>
      </c>
      <c r="G712">
        <v>0.2</v>
      </c>
      <c r="H712">
        <v>1656</v>
      </c>
      <c r="I712">
        <f>AVERAGEIFS(sales_Data[units_sold], sales_Data[product_id],sales_Data[[#This Row],[product_id]])</f>
        <v>31.479452054794521</v>
      </c>
      <c r="J712">
        <f>_xlfn.XLOOKUP(sales_Data[[#This Row],[product_id]],sales_Data[product_id],sales_Data[unit_price])</f>
        <v>45</v>
      </c>
    </row>
    <row r="713" spans="1:10" x14ac:dyDescent="0.3">
      <c r="A713" t="s">
        <v>729</v>
      </c>
      <c r="B713" s="1">
        <v>45800</v>
      </c>
      <c r="C713" t="s">
        <v>12</v>
      </c>
      <c r="D713" t="s">
        <v>13</v>
      </c>
      <c r="E713">
        <v>12.5</v>
      </c>
      <c r="F713">
        <v>46</v>
      </c>
      <c r="G713">
        <v>0</v>
      </c>
      <c r="H713">
        <v>575</v>
      </c>
      <c r="I713">
        <f>AVERAGEIFS(sales_Data[units_sold], sales_Data[product_id],sales_Data[[#This Row],[product_id]])</f>
        <v>31.794520547945204</v>
      </c>
      <c r="J713">
        <f>_xlfn.XLOOKUP(sales_Data[[#This Row],[product_id]],sales_Data[product_id],sales_Data[unit_price])</f>
        <v>12.5</v>
      </c>
    </row>
    <row r="714" spans="1:10" x14ac:dyDescent="0.3">
      <c r="A714" t="s">
        <v>730</v>
      </c>
      <c r="B714" s="1">
        <v>45800</v>
      </c>
      <c r="C714" t="s">
        <v>15</v>
      </c>
      <c r="D714" t="s">
        <v>16</v>
      </c>
      <c r="E714">
        <v>35</v>
      </c>
      <c r="F714">
        <v>23</v>
      </c>
      <c r="G714">
        <v>0.2</v>
      </c>
      <c r="H714">
        <v>644</v>
      </c>
      <c r="I714">
        <f>AVERAGEIFS(sales_Data[units_sold], sales_Data[product_id],sales_Data[[#This Row],[product_id]])</f>
        <v>30.438356164383563</v>
      </c>
      <c r="J714">
        <f>_xlfn.XLOOKUP(sales_Data[[#This Row],[product_id]],sales_Data[product_id],sales_Data[unit_price])</f>
        <v>35</v>
      </c>
    </row>
    <row r="715" spans="1:10" x14ac:dyDescent="0.3">
      <c r="A715" t="s">
        <v>731</v>
      </c>
      <c r="B715" s="1">
        <v>45800</v>
      </c>
      <c r="C715" t="s">
        <v>18</v>
      </c>
      <c r="D715" t="s">
        <v>19</v>
      </c>
      <c r="E715">
        <v>120</v>
      </c>
      <c r="F715">
        <v>11</v>
      </c>
      <c r="G715">
        <v>0</v>
      </c>
      <c r="H715">
        <v>1320</v>
      </c>
      <c r="I715">
        <f>AVERAGEIFS(sales_Data[units_sold], sales_Data[product_id],sales_Data[[#This Row],[product_id]])</f>
        <v>30.473972602739725</v>
      </c>
      <c r="J715">
        <f>_xlfn.XLOOKUP(sales_Data[[#This Row],[product_id]],sales_Data[product_id],sales_Data[unit_price])</f>
        <v>120</v>
      </c>
    </row>
    <row r="716" spans="1:10" x14ac:dyDescent="0.3">
      <c r="A716" t="s">
        <v>732</v>
      </c>
      <c r="B716" s="1">
        <v>45800</v>
      </c>
      <c r="C716" t="s">
        <v>21</v>
      </c>
      <c r="D716" t="s">
        <v>22</v>
      </c>
      <c r="E716">
        <v>25</v>
      </c>
      <c r="F716">
        <v>31</v>
      </c>
      <c r="G716">
        <v>0.2</v>
      </c>
      <c r="H716">
        <v>620</v>
      </c>
      <c r="I716">
        <f>AVERAGEIFS(sales_Data[units_sold], sales_Data[product_id],sales_Data[[#This Row],[product_id]])</f>
        <v>29.463013698630139</v>
      </c>
      <c r="J716">
        <f>_xlfn.XLOOKUP(sales_Data[[#This Row],[product_id]],sales_Data[product_id],sales_Data[unit_price])</f>
        <v>25</v>
      </c>
    </row>
    <row r="717" spans="1:10" x14ac:dyDescent="0.3">
      <c r="A717" t="s">
        <v>733</v>
      </c>
      <c r="B717" s="1">
        <v>45801</v>
      </c>
      <c r="C717" t="s">
        <v>9</v>
      </c>
      <c r="D717" t="s">
        <v>10</v>
      </c>
      <c r="E717">
        <v>45</v>
      </c>
      <c r="F717">
        <v>22</v>
      </c>
      <c r="G717">
        <v>0.2</v>
      </c>
      <c r="H717">
        <v>792</v>
      </c>
      <c r="I717">
        <f>AVERAGEIFS(sales_Data[units_sold], sales_Data[product_id],sales_Data[[#This Row],[product_id]])</f>
        <v>31.479452054794521</v>
      </c>
      <c r="J717">
        <f>_xlfn.XLOOKUP(sales_Data[[#This Row],[product_id]],sales_Data[product_id],sales_Data[unit_price])</f>
        <v>45</v>
      </c>
    </row>
    <row r="718" spans="1:10" x14ac:dyDescent="0.3">
      <c r="A718" t="s">
        <v>734</v>
      </c>
      <c r="B718" s="1">
        <v>45801</v>
      </c>
      <c r="C718" t="s">
        <v>12</v>
      </c>
      <c r="D718" t="s">
        <v>13</v>
      </c>
      <c r="E718">
        <v>12.5</v>
      </c>
      <c r="F718">
        <v>28</v>
      </c>
      <c r="G718">
        <v>0</v>
      </c>
      <c r="H718">
        <v>350</v>
      </c>
      <c r="I718">
        <f>AVERAGEIFS(sales_Data[units_sold], sales_Data[product_id],sales_Data[[#This Row],[product_id]])</f>
        <v>31.794520547945204</v>
      </c>
      <c r="J718">
        <f>_xlfn.XLOOKUP(sales_Data[[#This Row],[product_id]],sales_Data[product_id],sales_Data[unit_price])</f>
        <v>12.5</v>
      </c>
    </row>
    <row r="719" spans="1:10" x14ac:dyDescent="0.3">
      <c r="A719" t="s">
        <v>735</v>
      </c>
      <c r="B719" s="1">
        <v>45801</v>
      </c>
      <c r="C719" t="s">
        <v>15</v>
      </c>
      <c r="D719" t="s">
        <v>16</v>
      </c>
      <c r="E719">
        <v>35</v>
      </c>
      <c r="F719">
        <v>18</v>
      </c>
      <c r="G719">
        <v>0</v>
      </c>
      <c r="H719">
        <v>630</v>
      </c>
      <c r="I719">
        <f>AVERAGEIFS(sales_Data[units_sold], sales_Data[product_id],sales_Data[[#This Row],[product_id]])</f>
        <v>30.438356164383563</v>
      </c>
      <c r="J719">
        <f>_xlfn.XLOOKUP(sales_Data[[#This Row],[product_id]],sales_Data[product_id],sales_Data[unit_price])</f>
        <v>35</v>
      </c>
    </row>
    <row r="720" spans="1:10" x14ac:dyDescent="0.3">
      <c r="A720" t="s">
        <v>736</v>
      </c>
      <c r="B720" s="1">
        <v>45801</v>
      </c>
      <c r="C720" t="s">
        <v>18</v>
      </c>
      <c r="D720" t="s">
        <v>19</v>
      </c>
      <c r="E720">
        <v>120</v>
      </c>
      <c r="F720">
        <v>37</v>
      </c>
      <c r="G720">
        <v>0</v>
      </c>
      <c r="H720">
        <v>4440</v>
      </c>
      <c r="I720">
        <f>AVERAGEIFS(sales_Data[units_sold], sales_Data[product_id],sales_Data[[#This Row],[product_id]])</f>
        <v>30.473972602739725</v>
      </c>
      <c r="J720">
        <f>_xlfn.XLOOKUP(sales_Data[[#This Row],[product_id]],sales_Data[product_id],sales_Data[unit_price])</f>
        <v>120</v>
      </c>
    </row>
    <row r="721" spans="1:10" x14ac:dyDescent="0.3">
      <c r="A721" t="s">
        <v>737</v>
      </c>
      <c r="B721" s="1">
        <v>45801</v>
      </c>
      <c r="C721" t="s">
        <v>21</v>
      </c>
      <c r="D721" t="s">
        <v>22</v>
      </c>
      <c r="E721">
        <v>25</v>
      </c>
      <c r="F721">
        <v>72</v>
      </c>
      <c r="G721">
        <v>0.1</v>
      </c>
      <c r="H721">
        <v>1620</v>
      </c>
      <c r="I721">
        <f>AVERAGEIFS(sales_Data[units_sold], sales_Data[product_id],sales_Data[[#This Row],[product_id]])</f>
        <v>29.463013698630139</v>
      </c>
      <c r="J721">
        <f>_xlfn.XLOOKUP(sales_Data[[#This Row],[product_id]],sales_Data[product_id],sales_Data[unit_price])</f>
        <v>25</v>
      </c>
    </row>
    <row r="722" spans="1:10" x14ac:dyDescent="0.3">
      <c r="A722" t="s">
        <v>738</v>
      </c>
      <c r="B722" s="1">
        <v>45802</v>
      </c>
      <c r="C722" t="s">
        <v>9</v>
      </c>
      <c r="D722" t="s">
        <v>10</v>
      </c>
      <c r="E722">
        <v>45</v>
      </c>
      <c r="F722">
        <v>72</v>
      </c>
      <c r="G722">
        <v>0</v>
      </c>
      <c r="H722">
        <v>3240</v>
      </c>
      <c r="I722">
        <f>AVERAGEIFS(sales_Data[units_sold], sales_Data[product_id],sales_Data[[#This Row],[product_id]])</f>
        <v>31.479452054794521</v>
      </c>
      <c r="J722">
        <f>_xlfn.XLOOKUP(sales_Data[[#This Row],[product_id]],sales_Data[product_id],sales_Data[unit_price])</f>
        <v>45</v>
      </c>
    </row>
    <row r="723" spans="1:10" x14ac:dyDescent="0.3">
      <c r="A723" t="s">
        <v>739</v>
      </c>
      <c r="B723" s="1">
        <v>45802</v>
      </c>
      <c r="C723" t="s">
        <v>12</v>
      </c>
      <c r="D723" t="s">
        <v>13</v>
      </c>
      <c r="E723">
        <v>12.5</v>
      </c>
      <c r="F723">
        <v>25</v>
      </c>
      <c r="G723">
        <v>0.1</v>
      </c>
      <c r="H723">
        <v>281.25</v>
      </c>
      <c r="I723">
        <f>AVERAGEIFS(sales_Data[units_sold], sales_Data[product_id],sales_Data[[#This Row],[product_id]])</f>
        <v>31.794520547945204</v>
      </c>
      <c r="J723">
        <f>_xlfn.XLOOKUP(sales_Data[[#This Row],[product_id]],sales_Data[product_id],sales_Data[unit_price])</f>
        <v>12.5</v>
      </c>
    </row>
    <row r="724" spans="1:10" x14ac:dyDescent="0.3">
      <c r="A724" t="s">
        <v>740</v>
      </c>
      <c r="B724" s="1">
        <v>45802</v>
      </c>
      <c r="C724" t="s">
        <v>15</v>
      </c>
      <c r="D724" t="s">
        <v>16</v>
      </c>
      <c r="E724">
        <v>35</v>
      </c>
      <c r="F724">
        <v>34</v>
      </c>
      <c r="G724">
        <v>0</v>
      </c>
      <c r="H724">
        <v>1190</v>
      </c>
      <c r="I724">
        <f>AVERAGEIFS(sales_Data[units_sold], sales_Data[product_id],sales_Data[[#This Row],[product_id]])</f>
        <v>30.438356164383563</v>
      </c>
      <c r="J724">
        <f>_xlfn.XLOOKUP(sales_Data[[#This Row],[product_id]],sales_Data[product_id],sales_Data[unit_price])</f>
        <v>35</v>
      </c>
    </row>
    <row r="725" spans="1:10" x14ac:dyDescent="0.3">
      <c r="A725" t="s">
        <v>741</v>
      </c>
      <c r="B725" s="1">
        <v>45802</v>
      </c>
      <c r="C725" t="s">
        <v>18</v>
      </c>
      <c r="D725" t="s">
        <v>19</v>
      </c>
      <c r="E725">
        <v>120</v>
      </c>
      <c r="F725">
        <v>19</v>
      </c>
      <c r="G725">
        <v>0.1</v>
      </c>
      <c r="H725">
        <v>2052</v>
      </c>
      <c r="I725">
        <f>AVERAGEIFS(sales_Data[units_sold], sales_Data[product_id],sales_Data[[#This Row],[product_id]])</f>
        <v>30.473972602739725</v>
      </c>
      <c r="J725">
        <f>_xlfn.XLOOKUP(sales_Data[[#This Row],[product_id]],sales_Data[product_id],sales_Data[unit_price])</f>
        <v>120</v>
      </c>
    </row>
    <row r="726" spans="1:10" x14ac:dyDescent="0.3">
      <c r="A726" t="s">
        <v>742</v>
      </c>
      <c r="B726" s="1">
        <v>45802</v>
      </c>
      <c r="C726" t="s">
        <v>21</v>
      </c>
      <c r="D726" t="s">
        <v>22</v>
      </c>
      <c r="E726">
        <v>25</v>
      </c>
      <c r="F726">
        <v>61</v>
      </c>
      <c r="G726">
        <v>0</v>
      </c>
      <c r="H726">
        <v>1525</v>
      </c>
      <c r="I726">
        <f>AVERAGEIFS(sales_Data[units_sold], sales_Data[product_id],sales_Data[[#This Row],[product_id]])</f>
        <v>29.463013698630139</v>
      </c>
      <c r="J726">
        <f>_xlfn.XLOOKUP(sales_Data[[#This Row],[product_id]],sales_Data[product_id],sales_Data[unit_price])</f>
        <v>25</v>
      </c>
    </row>
    <row r="727" spans="1:10" x14ac:dyDescent="0.3">
      <c r="A727" t="s">
        <v>743</v>
      </c>
      <c r="B727" s="1">
        <v>45803</v>
      </c>
      <c r="C727" t="s">
        <v>9</v>
      </c>
      <c r="D727" t="s">
        <v>10</v>
      </c>
      <c r="E727">
        <v>45</v>
      </c>
      <c r="F727">
        <v>25</v>
      </c>
      <c r="G727">
        <v>0</v>
      </c>
      <c r="H727">
        <v>1125</v>
      </c>
      <c r="I727">
        <f>AVERAGEIFS(sales_Data[units_sold], sales_Data[product_id],sales_Data[[#This Row],[product_id]])</f>
        <v>31.479452054794521</v>
      </c>
      <c r="J727">
        <f>_xlfn.XLOOKUP(sales_Data[[#This Row],[product_id]],sales_Data[product_id],sales_Data[unit_price])</f>
        <v>45</v>
      </c>
    </row>
    <row r="728" spans="1:10" x14ac:dyDescent="0.3">
      <c r="A728" t="s">
        <v>744</v>
      </c>
      <c r="B728" s="1">
        <v>45803</v>
      </c>
      <c r="C728" t="s">
        <v>12</v>
      </c>
      <c r="D728" t="s">
        <v>13</v>
      </c>
      <c r="E728">
        <v>12.5</v>
      </c>
      <c r="F728">
        <v>26</v>
      </c>
      <c r="G728">
        <v>0</v>
      </c>
      <c r="H728">
        <v>325</v>
      </c>
      <c r="I728">
        <f>AVERAGEIFS(sales_Data[units_sold], sales_Data[product_id],sales_Data[[#This Row],[product_id]])</f>
        <v>31.794520547945204</v>
      </c>
      <c r="J728">
        <f>_xlfn.XLOOKUP(sales_Data[[#This Row],[product_id]],sales_Data[product_id],sales_Data[unit_price])</f>
        <v>12.5</v>
      </c>
    </row>
    <row r="729" spans="1:10" x14ac:dyDescent="0.3">
      <c r="A729" t="s">
        <v>745</v>
      </c>
      <c r="B729" s="1">
        <v>45803</v>
      </c>
      <c r="C729" t="s">
        <v>15</v>
      </c>
      <c r="D729" t="s">
        <v>16</v>
      </c>
      <c r="E729">
        <v>35</v>
      </c>
      <c r="F729">
        <v>32</v>
      </c>
      <c r="G729">
        <v>0</v>
      </c>
      <c r="H729">
        <v>1120</v>
      </c>
      <c r="I729">
        <f>AVERAGEIFS(sales_Data[units_sold], sales_Data[product_id],sales_Data[[#This Row],[product_id]])</f>
        <v>30.438356164383563</v>
      </c>
      <c r="J729">
        <f>_xlfn.XLOOKUP(sales_Data[[#This Row],[product_id]],sales_Data[product_id],sales_Data[unit_price])</f>
        <v>35</v>
      </c>
    </row>
    <row r="730" spans="1:10" x14ac:dyDescent="0.3">
      <c r="A730" t="s">
        <v>746</v>
      </c>
      <c r="B730" s="1">
        <v>45803</v>
      </c>
      <c r="C730" t="s">
        <v>18</v>
      </c>
      <c r="D730" t="s">
        <v>19</v>
      </c>
      <c r="E730">
        <v>120</v>
      </c>
      <c r="F730">
        <v>47</v>
      </c>
      <c r="G730">
        <v>0</v>
      </c>
      <c r="H730">
        <v>5640</v>
      </c>
      <c r="I730">
        <f>AVERAGEIFS(sales_Data[units_sold], sales_Data[product_id],sales_Data[[#This Row],[product_id]])</f>
        <v>30.473972602739725</v>
      </c>
      <c r="J730">
        <f>_xlfn.XLOOKUP(sales_Data[[#This Row],[product_id]],sales_Data[product_id],sales_Data[unit_price])</f>
        <v>120</v>
      </c>
    </row>
    <row r="731" spans="1:10" x14ac:dyDescent="0.3">
      <c r="A731" t="s">
        <v>747</v>
      </c>
      <c r="B731" s="1">
        <v>45803</v>
      </c>
      <c r="C731" t="s">
        <v>21</v>
      </c>
      <c r="D731" t="s">
        <v>22</v>
      </c>
      <c r="E731">
        <v>25</v>
      </c>
      <c r="F731">
        <v>34</v>
      </c>
      <c r="G731">
        <v>0</v>
      </c>
      <c r="H731">
        <v>850</v>
      </c>
      <c r="I731">
        <f>AVERAGEIFS(sales_Data[units_sold], sales_Data[product_id],sales_Data[[#This Row],[product_id]])</f>
        <v>29.463013698630139</v>
      </c>
      <c r="J731">
        <f>_xlfn.XLOOKUP(sales_Data[[#This Row],[product_id]],sales_Data[product_id],sales_Data[unit_price])</f>
        <v>25</v>
      </c>
    </row>
    <row r="732" spans="1:10" x14ac:dyDescent="0.3">
      <c r="A732" t="s">
        <v>748</v>
      </c>
      <c r="B732" s="1">
        <v>45804</v>
      </c>
      <c r="C732" t="s">
        <v>9</v>
      </c>
      <c r="D732" t="s">
        <v>10</v>
      </c>
      <c r="E732">
        <v>45</v>
      </c>
      <c r="F732">
        <v>23</v>
      </c>
      <c r="G732">
        <v>0.1</v>
      </c>
      <c r="H732">
        <v>931.5</v>
      </c>
      <c r="I732">
        <f>AVERAGEIFS(sales_Data[units_sold], sales_Data[product_id],sales_Data[[#This Row],[product_id]])</f>
        <v>31.479452054794521</v>
      </c>
      <c r="J732">
        <f>_xlfn.XLOOKUP(sales_Data[[#This Row],[product_id]],sales_Data[product_id],sales_Data[unit_price])</f>
        <v>45</v>
      </c>
    </row>
    <row r="733" spans="1:10" x14ac:dyDescent="0.3">
      <c r="A733" t="s">
        <v>749</v>
      </c>
      <c r="B733" s="1">
        <v>45804</v>
      </c>
      <c r="C733" t="s">
        <v>12</v>
      </c>
      <c r="D733" t="s">
        <v>13</v>
      </c>
      <c r="E733">
        <v>12.5</v>
      </c>
      <c r="F733">
        <v>45</v>
      </c>
      <c r="G733">
        <v>0.1</v>
      </c>
      <c r="H733">
        <v>506.25</v>
      </c>
      <c r="I733">
        <f>AVERAGEIFS(sales_Data[units_sold], sales_Data[product_id],sales_Data[[#This Row],[product_id]])</f>
        <v>31.794520547945204</v>
      </c>
      <c r="J733">
        <f>_xlfn.XLOOKUP(sales_Data[[#This Row],[product_id]],sales_Data[product_id],sales_Data[unit_price])</f>
        <v>12.5</v>
      </c>
    </row>
    <row r="734" spans="1:10" x14ac:dyDescent="0.3">
      <c r="A734" t="s">
        <v>750</v>
      </c>
      <c r="B734" s="1">
        <v>45804</v>
      </c>
      <c r="C734" t="s">
        <v>15</v>
      </c>
      <c r="D734" t="s">
        <v>16</v>
      </c>
      <c r="E734">
        <v>35</v>
      </c>
      <c r="F734">
        <v>33</v>
      </c>
      <c r="G734">
        <v>0</v>
      </c>
      <c r="H734">
        <v>1155</v>
      </c>
      <c r="I734">
        <f>AVERAGEIFS(sales_Data[units_sold], sales_Data[product_id],sales_Data[[#This Row],[product_id]])</f>
        <v>30.438356164383563</v>
      </c>
      <c r="J734">
        <f>_xlfn.XLOOKUP(sales_Data[[#This Row],[product_id]],sales_Data[product_id],sales_Data[unit_price])</f>
        <v>35</v>
      </c>
    </row>
    <row r="735" spans="1:10" x14ac:dyDescent="0.3">
      <c r="A735" t="s">
        <v>751</v>
      </c>
      <c r="B735" s="1">
        <v>45804</v>
      </c>
      <c r="C735" t="s">
        <v>18</v>
      </c>
      <c r="D735" t="s">
        <v>19</v>
      </c>
      <c r="E735">
        <v>120</v>
      </c>
      <c r="F735">
        <v>44</v>
      </c>
      <c r="G735">
        <v>0</v>
      </c>
      <c r="H735">
        <v>5280</v>
      </c>
      <c r="I735">
        <f>AVERAGEIFS(sales_Data[units_sold], sales_Data[product_id],sales_Data[[#This Row],[product_id]])</f>
        <v>30.473972602739725</v>
      </c>
      <c r="J735">
        <f>_xlfn.XLOOKUP(sales_Data[[#This Row],[product_id]],sales_Data[product_id],sales_Data[unit_price])</f>
        <v>120</v>
      </c>
    </row>
    <row r="736" spans="1:10" x14ac:dyDescent="0.3">
      <c r="A736" t="s">
        <v>752</v>
      </c>
      <c r="B736" s="1">
        <v>45804</v>
      </c>
      <c r="C736" t="s">
        <v>21</v>
      </c>
      <c r="D736" t="s">
        <v>22</v>
      </c>
      <c r="E736">
        <v>25</v>
      </c>
      <c r="F736">
        <v>25</v>
      </c>
      <c r="G736">
        <v>0.2</v>
      </c>
      <c r="H736">
        <v>500</v>
      </c>
      <c r="I736">
        <f>AVERAGEIFS(sales_Data[units_sold], sales_Data[product_id],sales_Data[[#This Row],[product_id]])</f>
        <v>29.463013698630139</v>
      </c>
      <c r="J736">
        <f>_xlfn.XLOOKUP(sales_Data[[#This Row],[product_id]],sales_Data[product_id],sales_Data[unit_price])</f>
        <v>25</v>
      </c>
    </row>
    <row r="737" spans="1:10" x14ac:dyDescent="0.3">
      <c r="A737" t="s">
        <v>753</v>
      </c>
      <c r="B737" s="1">
        <v>45805</v>
      </c>
      <c r="C737" t="s">
        <v>9</v>
      </c>
      <c r="D737" t="s">
        <v>10</v>
      </c>
      <c r="E737">
        <v>45</v>
      </c>
      <c r="F737">
        <v>48</v>
      </c>
      <c r="G737">
        <v>0</v>
      </c>
      <c r="H737">
        <v>2160</v>
      </c>
      <c r="I737">
        <f>AVERAGEIFS(sales_Data[units_sold], sales_Data[product_id],sales_Data[[#This Row],[product_id]])</f>
        <v>31.479452054794521</v>
      </c>
      <c r="J737">
        <f>_xlfn.XLOOKUP(sales_Data[[#This Row],[product_id]],sales_Data[product_id],sales_Data[unit_price])</f>
        <v>45</v>
      </c>
    </row>
    <row r="738" spans="1:10" x14ac:dyDescent="0.3">
      <c r="A738" t="s">
        <v>754</v>
      </c>
      <c r="B738" s="1">
        <v>45805</v>
      </c>
      <c r="C738" t="s">
        <v>12</v>
      </c>
      <c r="D738" t="s">
        <v>13</v>
      </c>
      <c r="E738">
        <v>12.5</v>
      </c>
      <c r="F738">
        <v>7</v>
      </c>
      <c r="G738">
        <v>0.1</v>
      </c>
      <c r="H738">
        <v>78.75</v>
      </c>
      <c r="I738">
        <f>AVERAGEIFS(sales_Data[units_sold], sales_Data[product_id],sales_Data[[#This Row],[product_id]])</f>
        <v>31.794520547945204</v>
      </c>
      <c r="J738">
        <f>_xlfn.XLOOKUP(sales_Data[[#This Row],[product_id]],sales_Data[product_id],sales_Data[unit_price])</f>
        <v>12.5</v>
      </c>
    </row>
    <row r="739" spans="1:10" x14ac:dyDescent="0.3">
      <c r="A739" t="s">
        <v>755</v>
      </c>
      <c r="B739" s="1">
        <v>45805</v>
      </c>
      <c r="C739" t="s">
        <v>15</v>
      </c>
      <c r="D739" t="s">
        <v>16</v>
      </c>
      <c r="E739">
        <v>35</v>
      </c>
      <c r="F739">
        <v>13</v>
      </c>
      <c r="G739">
        <v>0.2</v>
      </c>
      <c r="H739">
        <v>364</v>
      </c>
      <c r="I739">
        <f>AVERAGEIFS(sales_Data[units_sold], sales_Data[product_id],sales_Data[[#This Row],[product_id]])</f>
        <v>30.438356164383563</v>
      </c>
      <c r="J739">
        <f>_xlfn.XLOOKUP(sales_Data[[#This Row],[product_id]],sales_Data[product_id],sales_Data[unit_price])</f>
        <v>35</v>
      </c>
    </row>
    <row r="740" spans="1:10" x14ac:dyDescent="0.3">
      <c r="A740" t="s">
        <v>756</v>
      </c>
      <c r="B740" s="1">
        <v>45805</v>
      </c>
      <c r="C740" t="s">
        <v>18</v>
      </c>
      <c r="D740" t="s">
        <v>19</v>
      </c>
      <c r="E740">
        <v>120</v>
      </c>
      <c r="F740">
        <v>48</v>
      </c>
      <c r="G740">
        <v>0</v>
      </c>
      <c r="H740">
        <v>5760</v>
      </c>
      <c r="I740">
        <f>AVERAGEIFS(sales_Data[units_sold], sales_Data[product_id],sales_Data[[#This Row],[product_id]])</f>
        <v>30.473972602739725</v>
      </c>
      <c r="J740">
        <f>_xlfn.XLOOKUP(sales_Data[[#This Row],[product_id]],sales_Data[product_id],sales_Data[unit_price])</f>
        <v>120</v>
      </c>
    </row>
    <row r="741" spans="1:10" x14ac:dyDescent="0.3">
      <c r="A741" t="s">
        <v>757</v>
      </c>
      <c r="B741" s="1">
        <v>45805</v>
      </c>
      <c r="C741" t="s">
        <v>21</v>
      </c>
      <c r="D741" t="s">
        <v>22</v>
      </c>
      <c r="E741">
        <v>25</v>
      </c>
      <c r="F741">
        <v>34</v>
      </c>
      <c r="G741">
        <v>0.1</v>
      </c>
      <c r="H741">
        <v>765</v>
      </c>
      <c r="I741">
        <f>AVERAGEIFS(sales_Data[units_sold], sales_Data[product_id],sales_Data[[#This Row],[product_id]])</f>
        <v>29.463013698630139</v>
      </c>
      <c r="J741">
        <f>_xlfn.XLOOKUP(sales_Data[[#This Row],[product_id]],sales_Data[product_id],sales_Data[unit_price])</f>
        <v>25</v>
      </c>
    </row>
    <row r="742" spans="1:10" x14ac:dyDescent="0.3">
      <c r="A742" t="s">
        <v>758</v>
      </c>
      <c r="B742" s="1">
        <v>45806</v>
      </c>
      <c r="C742" t="s">
        <v>9</v>
      </c>
      <c r="D742" t="s">
        <v>10</v>
      </c>
      <c r="E742">
        <v>45</v>
      </c>
      <c r="F742">
        <v>16</v>
      </c>
      <c r="G742">
        <v>0</v>
      </c>
      <c r="H742">
        <v>720</v>
      </c>
      <c r="I742">
        <f>AVERAGEIFS(sales_Data[units_sold], sales_Data[product_id],sales_Data[[#This Row],[product_id]])</f>
        <v>31.479452054794521</v>
      </c>
      <c r="J742">
        <f>_xlfn.XLOOKUP(sales_Data[[#This Row],[product_id]],sales_Data[product_id],sales_Data[unit_price])</f>
        <v>45</v>
      </c>
    </row>
    <row r="743" spans="1:10" x14ac:dyDescent="0.3">
      <c r="A743" t="s">
        <v>759</v>
      </c>
      <c r="B743" s="1">
        <v>45806</v>
      </c>
      <c r="C743" t="s">
        <v>12</v>
      </c>
      <c r="D743" t="s">
        <v>13</v>
      </c>
      <c r="E743">
        <v>12.5</v>
      </c>
      <c r="F743">
        <v>38</v>
      </c>
      <c r="G743">
        <v>0</v>
      </c>
      <c r="H743">
        <v>475</v>
      </c>
      <c r="I743">
        <f>AVERAGEIFS(sales_Data[units_sold], sales_Data[product_id],sales_Data[[#This Row],[product_id]])</f>
        <v>31.794520547945204</v>
      </c>
      <c r="J743">
        <f>_xlfn.XLOOKUP(sales_Data[[#This Row],[product_id]],sales_Data[product_id],sales_Data[unit_price])</f>
        <v>12.5</v>
      </c>
    </row>
    <row r="744" spans="1:10" x14ac:dyDescent="0.3">
      <c r="A744" t="s">
        <v>760</v>
      </c>
      <c r="B744" s="1">
        <v>45806</v>
      </c>
      <c r="C744" t="s">
        <v>15</v>
      </c>
      <c r="D744" t="s">
        <v>16</v>
      </c>
      <c r="E744">
        <v>35</v>
      </c>
      <c r="F744">
        <v>38</v>
      </c>
      <c r="G744">
        <v>0</v>
      </c>
      <c r="H744">
        <v>1330</v>
      </c>
      <c r="I744">
        <f>AVERAGEIFS(sales_Data[units_sold], sales_Data[product_id],sales_Data[[#This Row],[product_id]])</f>
        <v>30.438356164383563</v>
      </c>
      <c r="J744">
        <f>_xlfn.XLOOKUP(sales_Data[[#This Row],[product_id]],sales_Data[product_id],sales_Data[unit_price])</f>
        <v>35</v>
      </c>
    </row>
    <row r="745" spans="1:10" x14ac:dyDescent="0.3">
      <c r="A745" t="s">
        <v>761</v>
      </c>
      <c r="B745" s="1">
        <v>45806</v>
      </c>
      <c r="C745" t="s">
        <v>18</v>
      </c>
      <c r="D745" t="s">
        <v>19</v>
      </c>
      <c r="E745">
        <v>120</v>
      </c>
      <c r="F745">
        <v>12</v>
      </c>
      <c r="G745">
        <v>0.1</v>
      </c>
      <c r="H745">
        <v>1296</v>
      </c>
      <c r="I745">
        <f>AVERAGEIFS(sales_Data[units_sold], sales_Data[product_id],sales_Data[[#This Row],[product_id]])</f>
        <v>30.473972602739725</v>
      </c>
      <c r="J745">
        <f>_xlfn.XLOOKUP(sales_Data[[#This Row],[product_id]],sales_Data[product_id],sales_Data[unit_price])</f>
        <v>120</v>
      </c>
    </row>
    <row r="746" spans="1:10" x14ac:dyDescent="0.3">
      <c r="A746" t="s">
        <v>762</v>
      </c>
      <c r="B746" s="1">
        <v>45806</v>
      </c>
      <c r="C746" t="s">
        <v>21</v>
      </c>
      <c r="D746" t="s">
        <v>22</v>
      </c>
      <c r="E746">
        <v>25</v>
      </c>
      <c r="F746">
        <v>7</v>
      </c>
      <c r="G746">
        <v>0</v>
      </c>
      <c r="H746">
        <v>175</v>
      </c>
      <c r="I746">
        <f>AVERAGEIFS(sales_Data[units_sold], sales_Data[product_id],sales_Data[[#This Row],[product_id]])</f>
        <v>29.463013698630139</v>
      </c>
      <c r="J746">
        <f>_xlfn.XLOOKUP(sales_Data[[#This Row],[product_id]],sales_Data[product_id],sales_Data[unit_price])</f>
        <v>25</v>
      </c>
    </row>
    <row r="747" spans="1:10" x14ac:dyDescent="0.3">
      <c r="A747" t="s">
        <v>763</v>
      </c>
      <c r="B747" s="1">
        <v>45807</v>
      </c>
      <c r="C747" t="s">
        <v>9</v>
      </c>
      <c r="D747" t="s">
        <v>10</v>
      </c>
      <c r="E747">
        <v>45</v>
      </c>
      <c r="F747">
        <v>5</v>
      </c>
      <c r="G747">
        <v>0</v>
      </c>
      <c r="H747">
        <v>225</v>
      </c>
      <c r="I747">
        <f>AVERAGEIFS(sales_Data[units_sold], sales_Data[product_id],sales_Data[[#This Row],[product_id]])</f>
        <v>31.479452054794521</v>
      </c>
      <c r="J747">
        <f>_xlfn.XLOOKUP(sales_Data[[#This Row],[product_id]],sales_Data[product_id],sales_Data[unit_price])</f>
        <v>45</v>
      </c>
    </row>
    <row r="748" spans="1:10" x14ac:dyDescent="0.3">
      <c r="A748" t="s">
        <v>764</v>
      </c>
      <c r="B748" s="1">
        <v>45807</v>
      </c>
      <c r="C748" t="s">
        <v>12</v>
      </c>
      <c r="D748" t="s">
        <v>13</v>
      </c>
      <c r="E748">
        <v>12.5</v>
      </c>
      <c r="F748">
        <v>19</v>
      </c>
      <c r="G748">
        <v>0</v>
      </c>
      <c r="H748">
        <v>237.5</v>
      </c>
      <c r="I748">
        <f>AVERAGEIFS(sales_Data[units_sold], sales_Data[product_id],sales_Data[[#This Row],[product_id]])</f>
        <v>31.794520547945204</v>
      </c>
      <c r="J748">
        <f>_xlfn.XLOOKUP(sales_Data[[#This Row],[product_id]],sales_Data[product_id],sales_Data[unit_price])</f>
        <v>12.5</v>
      </c>
    </row>
    <row r="749" spans="1:10" x14ac:dyDescent="0.3">
      <c r="A749" t="s">
        <v>765</v>
      </c>
      <c r="B749" s="1">
        <v>45807</v>
      </c>
      <c r="C749" t="s">
        <v>15</v>
      </c>
      <c r="D749" t="s">
        <v>16</v>
      </c>
      <c r="E749">
        <v>35</v>
      </c>
      <c r="F749">
        <v>28</v>
      </c>
      <c r="G749">
        <v>0</v>
      </c>
      <c r="H749">
        <v>980</v>
      </c>
      <c r="I749">
        <f>AVERAGEIFS(sales_Data[units_sold], sales_Data[product_id],sales_Data[[#This Row],[product_id]])</f>
        <v>30.438356164383563</v>
      </c>
      <c r="J749">
        <f>_xlfn.XLOOKUP(sales_Data[[#This Row],[product_id]],sales_Data[product_id],sales_Data[unit_price])</f>
        <v>35</v>
      </c>
    </row>
    <row r="750" spans="1:10" x14ac:dyDescent="0.3">
      <c r="A750" t="s">
        <v>766</v>
      </c>
      <c r="B750" s="1">
        <v>45807</v>
      </c>
      <c r="C750" t="s">
        <v>18</v>
      </c>
      <c r="D750" t="s">
        <v>19</v>
      </c>
      <c r="E750">
        <v>120</v>
      </c>
      <c r="F750">
        <v>27</v>
      </c>
      <c r="G750">
        <v>0</v>
      </c>
      <c r="H750">
        <v>3240</v>
      </c>
      <c r="I750">
        <f>AVERAGEIFS(sales_Data[units_sold], sales_Data[product_id],sales_Data[[#This Row],[product_id]])</f>
        <v>30.473972602739725</v>
      </c>
      <c r="J750">
        <f>_xlfn.XLOOKUP(sales_Data[[#This Row],[product_id]],sales_Data[product_id],sales_Data[unit_price])</f>
        <v>120</v>
      </c>
    </row>
    <row r="751" spans="1:10" x14ac:dyDescent="0.3">
      <c r="A751" t="s">
        <v>767</v>
      </c>
      <c r="B751" s="1">
        <v>45807</v>
      </c>
      <c r="C751" t="s">
        <v>21</v>
      </c>
      <c r="D751" t="s">
        <v>22</v>
      </c>
      <c r="E751">
        <v>25</v>
      </c>
      <c r="F751">
        <v>10</v>
      </c>
      <c r="G751">
        <v>0.2</v>
      </c>
      <c r="H751">
        <v>200</v>
      </c>
      <c r="I751">
        <f>AVERAGEIFS(sales_Data[units_sold], sales_Data[product_id],sales_Data[[#This Row],[product_id]])</f>
        <v>29.463013698630139</v>
      </c>
      <c r="J751">
        <f>_xlfn.XLOOKUP(sales_Data[[#This Row],[product_id]],sales_Data[product_id],sales_Data[unit_price])</f>
        <v>25</v>
      </c>
    </row>
    <row r="752" spans="1:10" x14ac:dyDescent="0.3">
      <c r="A752" t="s">
        <v>768</v>
      </c>
      <c r="B752" s="1">
        <v>45808</v>
      </c>
      <c r="C752" t="s">
        <v>9</v>
      </c>
      <c r="D752" t="s">
        <v>10</v>
      </c>
      <c r="E752">
        <v>45</v>
      </c>
      <c r="F752">
        <v>21</v>
      </c>
      <c r="G752">
        <v>0</v>
      </c>
      <c r="H752">
        <v>945</v>
      </c>
      <c r="I752">
        <f>AVERAGEIFS(sales_Data[units_sold], sales_Data[product_id],sales_Data[[#This Row],[product_id]])</f>
        <v>31.479452054794521</v>
      </c>
      <c r="J752">
        <f>_xlfn.XLOOKUP(sales_Data[[#This Row],[product_id]],sales_Data[product_id],sales_Data[unit_price])</f>
        <v>45</v>
      </c>
    </row>
    <row r="753" spans="1:10" x14ac:dyDescent="0.3">
      <c r="A753" t="s">
        <v>769</v>
      </c>
      <c r="B753" s="1">
        <v>45808</v>
      </c>
      <c r="C753" t="s">
        <v>12</v>
      </c>
      <c r="D753" t="s">
        <v>13</v>
      </c>
      <c r="E753">
        <v>12.5</v>
      </c>
      <c r="F753">
        <v>30</v>
      </c>
      <c r="G753">
        <v>0</v>
      </c>
      <c r="H753">
        <v>375</v>
      </c>
      <c r="I753">
        <f>AVERAGEIFS(sales_Data[units_sold], sales_Data[product_id],sales_Data[[#This Row],[product_id]])</f>
        <v>31.794520547945204</v>
      </c>
      <c r="J753">
        <f>_xlfn.XLOOKUP(sales_Data[[#This Row],[product_id]],sales_Data[product_id],sales_Data[unit_price])</f>
        <v>12.5</v>
      </c>
    </row>
    <row r="754" spans="1:10" x14ac:dyDescent="0.3">
      <c r="A754" t="s">
        <v>770</v>
      </c>
      <c r="B754" s="1">
        <v>45808</v>
      </c>
      <c r="C754" t="s">
        <v>15</v>
      </c>
      <c r="D754" t="s">
        <v>16</v>
      </c>
      <c r="E754">
        <v>35</v>
      </c>
      <c r="F754">
        <v>27</v>
      </c>
      <c r="G754">
        <v>0</v>
      </c>
      <c r="H754">
        <v>945</v>
      </c>
      <c r="I754">
        <f>AVERAGEIFS(sales_Data[units_sold], sales_Data[product_id],sales_Data[[#This Row],[product_id]])</f>
        <v>30.438356164383563</v>
      </c>
      <c r="J754">
        <f>_xlfn.XLOOKUP(sales_Data[[#This Row],[product_id]],sales_Data[product_id],sales_Data[unit_price])</f>
        <v>35</v>
      </c>
    </row>
    <row r="755" spans="1:10" x14ac:dyDescent="0.3">
      <c r="A755" t="s">
        <v>771</v>
      </c>
      <c r="B755" s="1">
        <v>45808</v>
      </c>
      <c r="C755" t="s">
        <v>18</v>
      </c>
      <c r="D755" t="s">
        <v>19</v>
      </c>
      <c r="E755">
        <v>120</v>
      </c>
      <c r="F755">
        <v>61</v>
      </c>
      <c r="G755">
        <v>0</v>
      </c>
      <c r="H755">
        <v>7320</v>
      </c>
      <c r="I755">
        <f>AVERAGEIFS(sales_Data[units_sold], sales_Data[product_id],sales_Data[[#This Row],[product_id]])</f>
        <v>30.473972602739725</v>
      </c>
      <c r="J755">
        <f>_xlfn.XLOOKUP(sales_Data[[#This Row],[product_id]],sales_Data[product_id],sales_Data[unit_price])</f>
        <v>120</v>
      </c>
    </row>
    <row r="756" spans="1:10" x14ac:dyDescent="0.3">
      <c r="A756" t="s">
        <v>772</v>
      </c>
      <c r="B756" s="1">
        <v>45808</v>
      </c>
      <c r="C756" t="s">
        <v>21</v>
      </c>
      <c r="D756" t="s">
        <v>22</v>
      </c>
      <c r="E756">
        <v>25</v>
      </c>
      <c r="F756">
        <v>34</v>
      </c>
      <c r="G756">
        <v>0</v>
      </c>
      <c r="H756">
        <v>850</v>
      </c>
      <c r="I756">
        <f>AVERAGEIFS(sales_Data[units_sold], sales_Data[product_id],sales_Data[[#This Row],[product_id]])</f>
        <v>29.463013698630139</v>
      </c>
      <c r="J756">
        <f>_xlfn.XLOOKUP(sales_Data[[#This Row],[product_id]],sales_Data[product_id],sales_Data[unit_price])</f>
        <v>25</v>
      </c>
    </row>
    <row r="757" spans="1:10" x14ac:dyDescent="0.3">
      <c r="A757" t="s">
        <v>773</v>
      </c>
      <c r="B757" s="1">
        <v>45809</v>
      </c>
      <c r="C757" t="s">
        <v>9</v>
      </c>
      <c r="D757" t="s">
        <v>10</v>
      </c>
      <c r="E757">
        <v>45</v>
      </c>
      <c r="F757">
        <v>12</v>
      </c>
      <c r="G757">
        <v>0</v>
      </c>
      <c r="H757">
        <v>540</v>
      </c>
      <c r="I757">
        <f>AVERAGEIFS(sales_Data[units_sold], sales_Data[product_id],sales_Data[[#This Row],[product_id]])</f>
        <v>31.479452054794521</v>
      </c>
      <c r="J757">
        <f>_xlfn.XLOOKUP(sales_Data[[#This Row],[product_id]],sales_Data[product_id],sales_Data[unit_price])</f>
        <v>45</v>
      </c>
    </row>
    <row r="758" spans="1:10" x14ac:dyDescent="0.3">
      <c r="A758" t="s">
        <v>774</v>
      </c>
      <c r="B758" s="1">
        <v>45809</v>
      </c>
      <c r="C758" t="s">
        <v>12</v>
      </c>
      <c r="D758" t="s">
        <v>13</v>
      </c>
      <c r="E758">
        <v>12.5</v>
      </c>
      <c r="F758">
        <v>12</v>
      </c>
      <c r="G758">
        <v>0.1</v>
      </c>
      <c r="H758">
        <v>135</v>
      </c>
      <c r="I758">
        <f>AVERAGEIFS(sales_Data[units_sold], sales_Data[product_id],sales_Data[[#This Row],[product_id]])</f>
        <v>31.794520547945204</v>
      </c>
      <c r="J758">
        <f>_xlfn.XLOOKUP(sales_Data[[#This Row],[product_id]],sales_Data[product_id],sales_Data[unit_price])</f>
        <v>12.5</v>
      </c>
    </row>
    <row r="759" spans="1:10" x14ac:dyDescent="0.3">
      <c r="A759" t="s">
        <v>775</v>
      </c>
      <c r="B759" s="1">
        <v>45809</v>
      </c>
      <c r="C759" t="s">
        <v>15</v>
      </c>
      <c r="D759" t="s">
        <v>16</v>
      </c>
      <c r="E759">
        <v>35</v>
      </c>
      <c r="F759">
        <v>15</v>
      </c>
      <c r="G759">
        <v>0.1</v>
      </c>
      <c r="H759">
        <v>472.5</v>
      </c>
      <c r="I759">
        <f>AVERAGEIFS(sales_Data[units_sold], sales_Data[product_id],sales_Data[[#This Row],[product_id]])</f>
        <v>30.438356164383563</v>
      </c>
      <c r="J759">
        <f>_xlfn.XLOOKUP(sales_Data[[#This Row],[product_id]],sales_Data[product_id],sales_Data[unit_price])</f>
        <v>35</v>
      </c>
    </row>
    <row r="760" spans="1:10" x14ac:dyDescent="0.3">
      <c r="A760" t="s">
        <v>776</v>
      </c>
      <c r="B760" s="1">
        <v>45809</v>
      </c>
      <c r="C760" t="s">
        <v>18</v>
      </c>
      <c r="D760" t="s">
        <v>19</v>
      </c>
      <c r="E760">
        <v>120</v>
      </c>
      <c r="F760">
        <v>39</v>
      </c>
      <c r="G760">
        <v>0.1</v>
      </c>
      <c r="H760">
        <v>4212</v>
      </c>
      <c r="I760">
        <f>AVERAGEIFS(sales_Data[units_sold], sales_Data[product_id],sales_Data[[#This Row],[product_id]])</f>
        <v>30.473972602739725</v>
      </c>
      <c r="J760">
        <f>_xlfn.XLOOKUP(sales_Data[[#This Row],[product_id]],sales_Data[product_id],sales_Data[unit_price])</f>
        <v>120</v>
      </c>
    </row>
    <row r="761" spans="1:10" x14ac:dyDescent="0.3">
      <c r="A761" t="s">
        <v>777</v>
      </c>
      <c r="B761" s="1">
        <v>45809</v>
      </c>
      <c r="C761" t="s">
        <v>21</v>
      </c>
      <c r="D761" t="s">
        <v>22</v>
      </c>
      <c r="E761">
        <v>25</v>
      </c>
      <c r="F761">
        <v>64</v>
      </c>
      <c r="G761">
        <v>0</v>
      </c>
      <c r="H761">
        <v>1600</v>
      </c>
      <c r="I761">
        <f>AVERAGEIFS(sales_Data[units_sold], sales_Data[product_id],sales_Data[[#This Row],[product_id]])</f>
        <v>29.463013698630139</v>
      </c>
      <c r="J761">
        <f>_xlfn.XLOOKUP(sales_Data[[#This Row],[product_id]],sales_Data[product_id],sales_Data[unit_price])</f>
        <v>25</v>
      </c>
    </row>
    <row r="762" spans="1:10" x14ac:dyDescent="0.3">
      <c r="A762" t="s">
        <v>778</v>
      </c>
      <c r="B762" s="1">
        <v>45810</v>
      </c>
      <c r="C762" t="s">
        <v>9</v>
      </c>
      <c r="D762" t="s">
        <v>10</v>
      </c>
      <c r="E762">
        <v>45</v>
      </c>
      <c r="F762">
        <v>49</v>
      </c>
      <c r="G762">
        <v>0</v>
      </c>
      <c r="H762">
        <v>2205</v>
      </c>
      <c r="I762">
        <f>AVERAGEIFS(sales_Data[units_sold], sales_Data[product_id],sales_Data[[#This Row],[product_id]])</f>
        <v>31.479452054794521</v>
      </c>
      <c r="J762">
        <f>_xlfn.XLOOKUP(sales_Data[[#This Row],[product_id]],sales_Data[product_id],sales_Data[unit_price])</f>
        <v>45</v>
      </c>
    </row>
    <row r="763" spans="1:10" x14ac:dyDescent="0.3">
      <c r="A763" t="s">
        <v>779</v>
      </c>
      <c r="B763" s="1">
        <v>45810</v>
      </c>
      <c r="C763" t="s">
        <v>12</v>
      </c>
      <c r="D763" t="s">
        <v>13</v>
      </c>
      <c r="E763">
        <v>12.5</v>
      </c>
      <c r="F763">
        <v>37</v>
      </c>
      <c r="G763">
        <v>0.2</v>
      </c>
      <c r="H763">
        <v>370</v>
      </c>
      <c r="I763">
        <f>AVERAGEIFS(sales_Data[units_sold], sales_Data[product_id],sales_Data[[#This Row],[product_id]])</f>
        <v>31.794520547945204</v>
      </c>
      <c r="J763">
        <f>_xlfn.XLOOKUP(sales_Data[[#This Row],[product_id]],sales_Data[product_id],sales_Data[unit_price])</f>
        <v>12.5</v>
      </c>
    </row>
    <row r="764" spans="1:10" x14ac:dyDescent="0.3">
      <c r="A764" t="s">
        <v>780</v>
      </c>
      <c r="B764" s="1">
        <v>45810</v>
      </c>
      <c r="C764" t="s">
        <v>15</v>
      </c>
      <c r="D764" t="s">
        <v>16</v>
      </c>
      <c r="E764">
        <v>35</v>
      </c>
      <c r="F764">
        <v>39</v>
      </c>
      <c r="G764">
        <v>0.1</v>
      </c>
      <c r="H764">
        <v>1228.5</v>
      </c>
      <c r="I764">
        <f>AVERAGEIFS(sales_Data[units_sold], sales_Data[product_id],sales_Data[[#This Row],[product_id]])</f>
        <v>30.438356164383563</v>
      </c>
      <c r="J764">
        <f>_xlfn.XLOOKUP(sales_Data[[#This Row],[product_id]],sales_Data[product_id],sales_Data[unit_price])</f>
        <v>35</v>
      </c>
    </row>
    <row r="765" spans="1:10" x14ac:dyDescent="0.3">
      <c r="A765" t="s">
        <v>781</v>
      </c>
      <c r="B765" s="1">
        <v>45810</v>
      </c>
      <c r="C765" t="s">
        <v>18</v>
      </c>
      <c r="D765" t="s">
        <v>19</v>
      </c>
      <c r="E765">
        <v>120</v>
      </c>
      <c r="F765">
        <v>5</v>
      </c>
      <c r="G765">
        <v>0</v>
      </c>
      <c r="H765">
        <v>600</v>
      </c>
      <c r="I765">
        <f>AVERAGEIFS(sales_Data[units_sold], sales_Data[product_id],sales_Data[[#This Row],[product_id]])</f>
        <v>30.473972602739725</v>
      </c>
      <c r="J765">
        <f>_xlfn.XLOOKUP(sales_Data[[#This Row],[product_id]],sales_Data[product_id],sales_Data[unit_price])</f>
        <v>120</v>
      </c>
    </row>
    <row r="766" spans="1:10" x14ac:dyDescent="0.3">
      <c r="A766" t="s">
        <v>782</v>
      </c>
      <c r="B766" s="1">
        <v>45810</v>
      </c>
      <c r="C766" t="s">
        <v>21</v>
      </c>
      <c r="D766" t="s">
        <v>22</v>
      </c>
      <c r="E766">
        <v>25</v>
      </c>
      <c r="F766">
        <v>37</v>
      </c>
      <c r="G766">
        <v>0</v>
      </c>
      <c r="H766">
        <v>925</v>
      </c>
      <c r="I766">
        <f>AVERAGEIFS(sales_Data[units_sold], sales_Data[product_id],sales_Data[[#This Row],[product_id]])</f>
        <v>29.463013698630139</v>
      </c>
      <c r="J766">
        <f>_xlfn.XLOOKUP(sales_Data[[#This Row],[product_id]],sales_Data[product_id],sales_Data[unit_price])</f>
        <v>25</v>
      </c>
    </row>
    <row r="767" spans="1:10" x14ac:dyDescent="0.3">
      <c r="A767" t="s">
        <v>783</v>
      </c>
      <c r="B767" s="1">
        <v>45811</v>
      </c>
      <c r="C767" t="s">
        <v>9</v>
      </c>
      <c r="D767" t="s">
        <v>10</v>
      </c>
      <c r="E767">
        <v>45</v>
      </c>
      <c r="F767">
        <v>49</v>
      </c>
      <c r="G767">
        <v>0</v>
      </c>
      <c r="H767">
        <v>2205</v>
      </c>
      <c r="I767">
        <f>AVERAGEIFS(sales_Data[units_sold], sales_Data[product_id],sales_Data[[#This Row],[product_id]])</f>
        <v>31.479452054794521</v>
      </c>
      <c r="J767">
        <f>_xlfn.XLOOKUP(sales_Data[[#This Row],[product_id]],sales_Data[product_id],sales_Data[unit_price])</f>
        <v>45</v>
      </c>
    </row>
    <row r="768" spans="1:10" x14ac:dyDescent="0.3">
      <c r="A768" t="s">
        <v>784</v>
      </c>
      <c r="B768" s="1">
        <v>45811</v>
      </c>
      <c r="C768" t="s">
        <v>12</v>
      </c>
      <c r="D768" t="s">
        <v>13</v>
      </c>
      <c r="E768">
        <v>12.5</v>
      </c>
      <c r="F768">
        <v>38</v>
      </c>
      <c r="G768">
        <v>0.2</v>
      </c>
      <c r="H768">
        <v>380</v>
      </c>
      <c r="I768">
        <f>AVERAGEIFS(sales_Data[units_sold], sales_Data[product_id],sales_Data[[#This Row],[product_id]])</f>
        <v>31.794520547945204</v>
      </c>
      <c r="J768">
        <f>_xlfn.XLOOKUP(sales_Data[[#This Row],[product_id]],sales_Data[product_id],sales_Data[unit_price])</f>
        <v>12.5</v>
      </c>
    </row>
    <row r="769" spans="1:10" x14ac:dyDescent="0.3">
      <c r="A769" t="s">
        <v>785</v>
      </c>
      <c r="B769" s="1">
        <v>45811</v>
      </c>
      <c r="C769" t="s">
        <v>15</v>
      </c>
      <c r="D769" t="s">
        <v>16</v>
      </c>
      <c r="E769">
        <v>35</v>
      </c>
      <c r="F769">
        <v>47</v>
      </c>
      <c r="G769">
        <v>0.1</v>
      </c>
      <c r="H769">
        <v>1480.5</v>
      </c>
      <c r="I769">
        <f>AVERAGEIFS(sales_Data[units_sold], sales_Data[product_id],sales_Data[[#This Row],[product_id]])</f>
        <v>30.438356164383563</v>
      </c>
      <c r="J769">
        <f>_xlfn.XLOOKUP(sales_Data[[#This Row],[product_id]],sales_Data[product_id],sales_Data[unit_price])</f>
        <v>35</v>
      </c>
    </row>
    <row r="770" spans="1:10" x14ac:dyDescent="0.3">
      <c r="A770" t="s">
        <v>786</v>
      </c>
      <c r="B770" s="1">
        <v>45811</v>
      </c>
      <c r="C770" t="s">
        <v>18</v>
      </c>
      <c r="D770" t="s">
        <v>19</v>
      </c>
      <c r="E770">
        <v>120</v>
      </c>
      <c r="F770">
        <v>13</v>
      </c>
      <c r="G770">
        <v>0</v>
      </c>
      <c r="H770">
        <v>1560</v>
      </c>
      <c r="I770">
        <f>AVERAGEIFS(sales_Data[units_sold], sales_Data[product_id],sales_Data[[#This Row],[product_id]])</f>
        <v>30.473972602739725</v>
      </c>
      <c r="J770">
        <f>_xlfn.XLOOKUP(sales_Data[[#This Row],[product_id]],sales_Data[product_id],sales_Data[unit_price])</f>
        <v>120</v>
      </c>
    </row>
    <row r="771" spans="1:10" x14ac:dyDescent="0.3">
      <c r="A771" t="s">
        <v>787</v>
      </c>
      <c r="B771" s="1">
        <v>45811</v>
      </c>
      <c r="C771" t="s">
        <v>21</v>
      </c>
      <c r="D771" t="s">
        <v>22</v>
      </c>
      <c r="E771">
        <v>25</v>
      </c>
      <c r="F771">
        <v>40</v>
      </c>
      <c r="G771">
        <v>0</v>
      </c>
      <c r="H771">
        <v>1000</v>
      </c>
      <c r="I771">
        <f>AVERAGEIFS(sales_Data[units_sold], sales_Data[product_id],sales_Data[[#This Row],[product_id]])</f>
        <v>29.463013698630139</v>
      </c>
      <c r="J771">
        <f>_xlfn.XLOOKUP(sales_Data[[#This Row],[product_id]],sales_Data[product_id],sales_Data[unit_price])</f>
        <v>25</v>
      </c>
    </row>
    <row r="772" spans="1:10" x14ac:dyDescent="0.3">
      <c r="A772" t="s">
        <v>788</v>
      </c>
      <c r="B772" s="1">
        <v>45812</v>
      </c>
      <c r="C772" t="s">
        <v>9</v>
      </c>
      <c r="D772" t="s">
        <v>10</v>
      </c>
      <c r="E772">
        <v>45</v>
      </c>
      <c r="F772">
        <v>23</v>
      </c>
      <c r="G772">
        <v>0</v>
      </c>
      <c r="H772">
        <v>1035</v>
      </c>
      <c r="I772">
        <f>AVERAGEIFS(sales_Data[units_sold], sales_Data[product_id],sales_Data[[#This Row],[product_id]])</f>
        <v>31.479452054794521</v>
      </c>
      <c r="J772">
        <f>_xlfn.XLOOKUP(sales_Data[[#This Row],[product_id]],sales_Data[product_id],sales_Data[unit_price])</f>
        <v>45</v>
      </c>
    </row>
    <row r="773" spans="1:10" x14ac:dyDescent="0.3">
      <c r="A773" t="s">
        <v>789</v>
      </c>
      <c r="B773" s="1">
        <v>45812</v>
      </c>
      <c r="C773" t="s">
        <v>12</v>
      </c>
      <c r="D773" t="s">
        <v>13</v>
      </c>
      <c r="E773">
        <v>12.5</v>
      </c>
      <c r="F773">
        <v>30</v>
      </c>
      <c r="G773">
        <v>0.1</v>
      </c>
      <c r="H773">
        <v>337.5</v>
      </c>
      <c r="I773">
        <f>AVERAGEIFS(sales_Data[units_sold], sales_Data[product_id],sales_Data[[#This Row],[product_id]])</f>
        <v>31.794520547945204</v>
      </c>
      <c r="J773">
        <f>_xlfn.XLOOKUP(sales_Data[[#This Row],[product_id]],sales_Data[product_id],sales_Data[unit_price])</f>
        <v>12.5</v>
      </c>
    </row>
    <row r="774" spans="1:10" x14ac:dyDescent="0.3">
      <c r="A774" t="s">
        <v>790</v>
      </c>
      <c r="B774" s="1">
        <v>45812</v>
      </c>
      <c r="C774" t="s">
        <v>15</v>
      </c>
      <c r="D774" t="s">
        <v>16</v>
      </c>
      <c r="E774">
        <v>35</v>
      </c>
      <c r="F774">
        <v>45</v>
      </c>
      <c r="G774">
        <v>0.1</v>
      </c>
      <c r="H774">
        <v>1417.5</v>
      </c>
      <c r="I774">
        <f>AVERAGEIFS(sales_Data[units_sold], sales_Data[product_id],sales_Data[[#This Row],[product_id]])</f>
        <v>30.438356164383563</v>
      </c>
      <c r="J774">
        <f>_xlfn.XLOOKUP(sales_Data[[#This Row],[product_id]],sales_Data[product_id],sales_Data[unit_price])</f>
        <v>35</v>
      </c>
    </row>
    <row r="775" spans="1:10" x14ac:dyDescent="0.3">
      <c r="A775" t="s">
        <v>791</v>
      </c>
      <c r="B775" s="1">
        <v>45812</v>
      </c>
      <c r="C775" t="s">
        <v>18</v>
      </c>
      <c r="D775" t="s">
        <v>19</v>
      </c>
      <c r="E775">
        <v>120</v>
      </c>
      <c r="F775">
        <v>17</v>
      </c>
      <c r="G775">
        <v>0.1</v>
      </c>
      <c r="H775">
        <v>1836</v>
      </c>
      <c r="I775">
        <f>AVERAGEIFS(sales_Data[units_sold], sales_Data[product_id],sales_Data[[#This Row],[product_id]])</f>
        <v>30.473972602739725</v>
      </c>
      <c r="J775">
        <f>_xlfn.XLOOKUP(sales_Data[[#This Row],[product_id]],sales_Data[product_id],sales_Data[unit_price])</f>
        <v>120</v>
      </c>
    </row>
    <row r="776" spans="1:10" x14ac:dyDescent="0.3">
      <c r="A776" t="s">
        <v>792</v>
      </c>
      <c r="B776" s="1">
        <v>45812</v>
      </c>
      <c r="C776" t="s">
        <v>21</v>
      </c>
      <c r="D776" t="s">
        <v>22</v>
      </c>
      <c r="E776">
        <v>25</v>
      </c>
      <c r="F776">
        <v>42</v>
      </c>
      <c r="G776">
        <v>0</v>
      </c>
      <c r="H776">
        <v>1050</v>
      </c>
      <c r="I776">
        <f>AVERAGEIFS(sales_Data[units_sold], sales_Data[product_id],sales_Data[[#This Row],[product_id]])</f>
        <v>29.463013698630139</v>
      </c>
      <c r="J776">
        <f>_xlfn.XLOOKUP(sales_Data[[#This Row],[product_id]],sales_Data[product_id],sales_Data[unit_price])</f>
        <v>25</v>
      </c>
    </row>
    <row r="777" spans="1:10" x14ac:dyDescent="0.3">
      <c r="A777" t="s">
        <v>793</v>
      </c>
      <c r="B777" s="1">
        <v>45813</v>
      </c>
      <c r="C777" t="s">
        <v>9</v>
      </c>
      <c r="D777" t="s">
        <v>10</v>
      </c>
      <c r="E777">
        <v>45</v>
      </c>
      <c r="F777">
        <v>10</v>
      </c>
      <c r="G777">
        <v>0</v>
      </c>
      <c r="H777">
        <v>450</v>
      </c>
      <c r="I777">
        <f>AVERAGEIFS(sales_Data[units_sold], sales_Data[product_id],sales_Data[[#This Row],[product_id]])</f>
        <v>31.479452054794521</v>
      </c>
      <c r="J777">
        <f>_xlfn.XLOOKUP(sales_Data[[#This Row],[product_id]],sales_Data[product_id],sales_Data[unit_price])</f>
        <v>45</v>
      </c>
    </row>
    <row r="778" spans="1:10" x14ac:dyDescent="0.3">
      <c r="A778" t="s">
        <v>794</v>
      </c>
      <c r="B778" s="1">
        <v>45813</v>
      </c>
      <c r="C778" t="s">
        <v>12</v>
      </c>
      <c r="D778" t="s">
        <v>13</v>
      </c>
      <c r="E778">
        <v>12.5</v>
      </c>
      <c r="F778">
        <v>37</v>
      </c>
      <c r="G778">
        <v>0</v>
      </c>
      <c r="H778">
        <v>462.5</v>
      </c>
      <c r="I778">
        <f>AVERAGEIFS(sales_Data[units_sold], sales_Data[product_id],sales_Data[[#This Row],[product_id]])</f>
        <v>31.794520547945204</v>
      </c>
      <c r="J778">
        <f>_xlfn.XLOOKUP(sales_Data[[#This Row],[product_id]],sales_Data[product_id],sales_Data[unit_price])</f>
        <v>12.5</v>
      </c>
    </row>
    <row r="779" spans="1:10" x14ac:dyDescent="0.3">
      <c r="A779" t="s">
        <v>795</v>
      </c>
      <c r="B779" s="1">
        <v>45813</v>
      </c>
      <c r="C779" t="s">
        <v>15</v>
      </c>
      <c r="D779" t="s">
        <v>16</v>
      </c>
      <c r="E779">
        <v>35</v>
      </c>
      <c r="F779">
        <v>20</v>
      </c>
      <c r="G779">
        <v>0.1</v>
      </c>
      <c r="H779">
        <v>630</v>
      </c>
      <c r="I779">
        <f>AVERAGEIFS(sales_Data[units_sold], sales_Data[product_id],sales_Data[[#This Row],[product_id]])</f>
        <v>30.438356164383563</v>
      </c>
      <c r="J779">
        <f>_xlfn.XLOOKUP(sales_Data[[#This Row],[product_id]],sales_Data[product_id],sales_Data[unit_price])</f>
        <v>35</v>
      </c>
    </row>
    <row r="780" spans="1:10" x14ac:dyDescent="0.3">
      <c r="A780" t="s">
        <v>796</v>
      </c>
      <c r="B780" s="1">
        <v>45813</v>
      </c>
      <c r="C780" t="s">
        <v>18</v>
      </c>
      <c r="D780" t="s">
        <v>19</v>
      </c>
      <c r="E780">
        <v>120</v>
      </c>
      <c r="F780">
        <v>13</v>
      </c>
      <c r="G780">
        <v>0</v>
      </c>
      <c r="H780">
        <v>1560</v>
      </c>
      <c r="I780">
        <f>AVERAGEIFS(sales_Data[units_sold], sales_Data[product_id],sales_Data[[#This Row],[product_id]])</f>
        <v>30.473972602739725</v>
      </c>
      <c r="J780">
        <f>_xlfn.XLOOKUP(sales_Data[[#This Row],[product_id]],sales_Data[product_id],sales_Data[unit_price])</f>
        <v>120</v>
      </c>
    </row>
    <row r="781" spans="1:10" x14ac:dyDescent="0.3">
      <c r="A781" t="s">
        <v>797</v>
      </c>
      <c r="B781" s="1">
        <v>45813</v>
      </c>
      <c r="C781" t="s">
        <v>21</v>
      </c>
      <c r="D781" t="s">
        <v>22</v>
      </c>
      <c r="E781">
        <v>25</v>
      </c>
      <c r="F781">
        <v>24</v>
      </c>
      <c r="G781">
        <v>0</v>
      </c>
      <c r="H781">
        <v>600</v>
      </c>
      <c r="I781">
        <f>AVERAGEIFS(sales_Data[units_sold], sales_Data[product_id],sales_Data[[#This Row],[product_id]])</f>
        <v>29.463013698630139</v>
      </c>
      <c r="J781">
        <f>_xlfn.XLOOKUP(sales_Data[[#This Row],[product_id]],sales_Data[product_id],sales_Data[unit_price])</f>
        <v>25</v>
      </c>
    </row>
    <row r="782" spans="1:10" x14ac:dyDescent="0.3">
      <c r="A782" t="s">
        <v>798</v>
      </c>
      <c r="B782" s="1">
        <v>45814</v>
      </c>
      <c r="C782" t="s">
        <v>9</v>
      </c>
      <c r="D782" t="s">
        <v>10</v>
      </c>
      <c r="E782">
        <v>45</v>
      </c>
      <c r="F782">
        <v>12</v>
      </c>
      <c r="G782">
        <v>0</v>
      </c>
      <c r="H782">
        <v>540</v>
      </c>
      <c r="I782">
        <f>AVERAGEIFS(sales_Data[units_sold], sales_Data[product_id],sales_Data[[#This Row],[product_id]])</f>
        <v>31.479452054794521</v>
      </c>
      <c r="J782">
        <f>_xlfn.XLOOKUP(sales_Data[[#This Row],[product_id]],sales_Data[product_id],sales_Data[unit_price])</f>
        <v>45</v>
      </c>
    </row>
    <row r="783" spans="1:10" x14ac:dyDescent="0.3">
      <c r="A783" t="s">
        <v>799</v>
      </c>
      <c r="B783" s="1">
        <v>45814</v>
      </c>
      <c r="C783" t="s">
        <v>12</v>
      </c>
      <c r="D783" t="s">
        <v>13</v>
      </c>
      <c r="E783">
        <v>12.5</v>
      </c>
      <c r="F783">
        <v>14</v>
      </c>
      <c r="G783">
        <v>0</v>
      </c>
      <c r="H783">
        <v>175</v>
      </c>
      <c r="I783">
        <f>AVERAGEIFS(sales_Data[units_sold], sales_Data[product_id],sales_Data[[#This Row],[product_id]])</f>
        <v>31.794520547945204</v>
      </c>
      <c r="J783">
        <f>_xlfn.XLOOKUP(sales_Data[[#This Row],[product_id]],sales_Data[product_id],sales_Data[unit_price])</f>
        <v>12.5</v>
      </c>
    </row>
    <row r="784" spans="1:10" x14ac:dyDescent="0.3">
      <c r="A784" t="s">
        <v>800</v>
      </c>
      <c r="B784" s="1">
        <v>45814</v>
      </c>
      <c r="C784" t="s">
        <v>15</v>
      </c>
      <c r="D784" t="s">
        <v>16</v>
      </c>
      <c r="E784">
        <v>35</v>
      </c>
      <c r="F784">
        <v>47</v>
      </c>
      <c r="G784">
        <v>0.2</v>
      </c>
      <c r="H784">
        <v>1316</v>
      </c>
      <c r="I784">
        <f>AVERAGEIFS(sales_Data[units_sold], sales_Data[product_id],sales_Data[[#This Row],[product_id]])</f>
        <v>30.438356164383563</v>
      </c>
      <c r="J784">
        <f>_xlfn.XLOOKUP(sales_Data[[#This Row],[product_id]],sales_Data[product_id],sales_Data[unit_price])</f>
        <v>35</v>
      </c>
    </row>
    <row r="785" spans="1:10" x14ac:dyDescent="0.3">
      <c r="A785" t="s">
        <v>801</v>
      </c>
      <c r="B785" s="1">
        <v>45814</v>
      </c>
      <c r="C785" t="s">
        <v>18</v>
      </c>
      <c r="D785" t="s">
        <v>19</v>
      </c>
      <c r="E785">
        <v>120</v>
      </c>
      <c r="F785">
        <v>32</v>
      </c>
      <c r="G785">
        <v>0</v>
      </c>
      <c r="H785">
        <v>3840</v>
      </c>
      <c r="I785">
        <f>AVERAGEIFS(sales_Data[units_sold], sales_Data[product_id],sales_Data[[#This Row],[product_id]])</f>
        <v>30.473972602739725</v>
      </c>
      <c r="J785">
        <f>_xlfn.XLOOKUP(sales_Data[[#This Row],[product_id]],sales_Data[product_id],sales_Data[unit_price])</f>
        <v>120</v>
      </c>
    </row>
    <row r="786" spans="1:10" x14ac:dyDescent="0.3">
      <c r="A786" t="s">
        <v>802</v>
      </c>
      <c r="B786" s="1">
        <v>45814</v>
      </c>
      <c r="C786" t="s">
        <v>21</v>
      </c>
      <c r="D786" t="s">
        <v>22</v>
      </c>
      <c r="E786">
        <v>25</v>
      </c>
      <c r="F786">
        <v>35</v>
      </c>
      <c r="G786">
        <v>0</v>
      </c>
      <c r="H786">
        <v>875</v>
      </c>
      <c r="I786">
        <f>AVERAGEIFS(sales_Data[units_sold], sales_Data[product_id],sales_Data[[#This Row],[product_id]])</f>
        <v>29.463013698630139</v>
      </c>
      <c r="J786">
        <f>_xlfn.XLOOKUP(sales_Data[[#This Row],[product_id]],sales_Data[product_id],sales_Data[unit_price])</f>
        <v>25</v>
      </c>
    </row>
    <row r="787" spans="1:10" x14ac:dyDescent="0.3">
      <c r="A787" t="s">
        <v>803</v>
      </c>
      <c r="B787" s="1">
        <v>45815</v>
      </c>
      <c r="C787" t="s">
        <v>9</v>
      </c>
      <c r="D787" t="s">
        <v>10</v>
      </c>
      <c r="E787">
        <v>45</v>
      </c>
      <c r="F787">
        <v>64</v>
      </c>
      <c r="G787">
        <v>0</v>
      </c>
      <c r="H787">
        <v>2880</v>
      </c>
      <c r="I787">
        <f>AVERAGEIFS(sales_Data[units_sold], sales_Data[product_id],sales_Data[[#This Row],[product_id]])</f>
        <v>31.479452054794521</v>
      </c>
      <c r="J787">
        <f>_xlfn.XLOOKUP(sales_Data[[#This Row],[product_id]],sales_Data[product_id],sales_Data[unit_price])</f>
        <v>45</v>
      </c>
    </row>
    <row r="788" spans="1:10" x14ac:dyDescent="0.3">
      <c r="A788" t="s">
        <v>804</v>
      </c>
      <c r="B788" s="1">
        <v>45815</v>
      </c>
      <c r="C788" t="s">
        <v>12</v>
      </c>
      <c r="D788" t="s">
        <v>13</v>
      </c>
      <c r="E788">
        <v>12.5</v>
      </c>
      <c r="F788">
        <v>36</v>
      </c>
      <c r="G788">
        <v>0</v>
      </c>
      <c r="H788">
        <v>450</v>
      </c>
      <c r="I788">
        <f>AVERAGEIFS(sales_Data[units_sold], sales_Data[product_id],sales_Data[[#This Row],[product_id]])</f>
        <v>31.794520547945204</v>
      </c>
      <c r="J788">
        <f>_xlfn.XLOOKUP(sales_Data[[#This Row],[product_id]],sales_Data[product_id],sales_Data[unit_price])</f>
        <v>12.5</v>
      </c>
    </row>
    <row r="789" spans="1:10" x14ac:dyDescent="0.3">
      <c r="A789" t="s">
        <v>805</v>
      </c>
      <c r="B789" s="1">
        <v>45815</v>
      </c>
      <c r="C789" t="s">
        <v>15</v>
      </c>
      <c r="D789" t="s">
        <v>16</v>
      </c>
      <c r="E789">
        <v>35</v>
      </c>
      <c r="F789">
        <v>27</v>
      </c>
      <c r="G789">
        <v>0</v>
      </c>
      <c r="H789">
        <v>945</v>
      </c>
      <c r="I789">
        <f>AVERAGEIFS(sales_Data[units_sold], sales_Data[product_id],sales_Data[[#This Row],[product_id]])</f>
        <v>30.438356164383563</v>
      </c>
      <c r="J789">
        <f>_xlfn.XLOOKUP(sales_Data[[#This Row],[product_id]],sales_Data[product_id],sales_Data[unit_price])</f>
        <v>35</v>
      </c>
    </row>
    <row r="790" spans="1:10" x14ac:dyDescent="0.3">
      <c r="A790" t="s">
        <v>806</v>
      </c>
      <c r="B790" s="1">
        <v>45815</v>
      </c>
      <c r="C790" t="s">
        <v>18</v>
      </c>
      <c r="D790" t="s">
        <v>19</v>
      </c>
      <c r="E790">
        <v>120</v>
      </c>
      <c r="F790">
        <v>30</v>
      </c>
      <c r="G790">
        <v>0</v>
      </c>
      <c r="H790">
        <v>3600</v>
      </c>
      <c r="I790">
        <f>AVERAGEIFS(sales_Data[units_sold], sales_Data[product_id],sales_Data[[#This Row],[product_id]])</f>
        <v>30.473972602739725</v>
      </c>
      <c r="J790">
        <f>_xlfn.XLOOKUP(sales_Data[[#This Row],[product_id]],sales_Data[product_id],sales_Data[unit_price])</f>
        <v>120</v>
      </c>
    </row>
    <row r="791" spans="1:10" x14ac:dyDescent="0.3">
      <c r="A791" t="s">
        <v>807</v>
      </c>
      <c r="B791" s="1">
        <v>45815</v>
      </c>
      <c r="C791" t="s">
        <v>21</v>
      </c>
      <c r="D791" t="s">
        <v>22</v>
      </c>
      <c r="E791">
        <v>25</v>
      </c>
      <c r="F791">
        <v>28</v>
      </c>
      <c r="G791">
        <v>0</v>
      </c>
      <c r="H791">
        <v>700</v>
      </c>
      <c r="I791">
        <f>AVERAGEIFS(sales_Data[units_sold], sales_Data[product_id],sales_Data[[#This Row],[product_id]])</f>
        <v>29.463013698630139</v>
      </c>
      <c r="J791">
        <f>_xlfn.XLOOKUP(sales_Data[[#This Row],[product_id]],sales_Data[product_id],sales_Data[unit_price])</f>
        <v>25</v>
      </c>
    </row>
    <row r="792" spans="1:10" x14ac:dyDescent="0.3">
      <c r="A792" t="s">
        <v>808</v>
      </c>
      <c r="B792" s="1">
        <v>45816</v>
      </c>
      <c r="C792" t="s">
        <v>9</v>
      </c>
      <c r="D792" t="s">
        <v>10</v>
      </c>
      <c r="E792">
        <v>45</v>
      </c>
      <c r="F792">
        <v>25</v>
      </c>
      <c r="G792">
        <v>0.1</v>
      </c>
      <c r="H792">
        <v>1012.5</v>
      </c>
      <c r="I792">
        <f>AVERAGEIFS(sales_Data[units_sold], sales_Data[product_id],sales_Data[[#This Row],[product_id]])</f>
        <v>31.479452054794521</v>
      </c>
      <c r="J792">
        <f>_xlfn.XLOOKUP(sales_Data[[#This Row],[product_id]],sales_Data[product_id],sales_Data[unit_price])</f>
        <v>45</v>
      </c>
    </row>
    <row r="793" spans="1:10" x14ac:dyDescent="0.3">
      <c r="A793" t="s">
        <v>809</v>
      </c>
      <c r="B793" s="1">
        <v>45816</v>
      </c>
      <c r="C793" t="s">
        <v>12</v>
      </c>
      <c r="D793" t="s">
        <v>13</v>
      </c>
      <c r="E793">
        <v>12.5</v>
      </c>
      <c r="F793">
        <v>64</v>
      </c>
      <c r="G793">
        <v>0</v>
      </c>
      <c r="H793">
        <v>800</v>
      </c>
      <c r="I793">
        <f>AVERAGEIFS(sales_Data[units_sold], sales_Data[product_id],sales_Data[[#This Row],[product_id]])</f>
        <v>31.794520547945204</v>
      </c>
      <c r="J793">
        <f>_xlfn.XLOOKUP(sales_Data[[#This Row],[product_id]],sales_Data[product_id],sales_Data[unit_price])</f>
        <v>12.5</v>
      </c>
    </row>
    <row r="794" spans="1:10" x14ac:dyDescent="0.3">
      <c r="A794" t="s">
        <v>810</v>
      </c>
      <c r="B794" s="1">
        <v>45816</v>
      </c>
      <c r="C794" t="s">
        <v>15</v>
      </c>
      <c r="D794" t="s">
        <v>16</v>
      </c>
      <c r="E794">
        <v>35</v>
      </c>
      <c r="F794">
        <v>51</v>
      </c>
      <c r="G794">
        <v>0</v>
      </c>
      <c r="H794">
        <v>1785</v>
      </c>
      <c r="I794">
        <f>AVERAGEIFS(sales_Data[units_sold], sales_Data[product_id],sales_Data[[#This Row],[product_id]])</f>
        <v>30.438356164383563</v>
      </c>
      <c r="J794">
        <f>_xlfn.XLOOKUP(sales_Data[[#This Row],[product_id]],sales_Data[product_id],sales_Data[unit_price])</f>
        <v>35</v>
      </c>
    </row>
    <row r="795" spans="1:10" x14ac:dyDescent="0.3">
      <c r="A795" t="s">
        <v>811</v>
      </c>
      <c r="B795" s="1">
        <v>45816</v>
      </c>
      <c r="C795" t="s">
        <v>18</v>
      </c>
      <c r="D795" t="s">
        <v>19</v>
      </c>
      <c r="E795">
        <v>120</v>
      </c>
      <c r="F795">
        <v>34</v>
      </c>
      <c r="G795">
        <v>0.2</v>
      </c>
      <c r="H795">
        <v>3264</v>
      </c>
      <c r="I795">
        <f>AVERAGEIFS(sales_Data[units_sold], sales_Data[product_id],sales_Data[[#This Row],[product_id]])</f>
        <v>30.473972602739725</v>
      </c>
      <c r="J795">
        <f>_xlfn.XLOOKUP(sales_Data[[#This Row],[product_id]],sales_Data[product_id],sales_Data[unit_price])</f>
        <v>120</v>
      </c>
    </row>
    <row r="796" spans="1:10" x14ac:dyDescent="0.3">
      <c r="A796" t="s">
        <v>812</v>
      </c>
      <c r="B796" s="1">
        <v>45816</v>
      </c>
      <c r="C796" t="s">
        <v>21</v>
      </c>
      <c r="D796" t="s">
        <v>22</v>
      </c>
      <c r="E796">
        <v>25</v>
      </c>
      <c r="F796">
        <v>12</v>
      </c>
      <c r="G796">
        <v>0</v>
      </c>
      <c r="H796">
        <v>300</v>
      </c>
      <c r="I796">
        <f>AVERAGEIFS(sales_Data[units_sold], sales_Data[product_id],sales_Data[[#This Row],[product_id]])</f>
        <v>29.463013698630139</v>
      </c>
      <c r="J796">
        <f>_xlfn.XLOOKUP(sales_Data[[#This Row],[product_id]],sales_Data[product_id],sales_Data[unit_price])</f>
        <v>25</v>
      </c>
    </row>
    <row r="797" spans="1:10" x14ac:dyDescent="0.3">
      <c r="A797" t="s">
        <v>813</v>
      </c>
      <c r="B797" s="1">
        <v>45817</v>
      </c>
      <c r="C797" t="s">
        <v>9</v>
      </c>
      <c r="D797" t="s">
        <v>10</v>
      </c>
      <c r="E797">
        <v>45</v>
      </c>
      <c r="F797">
        <v>49</v>
      </c>
      <c r="G797">
        <v>0</v>
      </c>
      <c r="H797">
        <v>2205</v>
      </c>
      <c r="I797">
        <f>AVERAGEIFS(sales_Data[units_sold], sales_Data[product_id],sales_Data[[#This Row],[product_id]])</f>
        <v>31.479452054794521</v>
      </c>
      <c r="J797">
        <f>_xlfn.XLOOKUP(sales_Data[[#This Row],[product_id]],sales_Data[product_id],sales_Data[unit_price])</f>
        <v>45</v>
      </c>
    </row>
    <row r="798" spans="1:10" x14ac:dyDescent="0.3">
      <c r="A798" t="s">
        <v>814</v>
      </c>
      <c r="B798" s="1">
        <v>45817</v>
      </c>
      <c r="C798" t="s">
        <v>12</v>
      </c>
      <c r="D798" t="s">
        <v>13</v>
      </c>
      <c r="E798">
        <v>12.5</v>
      </c>
      <c r="F798">
        <v>34</v>
      </c>
      <c r="G798">
        <v>0.1</v>
      </c>
      <c r="H798">
        <v>382.5</v>
      </c>
      <c r="I798">
        <f>AVERAGEIFS(sales_Data[units_sold], sales_Data[product_id],sales_Data[[#This Row],[product_id]])</f>
        <v>31.794520547945204</v>
      </c>
      <c r="J798">
        <f>_xlfn.XLOOKUP(sales_Data[[#This Row],[product_id]],sales_Data[product_id],sales_Data[unit_price])</f>
        <v>12.5</v>
      </c>
    </row>
    <row r="799" spans="1:10" x14ac:dyDescent="0.3">
      <c r="A799" t="s">
        <v>815</v>
      </c>
      <c r="B799" s="1">
        <v>45817</v>
      </c>
      <c r="C799" t="s">
        <v>15</v>
      </c>
      <c r="D799" t="s">
        <v>16</v>
      </c>
      <c r="E799">
        <v>35</v>
      </c>
      <c r="F799">
        <v>34</v>
      </c>
      <c r="G799">
        <v>0</v>
      </c>
      <c r="H799">
        <v>1190</v>
      </c>
      <c r="I799">
        <f>AVERAGEIFS(sales_Data[units_sold], sales_Data[product_id],sales_Data[[#This Row],[product_id]])</f>
        <v>30.438356164383563</v>
      </c>
      <c r="J799">
        <f>_xlfn.XLOOKUP(sales_Data[[#This Row],[product_id]],sales_Data[product_id],sales_Data[unit_price])</f>
        <v>35</v>
      </c>
    </row>
    <row r="800" spans="1:10" x14ac:dyDescent="0.3">
      <c r="A800" t="s">
        <v>816</v>
      </c>
      <c r="B800" s="1">
        <v>45817</v>
      </c>
      <c r="C800" t="s">
        <v>18</v>
      </c>
      <c r="D800" t="s">
        <v>19</v>
      </c>
      <c r="E800">
        <v>120</v>
      </c>
      <c r="F800">
        <v>13</v>
      </c>
      <c r="G800">
        <v>0</v>
      </c>
      <c r="H800">
        <v>1560</v>
      </c>
      <c r="I800">
        <f>AVERAGEIFS(sales_Data[units_sold], sales_Data[product_id],sales_Data[[#This Row],[product_id]])</f>
        <v>30.473972602739725</v>
      </c>
      <c r="J800">
        <f>_xlfn.XLOOKUP(sales_Data[[#This Row],[product_id]],sales_Data[product_id],sales_Data[unit_price])</f>
        <v>120</v>
      </c>
    </row>
    <row r="801" spans="1:10" x14ac:dyDescent="0.3">
      <c r="A801" t="s">
        <v>817</v>
      </c>
      <c r="B801" s="1">
        <v>45817</v>
      </c>
      <c r="C801" t="s">
        <v>21</v>
      </c>
      <c r="D801" t="s">
        <v>22</v>
      </c>
      <c r="E801">
        <v>25</v>
      </c>
      <c r="F801">
        <v>20</v>
      </c>
      <c r="G801">
        <v>0</v>
      </c>
      <c r="H801">
        <v>500</v>
      </c>
      <c r="I801">
        <f>AVERAGEIFS(sales_Data[units_sold], sales_Data[product_id],sales_Data[[#This Row],[product_id]])</f>
        <v>29.463013698630139</v>
      </c>
      <c r="J801">
        <f>_xlfn.XLOOKUP(sales_Data[[#This Row],[product_id]],sales_Data[product_id],sales_Data[unit_price])</f>
        <v>25</v>
      </c>
    </row>
    <row r="802" spans="1:10" x14ac:dyDescent="0.3">
      <c r="A802" t="s">
        <v>818</v>
      </c>
      <c r="B802" s="1">
        <v>45818</v>
      </c>
      <c r="C802" t="s">
        <v>9</v>
      </c>
      <c r="D802" t="s">
        <v>10</v>
      </c>
      <c r="E802">
        <v>45</v>
      </c>
      <c r="F802">
        <v>12</v>
      </c>
      <c r="G802">
        <v>0</v>
      </c>
      <c r="H802">
        <v>540</v>
      </c>
      <c r="I802">
        <f>AVERAGEIFS(sales_Data[units_sold], sales_Data[product_id],sales_Data[[#This Row],[product_id]])</f>
        <v>31.479452054794521</v>
      </c>
      <c r="J802">
        <f>_xlfn.XLOOKUP(sales_Data[[#This Row],[product_id]],sales_Data[product_id],sales_Data[unit_price])</f>
        <v>45</v>
      </c>
    </row>
    <row r="803" spans="1:10" x14ac:dyDescent="0.3">
      <c r="A803" t="s">
        <v>819</v>
      </c>
      <c r="B803" s="1">
        <v>45818</v>
      </c>
      <c r="C803" t="s">
        <v>12</v>
      </c>
      <c r="D803" t="s">
        <v>13</v>
      </c>
      <c r="E803">
        <v>12.5</v>
      </c>
      <c r="F803">
        <v>21</v>
      </c>
      <c r="G803">
        <v>0</v>
      </c>
      <c r="H803">
        <v>262.5</v>
      </c>
      <c r="I803">
        <f>AVERAGEIFS(sales_Data[units_sold], sales_Data[product_id],sales_Data[[#This Row],[product_id]])</f>
        <v>31.794520547945204</v>
      </c>
      <c r="J803">
        <f>_xlfn.XLOOKUP(sales_Data[[#This Row],[product_id]],sales_Data[product_id],sales_Data[unit_price])</f>
        <v>12.5</v>
      </c>
    </row>
    <row r="804" spans="1:10" x14ac:dyDescent="0.3">
      <c r="A804" t="s">
        <v>820</v>
      </c>
      <c r="B804" s="1">
        <v>45818</v>
      </c>
      <c r="C804" t="s">
        <v>15</v>
      </c>
      <c r="D804" t="s">
        <v>16</v>
      </c>
      <c r="E804">
        <v>35</v>
      </c>
      <c r="F804">
        <v>46</v>
      </c>
      <c r="G804">
        <v>0</v>
      </c>
      <c r="H804">
        <v>1610</v>
      </c>
      <c r="I804">
        <f>AVERAGEIFS(sales_Data[units_sold], sales_Data[product_id],sales_Data[[#This Row],[product_id]])</f>
        <v>30.438356164383563</v>
      </c>
      <c r="J804">
        <f>_xlfn.XLOOKUP(sales_Data[[#This Row],[product_id]],sales_Data[product_id],sales_Data[unit_price])</f>
        <v>35</v>
      </c>
    </row>
    <row r="805" spans="1:10" x14ac:dyDescent="0.3">
      <c r="A805" t="s">
        <v>821</v>
      </c>
      <c r="B805" s="1">
        <v>45818</v>
      </c>
      <c r="C805" t="s">
        <v>18</v>
      </c>
      <c r="D805" t="s">
        <v>19</v>
      </c>
      <c r="E805">
        <v>120</v>
      </c>
      <c r="F805">
        <v>47</v>
      </c>
      <c r="G805">
        <v>0</v>
      </c>
      <c r="H805">
        <v>5640</v>
      </c>
      <c r="I805">
        <f>AVERAGEIFS(sales_Data[units_sold], sales_Data[product_id],sales_Data[[#This Row],[product_id]])</f>
        <v>30.473972602739725</v>
      </c>
      <c r="J805">
        <f>_xlfn.XLOOKUP(sales_Data[[#This Row],[product_id]],sales_Data[product_id],sales_Data[unit_price])</f>
        <v>120</v>
      </c>
    </row>
    <row r="806" spans="1:10" x14ac:dyDescent="0.3">
      <c r="A806" t="s">
        <v>822</v>
      </c>
      <c r="B806" s="1">
        <v>45818</v>
      </c>
      <c r="C806" t="s">
        <v>21</v>
      </c>
      <c r="D806" t="s">
        <v>22</v>
      </c>
      <c r="E806">
        <v>25</v>
      </c>
      <c r="F806">
        <v>48</v>
      </c>
      <c r="G806">
        <v>0</v>
      </c>
      <c r="H806">
        <v>1200</v>
      </c>
      <c r="I806">
        <f>AVERAGEIFS(sales_Data[units_sold], sales_Data[product_id],sales_Data[[#This Row],[product_id]])</f>
        <v>29.463013698630139</v>
      </c>
      <c r="J806">
        <f>_xlfn.XLOOKUP(sales_Data[[#This Row],[product_id]],sales_Data[product_id],sales_Data[unit_price])</f>
        <v>25</v>
      </c>
    </row>
    <row r="807" spans="1:10" x14ac:dyDescent="0.3">
      <c r="A807" t="s">
        <v>823</v>
      </c>
      <c r="B807" s="1">
        <v>45819</v>
      </c>
      <c r="C807" t="s">
        <v>9</v>
      </c>
      <c r="D807" t="s">
        <v>10</v>
      </c>
      <c r="E807">
        <v>45</v>
      </c>
      <c r="F807">
        <v>29</v>
      </c>
      <c r="G807">
        <v>0</v>
      </c>
      <c r="H807">
        <v>1305</v>
      </c>
      <c r="I807">
        <f>AVERAGEIFS(sales_Data[units_sold], sales_Data[product_id],sales_Data[[#This Row],[product_id]])</f>
        <v>31.479452054794521</v>
      </c>
      <c r="J807">
        <f>_xlfn.XLOOKUP(sales_Data[[#This Row],[product_id]],sales_Data[product_id],sales_Data[unit_price])</f>
        <v>45</v>
      </c>
    </row>
    <row r="808" spans="1:10" x14ac:dyDescent="0.3">
      <c r="A808" t="s">
        <v>824</v>
      </c>
      <c r="B808" s="1">
        <v>45819</v>
      </c>
      <c r="C808" t="s">
        <v>12</v>
      </c>
      <c r="D808" t="s">
        <v>13</v>
      </c>
      <c r="E808">
        <v>12.5</v>
      </c>
      <c r="F808">
        <v>34</v>
      </c>
      <c r="G808">
        <v>0</v>
      </c>
      <c r="H808">
        <v>425</v>
      </c>
      <c r="I808">
        <f>AVERAGEIFS(sales_Data[units_sold], sales_Data[product_id],sales_Data[[#This Row],[product_id]])</f>
        <v>31.794520547945204</v>
      </c>
      <c r="J808">
        <f>_xlfn.XLOOKUP(sales_Data[[#This Row],[product_id]],sales_Data[product_id],sales_Data[unit_price])</f>
        <v>12.5</v>
      </c>
    </row>
    <row r="809" spans="1:10" x14ac:dyDescent="0.3">
      <c r="A809" t="s">
        <v>825</v>
      </c>
      <c r="B809" s="1">
        <v>45819</v>
      </c>
      <c r="C809" t="s">
        <v>15</v>
      </c>
      <c r="D809" t="s">
        <v>16</v>
      </c>
      <c r="E809">
        <v>35</v>
      </c>
      <c r="F809">
        <v>40</v>
      </c>
      <c r="G809">
        <v>0</v>
      </c>
      <c r="H809">
        <v>1400</v>
      </c>
      <c r="I809">
        <f>AVERAGEIFS(sales_Data[units_sold], sales_Data[product_id],sales_Data[[#This Row],[product_id]])</f>
        <v>30.438356164383563</v>
      </c>
      <c r="J809">
        <f>_xlfn.XLOOKUP(sales_Data[[#This Row],[product_id]],sales_Data[product_id],sales_Data[unit_price])</f>
        <v>35</v>
      </c>
    </row>
    <row r="810" spans="1:10" x14ac:dyDescent="0.3">
      <c r="A810" t="s">
        <v>826</v>
      </c>
      <c r="B810" s="1">
        <v>45819</v>
      </c>
      <c r="C810" t="s">
        <v>18</v>
      </c>
      <c r="D810" t="s">
        <v>19</v>
      </c>
      <c r="E810">
        <v>120</v>
      </c>
      <c r="F810">
        <v>40</v>
      </c>
      <c r="G810">
        <v>0</v>
      </c>
      <c r="H810">
        <v>4800</v>
      </c>
      <c r="I810">
        <f>AVERAGEIFS(sales_Data[units_sold], sales_Data[product_id],sales_Data[[#This Row],[product_id]])</f>
        <v>30.473972602739725</v>
      </c>
      <c r="J810">
        <f>_xlfn.XLOOKUP(sales_Data[[#This Row],[product_id]],sales_Data[product_id],sales_Data[unit_price])</f>
        <v>120</v>
      </c>
    </row>
    <row r="811" spans="1:10" x14ac:dyDescent="0.3">
      <c r="A811" t="s">
        <v>827</v>
      </c>
      <c r="B811" s="1">
        <v>45819</v>
      </c>
      <c r="C811" t="s">
        <v>21</v>
      </c>
      <c r="D811" t="s">
        <v>22</v>
      </c>
      <c r="E811">
        <v>25</v>
      </c>
      <c r="F811">
        <v>38</v>
      </c>
      <c r="G811">
        <v>0.1</v>
      </c>
      <c r="H811">
        <v>855</v>
      </c>
      <c r="I811">
        <f>AVERAGEIFS(sales_Data[units_sold], sales_Data[product_id],sales_Data[[#This Row],[product_id]])</f>
        <v>29.463013698630139</v>
      </c>
      <c r="J811">
        <f>_xlfn.XLOOKUP(sales_Data[[#This Row],[product_id]],sales_Data[product_id],sales_Data[unit_price])</f>
        <v>25</v>
      </c>
    </row>
    <row r="812" spans="1:10" x14ac:dyDescent="0.3">
      <c r="A812" t="s">
        <v>828</v>
      </c>
      <c r="B812" s="1">
        <v>45820</v>
      </c>
      <c r="C812" t="s">
        <v>9</v>
      </c>
      <c r="D812" t="s">
        <v>10</v>
      </c>
      <c r="E812">
        <v>45</v>
      </c>
      <c r="F812">
        <v>36</v>
      </c>
      <c r="G812">
        <v>0</v>
      </c>
      <c r="H812">
        <v>1620</v>
      </c>
      <c r="I812">
        <f>AVERAGEIFS(sales_Data[units_sold], sales_Data[product_id],sales_Data[[#This Row],[product_id]])</f>
        <v>31.479452054794521</v>
      </c>
      <c r="J812">
        <f>_xlfn.XLOOKUP(sales_Data[[#This Row],[product_id]],sales_Data[product_id],sales_Data[unit_price])</f>
        <v>45</v>
      </c>
    </row>
    <row r="813" spans="1:10" x14ac:dyDescent="0.3">
      <c r="A813" t="s">
        <v>829</v>
      </c>
      <c r="B813" s="1">
        <v>45820</v>
      </c>
      <c r="C813" t="s">
        <v>12</v>
      </c>
      <c r="D813" t="s">
        <v>13</v>
      </c>
      <c r="E813">
        <v>12.5</v>
      </c>
      <c r="F813">
        <v>31</v>
      </c>
      <c r="G813">
        <v>0</v>
      </c>
      <c r="H813">
        <v>387.5</v>
      </c>
      <c r="I813">
        <f>AVERAGEIFS(sales_Data[units_sold], sales_Data[product_id],sales_Data[[#This Row],[product_id]])</f>
        <v>31.794520547945204</v>
      </c>
      <c r="J813">
        <f>_xlfn.XLOOKUP(sales_Data[[#This Row],[product_id]],sales_Data[product_id],sales_Data[unit_price])</f>
        <v>12.5</v>
      </c>
    </row>
    <row r="814" spans="1:10" x14ac:dyDescent="0.3">
      <c r="A814" t="s">
        <v>830</v>
      </c>
      <c r="B814" s="1">
        <v>45820</v>
      </c>
      <c r="C814" t="s">
        <v>15</v>
      </c>
      <c r="D814" t="s">
        <v>16</v>
      </c>
      <c r="E814">
        <v>35</v>
      </c>
      <c r="F814">
        <v>43</v>
      </c>
      <c r="G814">
        <v>0</v>
      </c>
      <c r="H814">
        <v>1505</v>
      </c>
      <c r="I814">
        <f>AVERAGEIFS(sales_Data[units_sold], sales_Data[product_id],sales_Data[[#This Row],[product_id]])</f>
        <v>30.438356164383563</v>
      </c>
      <c r="J814">
        <f>_xlfn.XLOOKUP(sales_Data[[#This Row],[product_id]],sales_Data[product_id],sales_Data[unit_price])</f>
        <v>35</v>
      </c>
    </row>
    <row r="815" spans="1:10" x14ac:dyDescent="0.3">
      <c r="A815" t="s">
        <v>831</v>
      </c>
      <c r="B815" s="1">
        <v>45820</v>
      </c>
      <c r="C815" t="s">
        <v>18</v>
      </c>
      <c r="D815" t="s">
        <v>19</v>
      </c>
      <c r="E815">
        <v>120</v>
      </c>
      <c r="F815">
        <v>14</v>
      </c>
      <c r="G815">
        <v>0</v>
      </c>
      <c r="H815">
        <v>1680</v>
      </c>
      <c r="I815">
        <f>AVERAGEIFS(sales_Data[units_sold], sales_Data[product_id],sales_Data[[#This Row],[product_id]])</f>
        <v>30.473972602739725</v>
      </c>
      <c r="J815">
        <f>_xlfn.XLOOKUP(sales_Data[[#This Row],[product_id]],sales_Data[product_id],sales_Data[unit_price])</f>
        <v>120</v>
      </c>
    </row>
    <row r="816" spans="1:10" x14ac:dyDescent="0.3">
      <c r="A816" t="s">
        <v>832</v>
      </c>
      <c r="B816" s="1">
        <v>45820</v>
      </c>
      <c r="C816" t="s">
        <v>21</v>
      </c>
      <c r="D816" t="s">
        <v>22</v>
      </c>
      <c r="E816">
        <v>25</v>
      </c>
      <c r="F816">
        <v>23</v>
      </c>
      <c r="G816">
        <v>0.1</v>
      </c>
      <c r="H816">
        <v>517.5</v>
      </c>
      <c r="I816">
        <f>AVERAGEIFS(sales_Data[units_sold], sales_Data[product_id],sales_Data[[#This Row],[product_id]])</f>
        <v>29.463013698630139</v>
      </c>
      <c r="J816">
        <f>_xlfn.XLOOKUP(sales_Data[[#This Row],[product_id]],sales_Data[product_id],sales_Data[unit_price])</f>
        <v>25</v>
      </c>
    </row>
    <row r="817" spans="1:10" x14ac:dyDescent="0.3">
      <c r="A817" t="s">
        <v>833</v>
      </c>
      <c r="B817" s="1">
        <v>45821</v>
      </c>
      <c r="C817" t="s">
        <v>9</v>
      </c>
      <c r="D817" t="s">
        <v>10</v>
      </c>
      <c r="E817">
        <v>45</v>
      </c>
      <c r="F817">
        <v>30</v>
      </c>
      <c r="G817">
        <v>0</v>
      </c>
      <c r="H817">
        <v>1350</v>
      </c>
      <c r="I817">
        <f>AVERAGEIFS(sales_Data[units_sold], sales_Data[product_id],sales_Data[[#This Row],[product_id]])</f>
        <v>31.479452054794521</v>
      </c>
      <c r="J817">
        <f>_xlfn.XLOOKUP(sales_Data[[#This Row],[product_id]],sales_Data[product_id],sales_Data[unit_price])</f>
        <v>45</v>
      </c>
    </row>
    <row r="818" spans="1:10" x14ac:dyDescent="0.3">
      <c r="A818" t="s">
        <v>834</v>
      </c>
      <c r="B818" s="1">
        <v>45821</v>
      </c>
      <c r="C818" t="s">
        <v>12</v>
      </c>
      <c r="D818" t="s">
        <v>13</v>
      </c>
      <c r="E818">
        <v>12.5</v>
      </c>
      <c r="F818">
        <v>7</v>
      </c>
      <c r="G818">
        <v>0.2</v>
      </c>
      <c r="H818">
        <v>70</v>
      </c>
      <c r="I818">
        <f>AVERAGEIFS(sales_Data[units_sold], sales_Data[product_id],sales_Data[[#This Row],[product_id]])</f>
        <v>31.794520547945204</v>
      </c>
      <c r="J818">
        <f>_xlfn.XLOOKUP(sales_Data[[#This Row],[product_id]],sales_Data[product_id],sales_Data[unit_price])</f>
        <v>12.5</v>
      </c>
    </row>
    <row r="819" spans="1:10" x14ac:dyDescent="0.3">
      <c r="A819" t="s">
        <v>835</v>
      </c>
      <c r="B819" s="1">
        <v>45821</v>
      </c>
      <c r="C819" t="s">
        <v>15</v>
      </c>
      <c r="D819" t="s">
        <v>16</v>
      </c>
      <c r="E819">
        <v>35</v>
      </c>
      <c r="F819">
        <v>11</v>
      </c>
      <c r="G819">
        <v>0</v>
      </c>
      <c r="H819">
        <v>385</v>
      </c>
      <c r="I819">
        <f>AVERAGEIFS(sales_Data[units_sold], sales_Data[product_id],sales_Data[[#This Row],[product_id]])</f>
        <v>30.438356164383563</v>
      </c>
      <c r="J819">
        <f>_xlfn.XLOOKUP(sales_Data[[#This Row],[product_id]],sales_Data[product_id],sales_Data[unit_price])</f>
        <v>35</v>
      </c>
    </row>
    <row r="820" spans="1:10" x14ac:dyDescent="0.3">
      <c r="A820" t="s">
        <v>836</v>
      </c>
      <c r="B820" s="1">
        <v>45821</v>
      </c>
      <c r="C820" t="s">
        <v>18</v>
      </c>
      <c r="D820" t="s">
        <v>19</v>
      </c>
      <c r="E820">
        <v>120</v>
      </c>
      <c r="F820">
        <v>34</v>
      </c>
      <c r="G820">
        <v>0</v>
      </c>
      <c r="H820">
        <v>4080</v>
      </c>
      <c r="I820">
        <f>AVERAGEIFS(sales_Data[units_sold], sales_Data[product_id],sales_Data[[#This Row],[product_id]])</f>
        <v>30.473972602739725</v>
      </c>
      <c r="J820">
        <f>_xlfn.XLOOKUP(sales_Data[[#This Row],[product_id]],sales_Data[product_id],sales_Data[unit_price])</f>
        <v>120</v>
      </c>
    </row>
    <row r="821" spans="1:10" x14ac:dyDescent="0.3">
      <c r="A821" t="s">
        <v>837</v>
      </c>
      <c r="B821" s="1">
        <v>45821</v>
      </c>
      <c r="C821" t="s">
        <v>21</v>
      </c>
      <c r="D821" t="s">
        <v>22</v>
      </c>
      <c r="E821">
        <v>25</v>
      </c>
      <c r="F821">
        <v>19</v>
      </c>
      <c r="G821">
        <v>0</v>
      </c>
      <c r="H821">
        <v>475</v>
      </c>
      <c r="I821">
        <f>AVERAGEIFS(sales_Data[units_sold], sales_Data[product_id],sales_Data[[#This Row],[product_id]])</f>
        <v>29.463013698630139</v>
      </c>
      <c r="J821">
        <f>_xlfn.XLOOKUP(sales_Data[[#This Row],[product_id]],sales_Data[product_id],sales_Data[unit_price])</f>
        <v>25</v>
      </c>
    </row>
    <row r="822" spans="1:10" x14ac:dyDescent="0.3">
      <c r="A822" t="s">
        <v>838</v>
      </c>
      <c r="B822" s="1">
        <v>45822</v>
      </c>
      <c r="C822" t="s">
        <v>9</v>
      </c>
      <c r="D822" t="s">
        <v>10</v>
      </c>
      <c r="E822">
        <v>45</v>
      </c>
      <c r="F822">
        <v>7</v>
      </c>
      <c r="G822">
        <v>0.1</v>
      </c>
      <c r="H822">
        <v>283.5</v>
      </c>
      <c r="I822">
        <f>AVERAGEIFS(sales_Data[units_sold], sales_Data[product_id],sales_Data[[#This Row],[product_id]])</f>
        <v>31.479452054794521</v>
      </c>
      <c r="J822">
        <f>_xlfn.XLOOKUP(sales_Data[[#This Row],[product_id]],sales_Data[product_id],sales_Data[unit_price])</f>
        <v>45</v>
      </c>
    </row>
    <row r="823" spans="1:10" x14ac:dyDescent="0.3">
      <c r="A823" t="s">
        <v>839</v>
      </c>
      <c r="B823" s="1">
        <v>45822</v>
      </c>
      <c r="C823" t="s">
        <v>12</v>
      </c>
      <c r="D823" t="s">
        <v>13</v>
      </c>
      <c r="E823">
        <v>12.5</v>
      </c>
      <c r="F823">
        <v>63</v>
      </c>
      <c r="G823">
        <v>0.2</v>
      </c>
      <c r="H823">
        <v>630</v>
      </c>
      <c r="I823">
        <f>AVERAGEIFS(sales_Data[units_sold], sales_Data[product_id],sales_Data[[#This Row],[product_id]])</f>
        <v>31.794520547945204</v>
      </c>
      <c r="J823">
        <f>_xlfn.XLOOKUP(sales_Data[[#This Row],[product_id]],sales_Data[product_id],sales_Data[unit_price])</f>
        <v>12.5</v>
      </c>
    </row>
    <row r="824" spans="1:10" x14ac:dyDescent="0.3">
      <c r="A824" t="s">
        <v>840</v>
      </c>
      <c r="B824" s="1">
        <v>45822</v>
      </c>
      <c r="C824" t="s">
        <v>15</v>
      </c>
      <c r="D824" t="s">
        <v>16</v>
      </c>
      <c r="E824">
        <v>35</v>
      </c>
      <c r="F824">
        <v>15</v>
      </c>
      <c r="G824">
        <v>0</v>
      </c>
      <c r="H824">
        <v>525</v>
      </c>
      <c r="I824">
        <f>AVERAGEIFS(sales_Data[units_sold], sales_Data[product_id],sales_Data[[#This Row],[product_id]])</f>
        <v>30.438356164383563</v>
      </c>
      <c r="J824">
        <f>_xlfn.XLOOKUP(sales_Data[[#This Row],[product_id]],sales_Data[product_id],sales_Data[unit_price])</f>
        <v>35</v>
      </c>
    </row>
    <row r="825" spans="1:10" x14ac:dyDescent="0.3">
      <c r="A825" t="s">
        <v>841</v>
      </c>
      <c r="B825" s="1">
        <v>45822</v>
      </c>
      <c r="C825" t="s">
        <v>18</v>
      </c>
      <c r="D825" t="s">
        <v>19</v>
      </c>
      <c r="E825">
        <v>120</v>
      </c>
      <c r="F825">
        <v>49</v>
      </c>
      <c r="G825">
        <v>0.2</v>
      </c>
      <c r="H825">
        <v>4704</v>
      </c>
      <c r="I825">
        <f>AVERAGEIFS(sales_Data[units_sold], sales_Data[product_id],sales_Data[[#This Row],[product_id]])</f>
        <v>30.473972602739725</v>
      </c>
      <c r="J825">
        <f>_xlfn.XLOOKUP(sales_Data[[#This Row],[product_id]],sales_Data[product_id],sales_Data[unit_price])</f>
        <v>120</v>
      </c>
    </row>
    <row r="826" spans="1:10" x14ac:dyDescent="0.3">
      <c r="A826" t="s">
        <v>842</v>
      </c>
      <c r="B826" s="1">
        <v>45822</v>
      </c>
      <c r="C826" t="s">
        <v>21</v>
      </c>
      <c r="D826" t="s">
        <v>22</v>
      </c>
      <c r="E826">
        <v>25</v>
      </c>
      <c r="F826">
        <v>12</v>
      </c>
      <c r="G826">
        <v>0</v>
      </c>
      <c r="H826">
        <v>300</v>
      </c>
      <c r="I826">
        <f>AVERAGEIFS(sales_Data[units_sold], sales_Data[product_id],sales_Data[[#This Row],[product_id]])</f>
        <v>29.463013698630139</v>
      </c>
      <c r="J826">
        <f>_xlfn.XLOOKUP(sales_Data[[#This Row],[product_id]],sales_Data[product_id],sales_Data[unit_price])</f>
        <v>25</v>
      </c>
    </row>
    <row r="827" spans="1:10" x14ac:dyDescent="0.3">
      <c r="A827" t="s">
        <v>843</v>
      </c>
      <c r="B827" s="1">
        <v>45823</v>
      </c>
      <c r="C827" t="s">
        <v>9</v>
      </c>
      <c r="D827" t="s">
        <v>10</v>
      </c>
      <c r="E827">
        <v>45</v>
      </c>
      <c r="F827">
        <v>43</v>
      </c>
      <c r="G827">
        <v>0</v>
      </c>
      <c r="H827">
        <v>1935</v>
      </c>
      <c r="I827">
        <f>AVERAGEIFS(sales_Data[units_sold], sales_Data[product_id],sales_Data[[#This Row],[product_id]])</f>
        <v>31.479452054794521</v>
      </c>
      <c r="J827">
        <f>_xlfn.XLOOKUP(sales_Data[[#This Row],[product_id]],sales_Data[product_id],sales_Data[unit_price])</f>
        <v>45</v>
      </c>
    </row>
    <row r="828" spans="1:10" x14ac:dyDescent="0.3">
      <c r="A828" t="s">
        <v>844</v>
      </c>
      <c r="B828" s="1">
        <v>45823</v>
      </c>
      <c r="C828" t="s">
        <v>12</v>
      </c>
      <c r="D828" t="s">
        <v>13</v>
      </c>
      <c r="E828">
        <v>12.5</v>
      </c>
      <c r="F828">
        <v>27</v>
      </c>
      <c r="G828">
        <v>0.2</v>
      </c>
      <c r="H828">
        <v>270</v>
      </c>
      <c r="I828">
        <f>AVERAGEIFS(sales_Data[units_sold], sales_Data[product_id],sales_Data[[#This Row],[product_id]])</f>
        <v>31.794520547945204</v>
      </c>
      <c r="J828">
        <f>_xlfn.XLOOKUP(sales_Data[[#This Row],[product_id]],sales_Data[product_id],sales_Data[unit_price])</f>
        <v>12.5</v>
      </c>
    </row>
    <row r="829" spans="1:10" x14ac:dyDescent="0.3">
      <c r="A829" t="s">
        <v>845</v>
      </c>
      <c r="B829" s="1">
        <v>45823</v>
      </c>
      <c r="C829" t="s">
        <v>15</v>
      </c>
      <c r="D829" t="s">
        <v>16</v>
      </c>
      <c r="E829">
        <v>35</v>
      </c>
      <c r="F829">
        <v>22</v>
      </c>
      <c r="G829">
        <v>0</v>
      </c>
      <c r="H829">
        <v>770</v>
      </c>
      <c r="I829">
        <f>AVERAGEIFS(sales_Data[units_sold], sales_Data[product_id],sales_Data[[#This Row],[product_id]])</f>
        <v>30.438356164383563</v>
      </c>
      <c r="J829">
        <f>_xlfn.XLOOKUP(sales_Data[[#This Row],[product_id]],sales_Data[product_id],sales_Data[unit_price])</f>
        <v>35</v>
      </c>
    </row>
    <row r="830" spans="1:10" x14ac:dyDescent="0.3">
      <c r="A830" t="s">
        <v>846</v>
      </c>
      <c r="B830" s="1">
        <v>45823</v>
      </c>
      <c r="C830" t="s">
        <v>18</v>
      </c>
      <c r="D830" t="s">
        <v>19</v>
      </c>
      <c r="E830">
        <v>120</v>
      </c>
      <c r="F830">
        <v>37</v>
      </c>
      <c r="G830">
        <v>0</v>
      </c>
      <c r="H830">
        <v>4440</v>
      </c>
      <c r="I830">
        <f>AVERAGEIFS(sales_Data[units_sold], sales_Data[product_id],sales_Data[[#This Row],[product_id]])</f>
        <v>30.473972602739725</v>
      </c>
      <c r="J830">
        <f>_xlfn.XLOOKUP(sales_Data[[#This Row],[product_id]],sales_Data[product_id],sales_Data[unit_price])</f>
        <v>120</v>
      </c>
    </row>
    <row r="831" spans="1:10" x14ac:dyDescent="0.3">
      <c r="A831" t="s">
        <v>847</v>
      </c>
      <c r="B831" s="1">
        <v>45823</v>
      </c>
      <c r="C831" t="s">
        <v>21</v>
      </c>
      <c r="D831" t="s">
        <v>22</v>
      </c>
      <c r="E831">
        <v>25</v>
      </c>
      <c r="F831">
        <v>19</v>
      </c>
      <c r="G831">
        <v>0</v>
      </c>
      <c r="H831">
        <v>475</v>
      </c>
      <c r="I831">
        <f>AVERAGEIFS(sales_Data[units_sold], sales_Data[product_id],sales_Data[[#This Row],[product_id]])</f>
        <v>29.463013698630139</v>
      </c>
      <c r="J831">
        <f>_xlfn.XLOOKUP(sales_Data[[#This Row],[product_id]],sales_Data[product_id],sales_Data[unit_price])</f>
        <v>25</v>
      </c>
    </row>
    <row r="832" spans="1:10" x14ac:dyDescent="0.3">
      <c r="A832" t="s">
        <v>848</v>
      </c>
      <c r="B832" s="1">
        <v>45824</v>
      </c>
      <c r="C832" t="s">
        <v>9</v>
      </c>
      <c r="D832" t="s">
        <v>10</v>
      </c>
      <c r="E832">
        <v>45</v>
      </c>
      <c r="F832">
        <v>29</v>
      </c>
      <c r="G832">
        <v>0</v>
      </c>
      <c r="H832">
        <v>1305</v>
      </c>
      <c r="I832">
        <f>AVERAGEIFS(sales_Data[units_sold], sales_Data[product_id],sales_Data[[#This Row],[product_id]])</f>
        <v>31.479452054794521</v>
      </c>
      <c r="J832">
        <f>_xlfn.XLOOKUP(sales_Data[[#This Row],[product_id]],sales_Data[product_id],sales_Data[unit_price])</f>
        <v>45</v>
      </c>
    </row>
    <row r="833" spans="1:10" x14ac:dyDescent="0.3">
      <c r="A833" t="s">
        <v>849</v>
      </c>
      <c r="B833" s="1">
        <v>45824</v>
      </c>
      <c r="C833" t="s">
        <v>12</v>
      </c>
      <c r="D833" t="s">
        <v>13</v>
      </c>
      <c r="E833">
        <v>12.5</v>
      </c>
      <c r="F833">
        <v>47</v>
      </c>
      <c r="G833">
        <v>0.1</v>
      </c>
      <c r="H833">
        <v>528.75</v>
      </c>
      <c r="I833">
        <f>AVERAGEIFS(sales_Data[units_sold], sales_Data[product_id],sales_Data[[#This Row],[product_id]])</f>
        <v>31.794520547945204</v>
      </c>
      <c r="J833">
        <f>_xlfn.XLOOKUP(sales_Data[[#This Row],[product_id]],sales_Data[product_id],sales_Data[unit_price])</f>
        <v>12.5</v>
      </c>
    </row>
    <row r="834" spans="1:10" x14ac:dyDescent="0.3">
      <c r="A834" t="s">
        <v>850</v>
      </c>
      <c r="B834" s="1">
        <v>45824</v>
      </c>
      <c r="C834" t="s">
        <v>15</v>
      </c>
      <c r="D834" t="s">
        <v>16</v>
      </c>
      <c r="E834">
        <v>35</v>
      </c>
      <c r="F834">
        <v>28</v>
      </c>
      <c r="G834">
        <v>0.2</v>
      </c>
      <c r="H834">
        <v>784</v>
      </c>
      <c r="I834">
        <f>AVERAGEIFS(sales_Data[units_sold], sales_Data[product_id],sales_Data[[#This Row],[product_id]])</f>
        <v>30.438356164383563</v>
      </c>
      <c r="J834">
        <f>_xlfn.XLOOKUP(sales_Data[[#This Row],[product_id]],sales_Data[product_id],sales_Data[unit_price])</f>
        <v>35</v>
      </c>
    </row>
    <row r="835" spans="1:10" x14ac:dyDescent="0.3">
      <c r="A835" t="s">
        <v>851</v>
      </c>
      <c r="B835" s="1">
        <v>45824</v>
      </c>
      <c r="C835" t="s">
        <v>18</v>
      </c>
      <c r="D835" t="s">
        <v>19</v>
      </c>
      <c r="E835">
        <v>120</v>
      </c>
      <c r="F835">
        <v>40</v>
      </c>
      <c r="G835">
        <v>0</v>
      </c>
      <c r="H835">
        <v>4800</v>
      </c>
      <c r="I835">
        <f>AVERAGEIFS(sales_Data[units_sold], sales_Data[product_id],sales_Data[[#This Row],[product_id]])</f>
        <v>30.473972602739725</v>
      </c>
      <c r="J835">
        <f>_xlfn.XLOOKUP(sales_Data[[#This Row],[product_id]],sales_Data[product_id],sales_Data[unit_price])</f>
        <v>120</v>
      </c>
    </row>
    <row r="836" spans="1:10" x14ac:dyDescent="0.3">
      <c r="A836" t="s">
        <v>852</v>
      </c>
      <c r="B836" s="1">
        <v>45824</v>
      </c>
      <c r="C836" t="s">
        <v>21</v>
      </c>
      <c r="D836" t="s">
        <v>22</v>
      </c>
      <c r="E836">
        <v>25</v>
      </c>
      <c r="F836">
        <v>9</v>
      </c>
      <c r="G836">
        <v>0</v>
      </c>
      <c r="H836">
        <v>225</v>
      </c>
      <c r="I836">
        <f>AVERAGEIFS(sales_Data[units_sold], sales_Data[product_id],sales_Data[[#This Row],[product_id]])</f>
        <v>29.463013698630139</v>
      </c>
      <c r="J836">
        <f>_xlfn.XLOOKUP(sales_Data[[#This Row],[product_id]],sales_Data[product_id],sales_Data[unit_price])</f>
        <v>25</v>
      </c>
    </row>
    <row r="837" spans="1:10" x14ac:dyDescent="0.3">
      <c r="A837" t="s">
        <v>853</v>
      </c>
      <c r="B837" s="1">
        <v>45825</v>
      </c>
      <c r="C837" t="s">
        <v>9</v>
      </c>
      <c r="D837" t="s">
        <v>10</v>
      </c>
      <c r="E837">
        <v>45</v>
      </c>
      <c r="F837">
        <v>8</v>
      </c>
      <c r="G837">
        <v>0.2</v>
      </c>
      <c r="H837">
        <v>288</v>
      </c>
      <c r="I837">
        <f>AVERAGEIFS(sales_Data[units_sold], sales_Data[product_id],sales_Data[[#This Row],[product_id]])</f>
        <v>31.479452054794521</v>
      </c>
      <c r="J837">
        <f>_xlfn.XLOOKUP(sales_Data[[#This Row],[product_id]],sales_Data[product_id],sales_Data[unit_price])</f>
        <v>45</v>
      </c>
    </row>
    <row r="838" spans="1:10" x14ac:dyDescent="0.3">
      <c r="A838" t="s">
        <v>854</v>
      </c>
      <c r="B838" s="1">
        <v>45825</v>
      </c>
      <c r="C838" t="s">
        <v>12</v>
      </c>
      <c r="D838" t="s">
        <v>13</v>
      </c>
      <c r="E838">
        <v>12.5</v>
      </c>
      <c r="F838">
        <v>9</v>
      </c>
      <c r="G838">
        <v>0</v>
      </c>
      <c r="H838">
        <v>112.5</v>
      </c>
      <c r="I838">
        <f>AVERAGEIFS(sales_Data[units_sold], sales_Data[product_id],sales_Data[[#This Row],[product_id]])</f>
        <v>31.794520547945204</v>
      </c>
      <c r="J838">
        <f>_xlfn.XLOOKUP(sales_Data[[#This Row],[product_id]],sales_Data[product_id],sales_Data[unit_price])</f>
        <v>12.5</v>
      </c>
    </row>
    <row r="839" spans="1:10" x14ac:dyDescent="0.3">
      <c r="A839" t="s">
        <v>855</v>
      </c>
      <c r="B839" s="1">
        <v>45825</v>
      </c>
      <c r="C839" t="s">
        <v>15</v>
      </c>
      <c r="D839" t="s">
        <v>16</v>
      </c>
      <c r="E839">
        <v>35</v>
      </c>
      <c r="F839">
        <v>22</v>
      </c>
      <c r="G839">
        <v>0</v>
      </c>
      <c r="H839">
        <v>770</v>
      </c>
      <c r="I839">
        <f>AVERAGEIFS(sales_Data[units_sold], sales_Data[product_id],sales_Data[[#This Row],[product_id]])</f>
        <v>30.438356164383563</v>
      </c>
      <c r="J839">
        <f>_xlfn.XLOOKUP(sales_Data[[#This Row],[product_id]],sales_Data[product_id],sales_Data[unit_price])</f>
        <v>35</v>
      </c>
    </row>
    <row r="840" spans="1:10" x14ac:dyDescent="0.3">
      <c r="A840" t="s">
        <v>856</v>
      </c>
      <c r="B840" s="1">
        <v>45825</v>
      </c>
      <c r="C840" t="s">
        <v>18</v>
      </c>
      <c r="D840" t="s">
        <v>19</v>
      </c>
      <c r="E840">
        <v>120</v>
      </c>
      <c r="F840">
        <v>9</v>
      </c>
      <c r="G840">
        <v>0.1</v>
      </c>
      <c r="H840">
        <v>972</v>
      </c>
      <c r="I840">
        <f>AVERAGEIFS(sales_Data[units_sold], sales_Data[product_id],sales_Data[[#This Row],[product_id]])</f>
        <v>30.473972602739725</v>
      </c>
      <c r="J840">
        <f>_xlfn.XLOOKUP(sales_Data[[#This Row],[product_id]],sales_Data[product_id],sales_Data[unit_price])</f>
        <v>120</v>
      </c>
    </row>
    <row r="841" spans="1:10" x14ac:dyDescent="0.3">
      <c r="A841" t="s">
        <v>857</v>
      </c>
      <c r="B841" s="1">
        <v>45825</v>
      </c>
      <c r="C841" t="s">
        <v>21</v>
      </c>
      <c r="D841" t="s">
        <v>22</v>
      </c>
      <c r="E841">
        <v>25</v>
      </c>
      <c r="F841">
        <v>21</v>
      </c>
      <c r="G841">
        <v>0</v>
      </c>
      <c r="H841">
        <v>525</v>
      </c>
      <c r="I841">
        <f>AVERAGEIFS(sales_Data[units_sold], sales_Data[product_id],sales_Data[[#This Row],[product_id]])</f>
        <v>29.463013698630139</v>
      </c>
      <c r="J841">
        <f>_xlfn.XLOOKUP(sales_Data[[#This Row],[product_id]],sales_Data[product_id],sales_Data[unit_price])</f>
        <v>25</v>
      </c>
    </row>
    <row r="842" spans="1:10" x14ac:dyDescent="0.3">
      <c r="A842" t="s">
        <v>858</v>
      </c>
      <c r="B842" s="1">
        <v>45826</v>
      </c>
      <c r="C842" t="s">
        <v>9</v>
      </c>
      <c r="D842" t="s">
        <v>10</v>
      </c>
      <c r="E842">
        <v>45</v>
      </c>
      <c r="F842">
        <v>32</v>
      </c>
      <c r="G842">
        <v>0.2</v>
      </c>
      <c r="H842">
        <v>1152</v>
      </c>
      <c r="I842">
        <f>AVERAGEIFS(sales_Data[units_sold], sales_Data[product_id],sales_Data[[#This Row],[product_id]])</f>
        <v>31.479452054794521</v>
      </c>
      <c r="J842">
        <f>_xlfn.XLOOKUP(sales_Data[[#This Row],[product_id]],sales_Data[product_id],sales_Data[unit_price])</f>
        <v>45</v>
      </c>
    </row>
    <row r="843" spans="1:10" x14ac:dyDescent="0.3">
      <c r="A843" t="s">
        <v>859</v>
      </c>
      <c r="B843" s="1">
        <v>45826</v>
      </c>
      <c r="C843" t="s">
        <v>12</v>
      </c>
      <c r="D843" t="s">
        <v>13</v>
      </c>
      <c r="E843">
        <v>12.5</v>
      </c>
      <c r="F843">
        <v>20</v>
      </c>
      <c r="G843">
        <v>0</v>
      </c>
      <c r="H843">
        <v>250</v>
      </c>
      <c r="I843">
        <f>AVERAGEIFS(sales_Data[units_sold], sales_Data[product_id],sales_Data[[#This Row],[product_id]])</f>
        <v>31.794520547945204</v>
      </c>
      <c r="J843">
        <f>_xlfn.XLOOKUP(sales_Data[[#This Row],[product_id]],sales_Data[product_id],sales_Data[unit_price])</f>
        <v>12.5</v>
      </c>
    </row>
    <row r="844" spans="1:10" x14ac:dyDescent="0.3">
      <c r="A844" t="s">
        <v>860</v>
      </c>
      <c r="B844" s="1">
        <v>45826</v>
      </c>
      <c r="C844" t="s">
        <v>15</v>
      </c>
      <c r="D844" t="s">
        <v>16</v>
      </c>
      <c r="E844">
        <v>35</v>
      </c>
      <c r="F844">
        <v>5</v>
      </c>
      <c r="G844">
        <v>0.1</v>
      </c>
      <c r="H844">
        <v>157.5</v>
      </c>
      <c r="I844">
        <f>AVERAGEIFS(sales_Data[units_sold], sales_Data[product_id],sales_Data[[#This Row],[product_id]])</f>
        <v>30.438356164383563</v>
      </c>
      <c r="J844">
        <f>_xlfn.XLOOKUP(sales_Data[[#This Row],[product_id]],sales_Data[product_id],sales_Data[unit_price])</f>
        <v>35</v>
      </c>
    </row>
    <row r="845" spans="1:10" x14ac:dyDescent="0.3">
      <c r="A845" t="s">
        <v>861</v>
      </c>
      <c r="B845" s="1">
        <v>45826</v>
      </c>
      <c r="C845" t="s">
        <v>18</v>
      </c>
      <c r="D845" t="s">
        <v>19</v>
      </c>
      <c r="E845">
        <v>120</v>
      </c>
      <c r="F845">
        <v>34</v>
      </c>
      <c r="G845">
        <v>0.1</v>
      </c>
      <c r="H845">
        <v>3672</v>
      </c>
      <c r="I845">
        <f>AVERAGEIFS(sales_Data[units_sold], sales_Data[product_id],sales_Data[[#This Row],[product_id]])</f>
        <v>30.473972602739725</v>
      </c>
      <c r="J845">
        <f>_xlfn.XLOOKUP(sales_Data[[#This Row],[product_id]],sales_Data[product_id],sales_Data[unit_price])</f>
        <v>120</v>
      </c>
    </row>
    <row r="846" spans="1:10" x14ac:dyDescent="0.3">
      <c r="A846" t="s">
        <v>862</v>
      </c>
      <c r="B846" s="1">
        <v>45826</v>
      </c>
      <c r="C846" t="s">
        <v>21</v>
      </c>
      <c r="D846" t="s">
        <v>22</v>
      </c>
      <c r="E846">
        <v>25</v>
      </c>
      <c r="F846">
        <v>30</v>
      </c>
      <c r="G846">
        <v>0</v>
      </c>
      <c r="H846">
        <v>750</v>
      </c>
      <c r="I846">
        <f>AVERAGEIFS(sales_Data[units_sold], sales_Data[product_id],sales_Data[[#This Row],[product_id]])</f>
        <v>29.463013698630139</v>
      </c>
      <c r="J846">
        <f>_xlfn.XLOOKUP(sales_Data[[#This Row],[product_id]],sales_Data[product_id],sales_Data[unit_price])</f>
        <v>25</v>
      </c>
    </row>
    <row r="847" spans="1:10" x14ac:dyDescent="0.3">
      <c r="A847" t="s">
        <v>863</v>
      </c>
      <c r="B847" s="1">
        <v>45827</v>
      </c>
      <c r="C847" t="s">
        <v>9</v>
      </c>
      <c r="D847" t="s">
        <v>10</v>
      </c>
      <c r="E847">
        <v>45</v>
      </c>
      <c r="F847">
        <v>46</v>
      </c>
      <c r="G847">
        <v>0</v>
      </c>
      <c r="H847">
        <v>2070</v>
      </c>
      <c r="I847">
        <f>AVERAGEIFS(sales_Data[units_sold], sales_Data[product_id],sales_Data[[#This Row],[product_id]])</f>
        <v>31.479452054794521</v>
      </c>
      <c r="J847">
        <f>_xlfn.XLOOKUP(sales_Data[[#This Row],[product_id]],sales_Data[product_id],sales_Data[unit_price])</f>
        <v>45</v>
      </c>
    </row>
    <row r="848" spans="1:10" x14ac:dyDescent="0.3">
      <c r="A848" t="s">
        <v>864</v>
      </c>
      <c r="B848" s="1">
        <v>45827</v>
      </c>
      <c r="C848" t="s">
        <v>12</v>
      </c>
      <c r="D848" t="s">
        <v>13</v>
      </c>
      <c r="E848">
        <v>12.5</v>
      </c>
      <c r="F848">
        <v>36</v>
      </c>
      <c r="G848">
        <v>0.1</v>
      </c>
      <c r="H848">
        <v>405</v>
      </c>
      <c r="I848">
        <f>AVERAGEIFS(sales_Data[units_sold], sales_Data[product_id],sales_Data[[#This Row],[product_id]])</f>
        <v>31.794520547945204</v>
      </c>
      <c r="J848">
        <f>_xlfn.XLOOKUP(sales_Data[[#This Row],[product_id]],sales_Data[product_id],sales_Data[unit_price])</f>
        <v>12.5</v>
      </c>
    </row>
    <row r="849" spans="1:10" x14ac:dyDescent="0.3">
      <c r="A849" t="s">
        <v>865</v>
      </c>
      <c r="B849" s="1">
        <v>45827</v>
      </c>
      <c r="C849" t="s">
        <v>15</v>
      </c>
      <c r="D849" t="s">
        <v>16</v>
      </c>
      <c r="E849">
        <v>35</v>
      </c>
      <c r="F849">
        <v>34</v>
      </c>
      <c r="G849">
        <v>0</v>
      </c>
      <c r="H849">
        <v>1190</v>
      </c>
      <c r="I849">
        <f>AVERAGEIFS(sales_Data[units_sold], sales_Data[product_id],sales_Data[[#This Row],[product_id]])</f>
        <v>30.438356164383563</v>
      </c>
      <c r="J849">
        <f>_xlfn.XLOOKUP(sales_Data[[#This Row],[product_id]],sales_Data[product_id],sales_Data[unit_price])</f>
        <v>35</v>
      </c>
    </row>
    <row r="850" spans="1:10" x14ac:dyDescent="0.3">
      <c r="A850" t="s">
        <v>866</v>
      </c>
      <c r="B850" s="1">
        <v>45827</v>
      </c>
      <c r="C850" t="s">
        <v>18</v>
      </c>
      <c r="D850" t="s">
        <v>19</v>
      </c>
      <c r="E850">
        <v>120</v>
      </c>
      <c r="F850">
        <v>13</v>
      </c>
      <c r="G850">
        <v>0.1</v>
      </c>
      <c r="H850">
        <v>1404</v>
      </c>
      <c r="I850">
        <f>AVERAGEIFS(sales_Data[units_sold], sales_Data[product_id],sales_Data[[#This Row],[product_id]])</f>
        <v>30.473972602739725</v>
      </c>
      <c r="J850">
        <f>_xlfn.XLOOKUP(sales_Data[[#This Row],[product_id]],sales_Data[product_id],sales_Data[unit_price])</f>
        <v>120</v>
      </c>
    </row>
    <row r="851" spans="1:10" x14ac:dyDescent="0.3">
      <c r="A851" t="s">
        <v>867</v>
      </c>
      <c r="B851" s="1">
        <v>45827</v>
      </c>
      <c r="C851" t="s">
        <v>21</v>
      </c>
      <c r="D851" t="s">
        <v>22</v>
      </c>
      <c r="E851">
        <v>25</v>
      </c>
      <c r="F851">
        <v>26</v>
      </c>
      <c r="G851">
        <v>0.1</v>
      </c>
      <c r="H851">
        <v>585</v>
      </c>
      <c r="I851">
        <f>AVERAGEIFS(sales_Data[units_sold], sales_Data[product_id],sales_Data[[#This Row],[product_id]])</f>
        <v>29.463013698630139</v>
      </c>
      <c r="J851">
        <f>_xlfn.XLOOKUP(sales_Data[[#This Row],[product_id]],sales_Data[product_id],sales_Data[unit_price])</f>
        <v>25</v>
      </c>
    </row>
    <row r="852" spans="1:10" x14ac:dyDescent="0.3">
      <c r="A852" t="s">
        <v>868</v>
      </c>
      <c r="B852" s="1">
        <v>45828</v>
      </c>
      <c r="C852" t="s">
        <v>9</v>
      </c>
      <c r="D852" t="s">
        <v>10</v>
      </c>
      <c r="E852">
        <v>45</v>
      </c>
      <c r="F852">
        <v>9</v>
      </c>
      <c r="G852">
        <v>0.1</v>
      </c>
      <c r="H852">
        <v>364.5</v>
      </c>
      <c r="I852">
        <f>AVERAGEIFS(sales_Data[units_sold], sales_Data[product_id],sales_Data[[#This Row],[product_id]])</f>
        <v>31.479452054794521</v>
      </c>
      <c r="J852">
        <f>_xlfn.XLOOKUP(sales_Data[[#This Row],[product_id]],sales_Data[product_id],sales_Data[unit_price])</f>
        <v>45</v>
      </c>
    </row>
    <row r="853" spans="1:10" x14ac:dyDescent="0.3">
      <c r="A853" t="s">
        <v>869</v>
      </c>
      <c r="B853" s="1">
        <v>45828</v>
      </c>
      <c r="C853" t="s">
        <v>12</v>
      </c>
      <c r="D853" t="s">
        <v>13</v>
      </c>
      <c r="E853">
        <v>12.5</v>
      </c>
      <c r="F853">
        <v>23</v>
      </c>
      <c r="G853">
        <v>0</v>
      </c>
      <c r="H853">
        <v>287.5</v>
      </c>
      <c r="I853">
        <f>AVERAGEIFS(sales_Data[units_sold], sales_Data[product_id],sales_Data[[#This Row],[product_id]])</f>
        <v>31.794520547945204</v>
      </c>
      <c r="J853">
        <f>_xlfn.XLOOKUP(sales_Data[[#This Row],[product_id]],sales_Data[product_id],sales_Data[unit_price])</f>
        <v>12.5</v>
      </c>
    </row>
    <row r="854" spans="1:10" x14ac:dyDescent="0.3">
      <c r="A854" t="s">
        <v>870</v>
      </c>
      <c r="B854" s="1">
        <v>45828</v>
      </c>
      <c r="C854" t="s">
        <v>15</v>
      </c>
      <c r="D854" t="s">
        <v>16</v>
      </c>
      <c r="E854">
        <v>35</v>
      </c>
      <c r="F854">
        <v>30</v>
      </c>
      <c r="G854">
        <v>0</v>
      </c>
      <c r="H854">
        <v>1050</v>
      </c>
      <c r="I854">
        <f>AVERAGEIFS(sales_Data[units_sold], sales_Data[product_id],sales_Data[[#This Row],[product_id]])</f>
        <v>30.438356164383563</v>
      </c>
      <c r="J854">
        <f>_xlfn.XLOOKUP(sales_Data[[#This Row],[product_id]],sales_Data[product_id],sales_Data[unit_price])</f>
        <v>35</v>
      </c>
    </row>
    <row r="855" spans="1:10" x14ac:dyDescent="0.3">
      <c r="A855" t="s">
        <v>871</v>
      </c>
      <c r="B855" s="1">
        <v>45828</v>
      </c>
      <c r="C855" t="s">
        <v>18</v>
      </c>
      <c r="D855" t="s">
        <v>19</v>
      </c>
      <c r="E855">
        <v>120</v>
      </c>
      <c r="F855">
        <v>25</v>
      </c>
      <c r="G855">
        <v>0</v>
      </c>
      <c r="H855">
        <v>3000</v>
      </c>
      <c r="I855">
        <f>AVERAGEIFS(sales_Data[units_sold], sales_Data[product_id],sales_Data[[#This Row],[product_id]])</f>
        <v>30.473972602739725</v>
      </c>
      <c r="J855">
        <f>_xlfn.XLOOKUP(sales_Data[[#This Row],[product_id]],sales_Data[product_id],sales_Data[unit_price])</f>
        <v>120</v>
      </c>
    </row>
    <row r="856" spans="1:10" x14ac:dyDescent="0.3">
      <c r="A856" t="s">
        <v>872</v>
      </c>
      <c r="B856" s="1">
        <v>45828</v>
      </c>
      <c r="C856" t="s">
        <v>21</v>
      </c>
      <c r="D856" t="s">
        <v>22</v>
      </c>
      <c r="E856">
        <v>25</v>
      </c>
      <c r="F856">
        <v>39</v>
      </c>
      <c r="G856">
        <v>0.2</v>
      </c>
      <c r="H856">
        <v>780</v>
      </c>
      <c r="I856">
        <f>AVERAGEIFS(sales_Data[units_sold], sales_Data[product_id],sales_Data[[#This Row],[product_id]])</f>
        <v>29.463013698630139</v>
      </c>
      <c r="J856">
        <f>_xlfn.XLOOKUP(sales_Data[[#This Row],[product_id]],sales_Data[product_id],sales_Data[unit_price])</f>
        <v>25</v>
      </c>
    </row>
    <row r="857" spans="1:10" x14ac:dyDescent="0.3">
      <c r="A857" t="s">
        <v>873</v>
      </c>
      <c r="B857" s="1">
        <v>45829</v>
      </c>
      <c r="C857" t="s">
        <v>9</v>
      </c>
      <c r="D857" t="s">
        <v>10</v>
      </c>
      <c r="E857">
        <v>45</v>
      </c>
      <c r="F857">
        <v>66</v>
      </c>
      <c r="G857">
        <v>0</v>
      </c>
      <c r="H857">
        <v>2970</v>
      </c>
      <c r="I857">
        <f>AVERAGEIFS(sales_Data[units_sold], sales_Data[product_id],sales_Data[[#This Row],[product_id]])</f>
        <v>31.479452054794521</v>
      </c>
      <c r="J857">
        <f>_xlfn.XLOOKUP(sales_Data[[#This Row],[product_id]],sales_Data[product_id],sales_Data[unit_price])</f>
        <v>45</v>
      </c>
    </row>
    <row r="858" spans="1:10" x14ac:dyDescent="0.3">
      <c r="A858" t="s">
        <v>874</v>
      </c>
      <c r="B858" s="1">
        <v>45829</v>
      </c>
      <c r="C858" t="s">
        <v>12</v>
      </c>
      <c r="D858" t="s">
        <v>13</v>
      </c>
      <c r="E858">
        <v>12.5</v>
      </c>
      <c r="F858">
        <v>7</v>
      </c>
      <c r="G858">
        <v>0</v>
      </c>
      <c r="H858">
        <v>87.5</v>
      </c>
      <c r="I858">
        <f>AVERAGEIFS(sales_Data[units_sold], sales_Data[product_id],sales_Data[[#This Row],[product_id]])</f>
        <v>31.794520547945204</v>
      </c>
      <c r="J858">
        <f>_xlfn.XLOOKUP(sales_Data[[#This Row],[product_id]],sales_Data[product_id],sales_Data[unit_price])</f>
        <v>12.5</v>
      </c>
    </row>
    <row r="859" spans="1:10" x14ac:dyDescent="0.3">
      <c r="A859" t="s">
        <v>875</v>
      </c>
      <c r="B859" s="1">
        <v>45829</v>
      </c>
      <c r="C859" t="s">
        <v>15</v>
      </c>
      <c r="D859" t="s">
        <v>16</v>
      </c>
      <c r="E859">
        <v>35</v>
      </c>
      <c r="F859">
        <v>31</v>
      </c>
      <c r="G859">
        <v>0</v>
      </c>
      <c r="H859">
        <v>1085</v>
      </c>
      <c r="I859">
        <f>AVERAGEIFS(sales_Data[units_sold], sales_Data[product_id],sales_Data[[#This Row],[product_id]])</f>
        <v>30.438356164383563</v>
      </c>
      <c r="J859">
        <f>_xlfn.XLOOKUP(sales_Data[[#This Row],[product_id]],sales_Data[product_id],sales_Data[unit_price])</f>
        <v>35</v>
      </c>
    </row>
    <row r="860" spans="1:10" x14ac:dyDescent="0.3">
      <c r="A860" t="s">
        <v>876</v>
      </c>
      <c r="B860" s="1">
        <v>45829</v>
      </c>
      <c r="C860" t="s">
        <v>18</v>
      </c>
      <c r="D860" t="s">
        <v>19</v>
      </c>
      <c r="E860">
        <v>120</v>
      </c>
      <c r="F860">
        <v>64</v>
      </c>
      <c r="G860">
        <v>0</v>
      </c>
      <c r="H860">
        <v>7680</v>
      </c>
      <c r="I860">
        <f>AVERAGEIFS(sales_Data[units_sold], sales_Data[product_id],sales_Data[[#This Row],[product_id]])</f>
        <v>30.473972602739725</v>
      </c>
      <c r="J860">
        <f>_xlfn.XLOOKUP(sales_Data[[#This Row],[product_id]],sales_Data[product_id],sales_Data[unit_price])</f>
        <v>120</v>
      </c>
    </row>
    <row r="861" spans="1:10" x14ac:dyDescent="0.3">
      <c r="A861" t="s">
        <v>877</v>
      </c>
      <c r="B861" s="1">
        <v>45829</v>
      </c>
      <c r="C861" t="s">
        <v>21</v>
      </c>
      <c r="D861" t="s">
        <v>22</v>
      </c>
      <c r="E861">
        <v>25</v>
      </c>
      <c r="F861">
        <v>19</v>
      </c>
      <c r="G861">
        <v>0.1</v>
      </c>
      <c r="H861">
        <v>427.5</v>
      </c>
      <c r="I861">
        <f>AVERAGEIFS(sales_Data[units_sold], sales_Data[product_id],sales_Data[[#This Row],[product_id]])</f>
        <v>29.463013698630139</v>
      </c>
      <c r="J861">
        <f>_xlfn.XLOOKUP(sales_Data[[#This Row],[product_id]],sales_Data[product_id],sales_Data[unit_price])</f>
        <v>25</v>
      </c>
    </row>
    <row r="862" spans="1:10" x14ac:dyDescent="0.3">
      <c r="A862" t="s">
        <v>878</v>
      </c>
      <c r="B862" s="1">
        <v>45830</v>
      </c>
      <c r="C862" t="s">
        <v>9</v>
      </c>
      <c r="D862" t="s">
        <v>10</v>
      </c>
      <c r="E862">
        <v>45</v>
      </c>
      <c r="F862">
        <v>36</v>
      </c>
      <c r="G862">
        <v>0.1</v>
      </c>
      <c r="H862">
        <v>1458</v>
      </c>
      <c r="I862">
        <f>AVERAGEIFS(sales_Data[units_sold], sales_Data[product_id],sales_Data[[#This Row],[product_id]])</f>
        <v>31.479452054794521</v>
      </c>
      <c r="J862">
        <f>_xlfn.XLOOKUP(sales_Data[[#This Row],[product_id]],sales_Data[product_id],sales_Data[unit_price])</f>
        <v>45</v>
      </c>
    </row>
    <row r="863" spans="1:10" x14ac:dyDescent="0.3">
      <c r="A863" t="s">
        <v>879</v>
      </c>
      <c r="B863" s="1">
        <v>45830</v>
      </c>
      <c r="C863" t="s">
        <v>12</v>
      </c>
      <c r="D863" t="s">
        <v>13</v>
      </c>
      <c r="E863">
        <v>12.5</v>
      </c>
      <c r="F863">
        <v>37</v>
      </c>
      <c r="G863">
        <v>0.1</v>
      </c>
      <c r="H863">
        <v>416.25</v>
      </c>
      <c r="I863">
        <f>AVERAGEIFS(sales_Data[units_sold], sales_Data[product_id],sales_Data[[#This Row],[product_id]])</f>
        <v>31.794520547945204</v>
      </c>
      <c r="J863">
        <f>_xlfn.XLOOKUP(sales_Data[[#This Row],[product_id]],sales_Data[product_id],sales_Data[unit_price])</f>
        <v>12.5</v>
      </c>
    </row>
    <row r="864" spans="1:10" x14ac:dyDescent="0.3">
      <c r="A864" t="s">
        <v>880</v>
      </c>
      <c r="B864" s="1">
        <v>45830</v>
      </c>
      <c r="C864" t="s">
        <v>15</v>
      </c>
      <c r="D864" t="s">
        <v>16</v>
      </c>
      <c r="E864">
        <v>35</v>
      </c>
      <c r="F864">
        <v>70</v>
      </c>
      <c r="G864">
        <v>0</v>
      </c>
      <c r="H864">
        <v>2450</v>
      </c>
      <c r="I864">
        <f>AVERAGEIFS(sales_Data[units_sold], sales_Data[product_id],sales_Data[[#This Row],[product_id]])</f>
        <v>30.438356164383563</v>
      </c>
      <c r="J864">
        <f>_xlfn.XLOOKUP(sales_Data[[#This Row],[product_id]],sales_Data[product_id],sales_Data[unit_price])</f>
        <v>35</v>
      </c>
    </row>
    <row r="865" spans="1:10" x14ac:dyDescent="0.3">
      <c r="A865" t="s">
        <v>881</v>
      </c>
      <c r="B865" s="1">
        <v>45830</v>
      </c>
      <c r="C865" t="s">
        <v>18</v>
      </c>
      <c r="D865" t="s">
        <v>19</v>
      </c>
      <c r="E865">
        <v>120</v>
      </c>
      <c r="F865">
        <v>67</v>
      </c>
      <c r="G865">
        <v>0</v>
      </c>
      <c r="H865">
        <v>8040</v>
      </c>
      <c r="I865">
        <f>AVERAGEIFS(sales_Data[units_sold], sales_Data[product_id],sales_Data[[#This Row],[product_id]])</f>
        <v>30.473972602739725</v>
      </c>
      <c r="J865">
        <f>_xlfn.XLOOKUP(sales_Data[[#This Row],[product_id]],sales_Data[product_id],sales_Data[unit_price])</f>
        <v>120</v>
      </c>
    </row>
    <row r="866" spans="1:10" x14ac:dyDescent="0.3">
      <c r="A866" t="s">
        <v>882</v>
      </c>
      <c r="B866" s="1">
        <v>45830</v>
      </c>
      <c r="C866" t="s">
        <v>21</v>
      </c>
      <c r="D866" t="s">
        <v>22</v>
      </c>
      <c r="E866">
        <v>25</v>
      </c>
      <c r="F866">
        <v>22</v>
      </c>
      <c r="G866">
        <v>0</v>
      </c>
      <c r="H866">
        <v>550</v>
      </c>
      <c r="I866">
        <f>AVERAGEIFS(sales_Data[units_sold], sales_Data[product_id],sales_Data[[#This Row],[product_id]])</f>
        <v>29.463013698630139</v>
      </c>
      <c r="J866">
        <f>_xlfn.XLOOKUP(sales_Data[[#This Row],[product_id]],sales_Data[product_id],sales_Data[unit_price])</f>
        <v>25</v>
      </c>
    </row>
    <row r="867" spans="1:10" x14ac:dyDescent="0.3">
      <c r="A867" t="s">
        <v>883</v>
      </c>
      <c r="B867" s="1">
        <v>45831</v>
      </c>
      <c r="C867" t="s">
        <v>9</v>
      </c>
      <c r="D867" t="s">
        <v>10</v>
      </c>
      <c r="E867">
        <v>45</v>
      </c>
      <c r="F867">
        <v>33</v>
      </c>
      <c r="G867">
        <v>0</v>
      </c>
      <c r="H867">
        <v>1485</v>
      </c>
      <c r="I867">
        <f>AVERAGEIFS(sales_Data[units_sold], sales_Data[product_id],sales_Data[[#This Row],[product_id]])</f>
        <v>31.479452054794521</v>
      </c>
      <c r="J867">
        <f>_xlfn.XLOOKUP(sales_Data[[#This Row],[product_id]],sales_Data[product_id],sales_Data[unit_price])</f>
        <v>45</v>
      </c>
    </row>
    <row r="868" spans="1:10" x14ac:dyDescent="0.3">
      <c r="A868" t="s">
        <v>884</v>
      </c>
      <c r="B868" s="1">
        <v>45831</v>
      </c>
      <c r="C868" t="s">
        <v>12</v>
      </c>
      <c r="D868" t="s">
        <v>13</v>
      </c>
      <c r="E868">
        <v>12.5</v>
      </c>
      <c r="F868">
        <v>36</v>
      </c>
      <c r="G868">
        <v>0</v>
      </c>
      <c r="H868">
        <v>450</v>
      </c>
      <c r="I868">
        <f>AVERAGEIFS(sales_Data[units_sold], sales_Data[product_id],sales_Data[[#This Row],[product_id]])</f>
        <v>31.794520547945204</v>
      </c>
      <c r="J868">
        <f>_xlfn.XLOOKUP(sales_Data[[#This Row],[product_id]],sales_Data[product_id],sales_Data[unit_price])</f>
        <v>12.5</v>
      </c>
    </row>
    <row r="869" spans="1:10" x14ac:dyDescent="0.3">
      <c r="A869" t="s">
        <v>885</v>
      </c>
      <c r="B869" s="1">
        <v>45831</v>
      </c>
      <c r="C869" t="s">
        <v>15</v>
      </c>
      <c r="D869" t="s">
        <v>16</v>
      </c>
      <c r="E869">
        <v>35</v>
      </c>
      <c r="F869">
        <v>5</v>
      </c>
      <c r="G869">
        <v>0.2</v>
      </c>
      <c r="H869">
        <v>140</v>
      </c>
      <c r="I869">
        <f>AVERAGEIFS(sales_Data[units_sold], sales_Data[product_id],sales_Data[[#This Row],[product_id]])</f>
        <v>30.438356164383563</v>
      </c>
      <c r="J869">
        <f>_xlfn.XLOOKUP(sales_Data[[#This Row],[product_id]],sales_Data[product_id],sales_Data[unit_price])</f>
        <v>35</v>
      </c>
    </row>
    <row r="870" spans="1:10" x14ac:dyDescent="0.3">
      <c r="A870" t="s">
        <v>886</v>
      </c>
      <c r="B870" s="1">
        <v>45831</v>
      </c>
      <c r="C870" t="s">
        <v>18</v>
      </c>
      <c r="D870" t="s">
        <v>19</v>
      </c>
      <c r="E870">
        <v>120</v>
      </c>
      <c r="F870">
        <v>40</v>
      </c>
      <c r="G870">
        <v>0</v>
      </c>
      <c r="H870">
        <v>4800</v>
      </c>
      <c r="I870">
        <f>AVERAGEIFS(sales_Data[units_sold], sales_Data[product_id],sales_Data[[#This Row],[product_id]])</f>
        <v>30.473972602739725</v>
      </c>
      <c r="J870">
        <f>_xlfn.XLOOKUP(sales_Data[[#This Row],[product_id]],sales_Data[product_id],sales_Data[unit_price])</f>
        <v>120</v>
      </c>
    </row>
    <row r="871" spans="1:10" x14ac:dyDescent="0.3">
      <c r="A871" t="s">
        <v>887</v>
      </c>
      <c r="B871" s="1">
        <v>45831</v>
      </c>
      <c r="C871" t="s">
        <v>21</v>
      </c>
      <c r="D871" t="s">
        <v>22</v>
      </c>
      <c r="E871">
        <v>25</v>
      </c>
      <c r="F871">
        <v>47</v>
      </c>
      <c r="G871">
        <v>0</v>
      </c>
      <c r="H871">
        <v>1175</v>
      </c>
      <c r="I871">
        <f>AVERAGEIFS(sales_Data[units_sold], sales_Data[product_id],sales_Data[[#This Row],[product_id]])</f>
        <v>29.463013698630139</v>
      </c>
      <c r="J871">
        <f>_xlfn.XLOOKUP(sales_Data[[#This Row],[product_id]],sales_Data[product_id],sales_Data[unit_price])</f>
        <v>25</v>
      </c>
    </row>
    <row r="872" spans="1:10" x14ac:dyDescent="0.3">
      <c r="A872" t="s">
        <v>888</v>
      </c>
      <c r="B872" s="1">
        <v>45832</v>
      </c>
      <c r="C872" t="s">
        <v>9</v>
      </c>
      <c r="D872" t="s">
        <v>10</v>
      </c>
      <c r="E872">
        <v>45</v>
      </c>
      <c r="F872">
        <v>23</v>
      </c>
      <c r="G872">
        <v>0</v>
      </c>
      <c r="H872">
        <v>1035</v>
      </c>
      <c r="I872">
        <f>AVERAGEIFS(sales_Data[units_sold], sales_Data[product_id],sales_Data[[#This Row],[product_id]])</f>
        <v>31.479452054794521</v>
      </c>
      <c r="J872">
        <f>_xlfn.XLOOKUP(sales_Data[[#This Row],[product_id]],sales_Data[product_id],sales_Data[unit_price])</f>
        <v>45</v>
      </c>
    </row>
    <row r="873" spans="1:10" x14ac:dyDescent="0.3">
      <c r="A873" t="s">
        <v>889</v>
      </c>
      <c r="B873" s="1">
        <v>45832</v>
      </c>
      <c r="C873" t="s">
        <v>12</v>
      </c>
      <c r="D873" t="s">
        <v>13</v>
      </c>
      <c r="E873">
        <v>12.5</v>
      </c>
      <c r="F873">
        <v>26</v>
      </c>
      <c r="G873">
        <v>0</v>
      </c>
      <c r="H873">
        <v>325</v>
      </c>
      <c r="I873">
        <f>AVERAGEIFS(sales_Data[units_sold], sales_Data[product_id],sales_Data[[#This Row],[product_id]])</f>
        <v>31.794520547945204</v>
      </c>
      <c r="J873">
        <f>_xlfn.XLOOKUP(sales_Data[[#This Row],[product_id]],sales_Data[product_id],sales_Data[unit_price])</f>
        <v>12.5</v>
      </c>
    </row>
    <row r="874" spans="1:10" x14ac:dyDescent="0.3">
      <c r="A874" t="s">
        <v>890</v>
      </c>
      <c r="B874" s="1">
        <v>45832</v>
      </c>
      <c r="C874" t="s">
        <v>15</v>
      </c>
      <c r="D874" t="s">
        <v>16</v>
      </c>
      <c r="E874">
        <v>35</v>
      </c>
      <c r="F874">
        <v>21</v>
      </c>
      <c r="G874">
        <v>0</v>
      </c>
      <c r="H874">
        <v>735</v>
      </c>
      <c r="I874">
        <f>AVERAGEIFS(sales_Data[units_sold], sales_Data[product_id],sales_Data[[#This Row],[product_id]])</f>
        <v>30.438356164383563</v>
      </c>
      <c r="J874">
        <f>_xlfn.XLOOKUP(sales_Data[[#This Row],[product_id]],sales_Data[product_id],sales_Data[unit_price])</f>
        <v>35</v>
      </c>
    </row>
    <row r="875" spans="1:10" x14ac:dyDescent="0.3">
      <c r="A875" t="s">
        <v>891</v>
      </c>
      <c r="B875" s="1">
        <v>45832</v>
      </c>
      <c r="C875" t="s">
        <v>18</v>
      </c>
      <c r="D875" t="s">
        <v>19</v>
      </c>
      <c r="E875">
        <v>120</v>
      </c>
      <c r="F875">
        <v>40</v>
      </c>
      <c r="G875">
        <v>0</v>
      </c>
      <c r="H875">
        <v>4800</v>
      </c>
      <c r="I875">
        <f>AVERAGEIFS(sales_Data[units_sold], sales_Data[product_id],sales_Data[[#This Row],[product_id]])</f>
        <v>30.473972602739725</v>
      </c>
      <c r="J875">
        <f>_xlfn.XLOOKUP(sales_Data[[#This Row],[product_id]],sales_Data[product_id],sales_Data[unit_price])</f>
        <v>120</v>
      </c>
    </row>
    <row r="876" spans="1:10" x14ac:dyDescent="0.3">
      <c r="A876" t="s">
        <v>892</v>
      </c>
      <c r="B876" s="1">
        <v>45832</v>
      </c>
      <c r="C876" t="s">
        <v>21</v>
      </c>
      <c r="D876" t="s">
        <v>22</v>
      </c>
      <c r="E876">
        <v>25</v>
      </c>
      <c r="F876">
        <v>15</v>
      </c>
      <c r="G876">
        <v>0</v>
      </c>
      <c r="H876">
        <v>375</v>
      </c>
      <c r="I876">
        <f>AVERAGEIFS(sales_Data[units_sold], sales_Data[product_id],sales_Data[[#This Row],[product_id]])</f>
        <v>29.463013698630139</v>
      </c>
      <c r="J876">
        <f>_xlfn.XLOOKUP(sales_Data[[#This Row],[product_id]],sales_Data[product_id],sales_Data[unit_price])</f>
        <v>25</v>
      </c>
    </row>
    <row r="877" spans="1:10" x14ac:dyDescent="0.3">
      <c r="A877" t="s">
        <v>893</v>
      </c>
      <c r="B877" s="1">
        <v>45833</v>
      </c>
      <c r="C877" t="s">
        <v>9</v>
      </c>
      <c r="D877" t="s">
        <v>10</v>
      </c>
      <c r="E877">
        <v>45</v>
      </c>
      <c r="F877">
        <v>48</v>
      </c>
      <c r="G877">
        <v>0</v>
      </c>
      <c r="H877">
        <v>2160</v>
      </c>
      <c r="I877">
        <f>AVERAGEIFS(sales_Data[units_sold], sales_Data[product_id],sales_Data[[#This Row],[product_id]])</f>
        <v>31.479452054794521</v>
      </c>
      <c r="J877">
        <f>_xlfn.XLOOKUP(sales_Data[[#This Row],[product_id]],sales_Data[product_id],sales_Data[unit_price])</f>
        <v>45</v>
      </c>
    </row>
    <row r="878" spans="1:10" x14ac:dyDescent="0.3">
      <c r="A878" t="s">
        <v>894</v>
      </c>
      <c r="B878" s="1">
        <v>45833</v>
      </c>
      <c r="C878" t="s">
        <v>12</v>
      </c>
      <c r="D878" t="s">
        <v>13</v>
      </c>
      <c r="E878">
        <v>12.5</v>
      </c>
      <c r="F878">
        <v>11</v>
      </c>
      <c r="G878">
        <v>0</v>
      </c>
      <c r="H878">
        <v>137.5</v>
      </c>
      <c r="I878">
        <f>AVERAGEIFS(sales_Data[units_sold], sales_Data[product_id],sales_Data[[#This Row],[product_id]])</f>
        <v>31.794520547945204</v>
      </c>
      <c r="J878">
        <f>_xlfn.XLOOKUP(sales_Data[[#This Row],[product_id]],sales_Data[product_id],sales_Data[unit_price])</f>
        <v>12.5</v>
      </c>
    </row>
    <row r="879" spans="1:10" x14ac:dyDescent="0.3">
      <c r="A879" t="s">
        <v>895</v>
      </c>
      <c r="B879" s="1">
        <v>45833</v>
      </c>
      <c r="C879" t="s">
        <v>15</v>
      </c>
      <c r="D879" t="s">
        <v>16</v>
      </c>
      <c r="E879">
        <v>35</v>
      </c>
      <c r="F879">
        <v>20</v>
      </c>
      <c r="G879">
        <v>0.2</v>
      </c>
      <c r="H879">
        <v>560</v>
      </c>
      <c r="I879">
        <f>AVERAGEIFS(sales_Data[units_sold], sales_Data[product_id],sales_Data[[#This Row],[product_id]])</f>
        <v>30.438356164383563</v>
      </c>
      <c r="J879">
        <f>_xlfn.XLOOKUP(sales_Data[[#This Row],[product_id]],sales_Data[product_id],sales_Data[unit_price])</f>
        <v>35</v>
      </c>
    </row>
    <row r="880" spans="1:10" x14ac:dyDescent="0.3">
      <c r="A880" t="s">
        <v>896</v>
      </c>
      <c r="B880" s="1">
        <v>45833</v>
      </c>
      <c r="C880" t="s">
        <v>18</v>
      </c>
      <c r="D880" t="s">
        <v>19</v>
      </c>
      <c r="E880">
        <v>120</v>
      </c>
      <c r="F880">
        <v>47</v>
      </c>
      <c r="G880">
        <v>0</v>
      </c>
      <c r="H880">
        <v>5640</v>
      </c>
      <c r="I880">
        <f>AVERAGEIFS(sales_Data[units_sold], sales_Data[product_id],sales_Data[[#This Row],[product_id]])</f>
        <v>30.473972602739725</v>
      </c>
      <c r="J880">
        <f>_xlfn.XLOOKUP(sales_Data[[#This Row],[product_id]],sales_Data[product_id],sales_Data[unit_price])</f>
        <v>120</v>
      </c>
    </row>
    <row r="881" spans="1:10" x14ac:dyDescent="0.3">
      <c r="A881" t="s">
        <v>897</v>
      </c>
      <c r="B881" s="1">
        <v>45833</v>
      </c>
      <c r="C881" t="s">
        <v>21</v>
      </c>
      <c r="D881" t="s">
        <v>22</v>
      </c>
      <c r="E881">
        <v>25</v>
      </c>
      <c r="F881">
        <v>27</v>
      </c>
      <c r="G881">
        <v>0.1</v>
      </c>
      <c r="H881">
        <v>607.5</v>
      </c>
      <c r="I881">
        <f>AVERAGEIFS(sales_Data[units_sold], sales_Data[product_id],sales_Data[[#This Row],[product_id]])</f>
        <v>29.463013698630139</v>
      </c>
      <c r="J881">
        <f>_xlfn.XLOOKUP(sales_Data[[#This Row],[product_id]],sales_Data[product_id],sales_Data[unit_price])</f>
        <v>25</v>
      </c>
    </row>
    <row r="882" spans="1:10" x14ac:dyDescent="0.3">
      <c r="A882" t="s">
        <v>898</v>
      </c>
      <c r="B882" s="1">
        <v>45834</v>
      </c>
      <c r="C882" t="s">
        <v>9</v>
      </c>
      <c r="D882" t="s">
        <v>10</v>
      </c>
      <c r="E882">
        <v>45</v>
      </c>
      <c r="F882">
        <v>40</v>
      </c>
      <c r="G882">
        <v>0.1</v>
      </c>
      <c r="H882">
        <v>1620</v>
      </c>
      <c r="I882">
        <f>AVERAGEIFS(sales_Data[units_sold], sales_Data[product_id],sales_Data[[#This Row],[product_id]])</f>
        <v>31.479452054794521</v>
      </c>
      <c r="J882">
        <f>_xlfn.XLOOKUP(sales_Data[[#This Row],[product_id]],sales_Data[product_id],sales_Data[unit_price])</f>
        <v>45</v>
      </c>
    </row>
    <row r="883" spans="1:10" x14ac:dyDescent="0.3">
      <c r="A883" t="s">
        <v>899</v>
      </c>
      <c r="B883" s="1">
        <v>45834</v>
      </c>
      <c r="C883" t="s">
        <v>12</v>
      </c>
      <c r="D883" t="s">
        <v>13</v>
      </c>
      <c r="E883">
        <v>12.5</v>
      </c>
      <c r="F883">
        <v>8</v>
      </c>
      <c r="G883">
        <v>0</v>
      </c>
      <c r="H883">
        <v>100</v>
      </c>
      <c r="I883">
        <f>AVERAGEIFS(sales_Data[units_sold], sales_Data[product_id],sales_Data[[#This Row],[product_id]])</f>
        <v>31.794520547945204</v>
      </c>
      <c r="J883">
        <f>_xlfn.XLOOKUP(sales_Data[[#This Row],[product_id]],sales_Data[product_id],sales_Data[unit_price])</f>
        <v>12.5</v>
      </c>
    </row>
    <row r="884" spans="1:10" x14ac:dyDescent="0.3">
      <c r="A884" t="s">
        <v>900</v>
      </c>
      <c r="B884" s="1">
        <v>45834</v>
      </c>
      <c r="C884" t="s">
        <v>15</v>
      </c>
      <c r="D884" t="s">
        <v>16</v>
      </c>
      <c r="E884">
        <v>35</v>
      </c>
      <c r="F884">
        <v>31</v>
      </c>
      <c r="G884">
        <v>0.1</v>
      </c>
      <c r="H884">
        <v>976.5</v>
      </c>
      <c r="I884">
        <f>AVERAGEIFS(sales_Data[units_sold], sales_Data[product_id],sales_Data[[#This Row],[product_id]])</f>
        <v>30.438356164383563</v>
      </c>
      <c r="J884">
        <f>_xlfn.XLOOKUP(sales_Data[[#This Row],[product_id]],sales_Data[product_id],sales_Data[unit_price])</f>
        <v>35</v>
      </c>
    </row>
    <row r="885" spans="1:10" x14ac:dyDescent="0.3">
      <c r="A885" t="s">
        <v>901</v>
      </c>
      <c r="B885" s="1">
        <v>45834</v>
      </c>
      <c r="C885" t="s">
        <v>18</v>
      </c>
      <c r="D885" t="s">
        <v>19</v>
      </c>
      <c r="E885">
        <v>120</v>
      </c>
      <c r="F885">
        <v>28</v>
      </c>
      <c r="G885">
        <v>0</v>
      </c>
      <c r="H885">
        <v>3360</v>
      </c>
      <c r="I885">
        <f>AVERAGEIFS(sales_Data[units_sold], sales_Data[product_id],sales_Data[[#This Row],[product_id]])</f>
        <v>30.473972602739725</v>
      </c>
      <c r="J885">
        <f>_xlfn.XLOOKUP(sales_Data[[#This Row],[product_id]],sales_Data[product_id],sales_Data[unit_price])</f>
        <v>120</v>
      </c>
    </row>
    <row r="886" spans="1:10" x14ac:dyDescent="0.3">
      <c r="A886" t="s">
        <v>902</v>
      </c>
      <c r="B886" s="1">
        <v>45834</v>
      </c>
      <c r="C886" t="s">
        <v>21</v>
      </c>
      <c r="D886" t="s">
        <v>22</v>
      </c>
      <c r="E886">
        <v>25</v>
      </c>
      <c r="F886">
        <v>16</v>
      </c>
      <c r="G886">
        <v>0.1</v>
      </c>
      <c r="H886">
        <v>360</v>
      </c>
      <c r="I886">
        <f>AVERAGEIFS(sales_Data[units_sold], sales_Data[product_id],sales_Data[[#This Row],[product_id]])</f>
        <v>29.463013698630139</v>
      </c>
      <c r="J886">
        <f>_xlfn.XLOOKUP(sales_Data[[#This Row],[product_id]],sales_Data[product_id],sales_Data[unit_price])</f>
        <v>25</v>
      </c>
    </row>
    <row r="887" spans="1:10" x14ac:dyDescent="0.3">
      <c r="A887" t="s">
        <v>903</v>
      </c>
      <c r="B887" s="1">
        <v>45835</v>
      </c>
      <c r="C887" t="s">
        <v>9</v>
      </c>
      <c r="D887" t="s">
        <v>10</v>
      </c>
      <c r="E887">
        <v>45</v>
      </c>
      <c r="F887">
        <v>34</v>
      </c>
      <c r="G887">
        <v>0</v>
      </c>
      <c r="H887">
        <v>1530</v>
      </c>
      <c r="I887">
        <f>AVERAGEIFS(sales_Data[units_sold], sales_Data[product_id],sales_Data[[#This Row],[product_id]])</f>
        <v>31.479452054794521</v>
      </c>
      <c r="J887">
        <f>_xlfn.XLOOKUP(sales_Data[[#This Row],[product_id]],sales_Data[product_id],sales_Data[unit_price])</f>
        <v>45</v>
      </c>
    </row>
    <row r="888" spans="1:10" x14ac:dyDescent="0.3">
      <c r="A888" t="s">
        <v>904</v>
      </c>
      <c r="B888" s="1">
        <v>45835</v>
      </c>
      <c r="C888" t="s">
        <v>12</v>
      </c>
      <c r="D888" t="s">
        <v>13</v>
      </c>
      <c r="E888">
        <v>12.5</v>
      </c>
      <c r="F888">
        <v>35</v>
      </c>
      <c r="G888">
        <v>0.1</v>
      </c>
      <c r="H888">
        <v>393.75</v>
      </c>
      <c r="I888">
        <f>AVERAGEIFS(sales_Data[units_sold], sales_Data[product_id],sales_Data[[#This Row],[product_id]])</f>
        <v>31.794520547945204</v>
      </c>
      <c r="J888">
        <f>_xlfn.XLOOKUP(sales_Data[[#This Row],[product_id]],sales_Data[product_id],sales_Data[unit_price])</f>
        <v>12.5</v>
      </c>
    </row>
    <row r="889" spans="1:10" x14ac:dyDescent="0.3">
      <c r="A889" t="s">
        <v>905</v>
      </c>
      <c r="B889" s="1">
        <v>45835</v>
      </c>
      <c r="C889" t="s">
        <v>15</v>
      </c>
      <c r="D889" t="s">
        <v>16</v>
      </c>
      <c r="E889">
        <v>35</v>
      </c>
      <c r="F889">
        <v>23</v>
      </c>
      <c r="G889">
        <v>0.1</v>
      </c>
      <c r="H889">
        <v>724.5</v>
      </c>
      <c r="I889">
        <f>AVERAGEIFS(sales_Data[units_sold], sales_Data[product_id],sales_Data[[#This Row],[product_id]])</f>
        <v>30.438356164383563</v>
      </c>
      <c r="J889">
        <f>_xlfn.XLOOKUP(sales_Data[[#This Row],[product_id]],sales_Data[product_id],sales_Data[unit_price])</f>
        <v>35</v>
      </c>
    </row>
    <row r="890" spans="1:10" x14ac:dyDescent="0.3">
      <c r="A890" t="s">
        <v>906</v>
      </c>
      <c r="B890" s="1">
        <v>45835</v>
      </c>
      <c r="C890" t="s">
        <v>18</v>
      </c>
      <c r="D890" t="s">
        <v>19</v>
      </c>
      <c r="E890">
        <v>120</v>
      </c>
      <c r="F890">
        <v>16</v>
      </c>
      <c r="G890">
        <v>0.1</v>
      </c>
      <c r="H890">
        <v>1728</v>
      </c>
      <c r="I890">
        <f>AVERAGEIFS(sales_Data[units_sold], sales_Data[product_id],sales_Data[[#This Row],[product_id]])</f>
        <v>30.473972602739725</v>
      </c>
      <c r="J890">
        <f>_xlfn.XLOOKUP(sales_Data[[#This Row],[product_id]],sales_Data[product_id],sales_Data[unit_price])</f>
        <v>120</v>
      </c>
    </row>
    <row r="891" spans="1:10" x14ac:dyDescent="0.3">
      <c r="A891" t="s">
        <v>907</v>
      </c>
      <c r="B891" s="1">
        <v>45835</v>
      </c>
      <c r="C891" t="s">
        <v>21</v>
      </c>
      <c r="D891" t="s">
        <v>22</v>
      </c>
      <c r="E891">
        <v>25</v>
      </c>
      <c r="F891">
        <v>12</v>
      </c>
      <c r="G891">
        <v>0</v>
      </c>
      <c r="H891">
        <v>300</v>
      </c>
      <c r="I891">
        <f>AVERAGEIFS(sales_Data[units_sold], sales_Data[product_id],sales_Data[[#This Row],[product_id]])</f>
        <v>29.463013698630139</v>
      </c>
      <c r="J891">
        <f>_xlfn.XLOOKUP(sales_Data[[#This Row],[product_id]],sales_Data[product_id],sales_Data[unit_price])</f>
        <v>25</v>
      </c>
    </row>
    <row r="892" spans="1:10" x14ac:dyDescent="0.3">
      <c r="A892" t="s">
        <v>908</v>
      </c>
      <c r="B892" s="1">
        <v>45836</v>
      </c>
      <c r="C892" t="s">
        <v>9</v>
      </c>
      <c r="D892" t="s">
        <v>10</v>
      </c>
      <c r="E892">
        <v>45</v>
      </c>
      <c r="F892">
        <v>37</v>
      </c>
      <c r="G892">
        <v>0</v>
      </c>
      <c r="H892">
        <v>1665</v>
      </c>
      <c r="I892">
        <f>AVERAGEIFS(sales_Data[units_sold], sales_Data[product_id],sales_Data[[#This Row],[product_id]])</f>
        <v>31.479452054794521</v>
      </c>
      <c r="J892">
        <f>_xlfn.XLOOKUP(sales_Data[[#This Row],[product_id]],sales_Data[product_id],sales_Data[unit_price])</f>
        <v>45</v>
      </c>
    </row>
    <row r="893" spans="1:10" x14ac:dyDescent="0.3">
      <c r="A893" t="s">
        <v>909</v>
      </c>
      <c r="B893" s="1">
        <v>45836</v>
      </c>
      <c r="C893" t="s">
        <v>12</v>
      </c>
      <c r="D893" t="s">
        <v>13</v>
      </c>
      <c r="E893">
        <v>12.5</v>
      </c>
      <c r="F893">
        <v>18</v>
      </c>
      <c r="G893">
        <v>0</v>
      </c>
      <c r="H893">
        <v>225</v>
      </c>
      <c r="I893">
        <f>AVERAGEIFS(sales_Data[units_sold], sales_Data[product_id],sales_Data[[#This Row],[product_id]])</f>
        <v>31.794520547945204</v>
      </c>
      <c r="J893">
        <f>_xlfn.XLOOKUP(sales_Data[[#This Row],[product_id]],sales_Data[product_id],sales_Data[unit_price])</f>
        <v>12.5</v>
      </c>
    </row>
    <row r="894" spans="1:10" x14ac:dyDescent="0.3">
      <c r="A894" t="s">
        <v>910</v>
      </c>
      <c r="B894" s="1">
        <v>45836</v>
      </c>
      <c r="C894" t="s">
        <v>15</v>
      </c>
      <c r="D894" t="s">
        <v>16</v>
      </c>
      <c r="E894">
        <v>35</v>
      </c>
      <c r="F894">
        <v>40</v>
      </c>
      <c r="G894">
        <v>0.2</v>
      </c>
      <c r="H894">
        <v>1120</v>
      </c>
      <c r="I894">
        <f>AVERAGEIFS(sales_Data[units_sold], sales_Data[product_id],sales_Data[[#This Row],[product_id]])</f>
        <v>30.438356164383563</v>
      </c>
      <c r="J894">
        <f>_xlfn.XLOOKUP(sales_Data[[#This Row],[product_id]],sales_Data[product_id],sales_Data[unit_price])</f>
        <v>35</v>
      </c>
    </row>
    <row r="895" spans="1:10" x14ac:dyDescent="0.3">
      <c r="A895" t="s">
        <v>911</v>
      </c>
      <c r="B895" s="1">
        <v>45836</v>
      </c>
      <c r="C895" t="s">
        <v>18</v>
      </c>
      <c r="D895" t="s">
        <v>19</v>
      </c>
      <c r="E895">
        <v>120</v>
      </c>
      <c r="F895">
        <v>37</v>
      </c>
      <c r="G895">
        <v>0</v>
      </c>
      <c r="H895">
        <v>4440</v>
      </c>
      <c r="I895">
        <f>AVERAGEIFS(sales_Data[units_sold], sales_Data[product_id],sales_Data[[#This Row],[product_id]])</f>
        <v>30.473972602739725</v>
      </c>
      <c r="J895">
        <f>_xlfn.XLOOKUP(sales_Data[[#This Row],[product_id]],sales_Data[product_id],sales_Data[unit_price])</f>
        <v>120</v>
      </c>
    </row>
    <row r="896" spans="1:10" x14ac:dyDescent="0.3">
      <c r="A896" t="s">
        <v>912</v>
      </c>
      <c r="B896" s="1">
        <v>45836</v>
      </c>
      <c r="C896" t="s">
        <v>21</v>
      </c>
      <c r="D896" t="s">
        <v>22</v>
      </c>
      <c r="E896">
        <v>25</v>
      </c>
      <c r="F896">
        <v>60</v>
      </c>
      <c r="G896">
        <v>0</v>
      </c>
      <c r="H896">
        <v>1500</v>
      </c>
      <c r="I896">
        <f>AVERAGEIFS(sales_Data[units_sold], sales_Data[product_id],sales_Data[[#This Row],[product_id]])</f>
        <v>29.463013698630139</v>
      </c>
      <c r="J896">
        <f>_xlfn.XLOOKUP(sales_Data[[#This Row],[product_id]],sales_Data[product_id],sales_Data[unit_price])</f>
        <v>25</v>
      </c>
    </row>
    <row r="897" spans="1:10" x14ac:dyDescent="0.3">
      <c r="A897" t="s">
        <v>913</v>
      </c>
      <c r="B897" s="1">
        <v>45837</v>
      </c>
      <c r="C897" t="s">
        <v>9</v>
      </c>
      <c r="D897" t="s">
        <v>10</v>
      </c>
      <c r="E897">
        <v>45</v>
      </c>
      <c r="F897">
        <v>70</v>
      </c>
      <c r="G897">
        <v>0.2</v>
      </c>
      <c r="H897">
        <v>2520</v>
      </c>
      <c r="I897">
        <f>AVERAGEIFS(sales_Data[units_sold], sales_Data[product_id],sales_Data[[#This Row],[product_id]])</f>
        <v>31.479452054794521</v>
      </c>
      <c r="J897">
        <f>_xlfn.XLOOKUP(sales_Data[[#This Row],[product_id]],sales_Data[product_id],sales_Data[unit_price])</f>
        <v>45</v>
      </c>
    </row>
    <row r="898" spans="1:10" x14ac:dyDescent="0.3">
      <c r="A898" t="s">
        <v>914</v>
      </c>
      <c r="B898" s="1">
        <v>45837</v>
      </c>
      <c r="C898" t="s">
        <v>12</v>
      </c>
      <c r="D898" t="s">
        <v>13</v>
      </c>
      <c r="E898">
        <v>12.5</v>
      </c>
      <c r="F898">
        <v>54</v>
      </c>
      <c r="G898">
        <v>0.1</v>
      </c>
      <c r="H898">
        <v>607.5</v>
      </c>
      <c r="I898">
        <f>AVERAGEIFS(sales_Data[units_sold], sales_Data[product_id],sales_Data[[#This Row],[product_id]])</f>
        <v>31.794520547945204</v>
      </c>
      <c r="J898">
        <f>_xlfn.XLOOKUP(sales_Data[[#This Row],[product_id]],sales_Data[product_id],sales_Data[unit_price])</f>
        <v>12.5</v>
      </c>
    </row>
    <row r="899" spans="1:10" x14ac:dyDescent="0.3">
      <c r="A899" t="s">
        <v>915</v>
      </c>
      <c r="B899" s="1">
        <v>45837</v>
      </c>
      <c r="C899" t="s">
        <v>15</v>
      </c>
      <c r="D899" t="s">
        <v>16</v>
      </c>
      <c r="E899">
        <v>35</v>
      </c>
      <c r="F899">
        <v>69</v>
      </c>
      <c r="G899">
        <v>0.1</v>
      </c>
      <c r="H899">
        <v>2173.5</v>
      </c>
      <c r="I899">
        <f>AVERAGEIFS(sales_Data[units_sold], sales_Data[product_id],sales_Data[[#This Row],[product_id]])</f>
        <v>30.438356164383563</v>
      </c>
      <c r="J899">
        <f>_xlfn.XLOOKUP(sales_Data[[#This Row],[product_id]],sales_Data[product_id],sales_Data[unit_price])</f>
        <v>35</v>
      </c>
    </row>
    <row r="900" spans="1:10" x14ac:dyDescent="0.3">
      <c r="A900" t="s">
        <v>916</v>
      </c>
      <c r="B900" s="1">
        <v>45837</v>
      </c>
      <c r="C900" t="s">
        <v>18</v>
      </c>
      <c r="D900" t="s">
        <v>19</v>
      </c>
      <c r="E900">
        <v>120</v>
      </c>
      <c r="F900">
        <v>33</v>
      </c>
      <c r="G900">
        <v>0</v>
      </c>
      <c r="H900">
        <v>3960</v>
      </c>
      <c r="I900">
        <f>AVERAGEIFS(sales_Data[units_sold], sales_Data[product_id],sales_Data[[#This Row],[product_id]])</f>
        <v>30.473972602739725</v>
      </c>
      <c r="J900">
        <f>_xlfn.XLOOKUP(sales_Data[[#This Row],[product_id]],sales_Data[product_id],sales_Data[unit_price])</f>
        <v>120</v>
      </c>
    </row>
    <row r="901" spans="1:10" x14ac:dyDescent="0.3">
      <c r="A901" t="s">
        <v>917</v>
      </c>
      <c r="B901" s="1">
        <v>45837</v>
      </c>
      <c r="C901" t="s">
        <v>21</v>
      </c>
      <c r="D901" t="s">
        <v>22</v>
      </c>
      <c r="E901">
        <v>25</v>
      </c>
      <c r="F901">
        <v>73</v>
      </c>
      <c r="G901">
        <v>0</v>
      </c>
      <c r="H901">
        <v>1825</v>
      </c>
      <c r="I901">
        <f>AVERAGEIFS(sales_Data[units_sold], sales_Data[product_id],sales_Data[[#This Row],[product_id]])</f>
        <v>29.463013698630139</v>
      </c>
      <c r="J901">
        <f>_xlfn.XLOOKUP(sales_Data[[#This Row],[product_id]],sales_Data[product_id],sales_Data[unit_price])</f>
        <v>25</v>
      </c>
    </row>
    <row r="902" spans="1:10" x14ac:dyDescent="0.3">
      <c r="A902" t="s">
        <v>918</v>
      </c>
      <c r="B902" s="1">
        <v>45838</v>
      </c>
      <c r="C902" t="s">
        <v>9</v>
      </c>
      <c r="D902" t="s">
        <v>10</v>
      </c>
      <c r="E902">
        <v>45</v>
      </c>
      <c r="F902">
        <v>8</v>
      </c>
      <c r="G902">
        <v>0</v>
      </c>
      <c r="H902">
        <v>360</v>
      </c>
      <c r="I902">
        <f>AVERAGEIFS(sales_Data[units_sold], sales_Data[product_id],sales_Data[[#This Row],[product_id]])</f>
        <v>31.479452054794521</v>
      </c>
      <c r="J902">
        <f>_xlfn.XLOOKUP(sales_Data[[#This Row],[product_id]],sales_Data[product_id],sales_Data[unit_price])</f>
        <v>45</v>
      </c>
    </row>
    <row r="903" spans="1:10" x14ac:dyDescent="0.3">
      <c r="A903" t="s">
        <v>919</v>
      </c>
      <c r="B903" s="1">
        <v>45838</v>
      </c>
      <c r="C903" t="s">
        <v>12</v>
      </c>
      <c r="D903" t="s">
        <v>13</v>
      </c>
      <c r="E903">
        <v>12.5</v>
      </c>
      <c r="F903">
        <v>42</v>
      </c>
      <c r="G903">
        <v>0.1</v>
      </c>
      <c r="H903">
        <v>472.5</v>
      </c>
      <c r="I903">
        <f>AVERAGEIFS(sales_Data[units_sold], sales_Data[product_id],sales_Data[[#This Row],[product_id]])</f>
        <v>31.794520547945204</v>
      </c>
      <c r="J903">
        <f>_xlfn.XLOOKUP(sales_Data[[#This Row],[product_id]],sales_Data[product_id],sales_Data[unit_price])</f>
        <v>12.5</v>
      </c>
    </row>
    <row r="904" spans="1:10" x14ac:dyDescent="0.3">
      <c r="A904" t="s">
        <v>920</v>
      </c>
      <c r="B904" s="1">
        <v>45838</v>
      </c>
      <c r="C904" t="s">
        <v>15</v>
      </c>
      <c r="D904" t="s">
        <v>16</v>
      </c>
      <c r="E904">
        <v>35</v>
      </c>
      <c r="F904">
        <v>47</v>
      </c>
      <c r="G904">
        <v>0.1</v>
      </c>
      <c r="H904">
        <v>1480.5</v>
      </c>
      <c r="I904">
        <f>AVERAGEIFS(sales_Data[units_sold], sales_Data[product_id],sales_Data[[#This Row],[product_id]])</f>
        <v>30.438356164383563</v>
      </c>
      <c r="J904">
        <f>_xlfn.XLOOKUP(sales_Data[[#This Row],[product_id]],sales_Data[product_id],sales_Data[unit_price])</f>
        <v>35</v>
      </c>
    </row>
    <row r="905" spans="1:10" x14ac:dyDescent="0.3">
      <c r="A905" t="s">
        <v>921</v>
      </c>
      <c r="B905" s="1">
        <v>45838</v>
      </c>
      <c r="C905" t="s">
        <v>18</v>
      </c>
      <c r="D905" t="s">
        <v>19</v>
      </c>
      <c r="E905">
        <v>120</v>
      </c>
      <c r="F905">
        <v>40</v>
      </c>
      <c r="G905">
        <v>0</v>
      </c>
      <c r="H905">
        <v>4800</v>
      </c>
      <c r="I905">
        <f>AVERAGEIFS(sales_Data[units_sold], sales_Data[product_id],sales_Data[[#This Row],[product_id]])</f>
        <v>30.473972602739725</v>
      </c>
      <c r="J905">
        <f>_xlfn.XLOOKUP(sales_Data[[#This Row],[product_id]],sales_Data[product_id],sales_Data[unit_price])</f>
        <v>120</v>
      </c>
    </row>
    <row r="906" spans="1:10" x14ac:dyDescent="0.3">
      <c r="A906" t="s">
        <v>922</v>
      </c>
      <c r="B906" s="1">
        <v>45838</v>
      </c>
      <c r="C906" t="s">
        <v>21</v>
      </c>
      <c r="D906" t="s">
        <v>22</v>
      </c>
      <c r="E906">
        <v>25</v>
      </c>
      <c r="F906">
        <v>39</v>
      </c>
      <c r="G906">
        <v>0.1</v>
      </c>
      <c r="H906">
        <v>877.5</v>
      </c>
      <c r="I906">
        <f>AVERAGEIFS(sales_Data[units_sold], sales_Data[product_id],sales_Data[[#This Row],[product_id]])</f>
        <v>29.463013698630139</v>
      </c>
      <c r="J906">
        <f>_xlfn.XLOOKUP(sales_Data[[#This Row],[product_id]],sales_Data[product_id],sales_Data[unit_price])</f>
        <v>25</v>
      </c>
    </row>
    <row r="907" spans="1:10" x14ac:dyDescent="0.3">
      <c r="A907" t="s">
        <v>923</v>
      </c>
      <c r="B907" s="1">
        <v>45839</v>
      </c>
      <c r="C907" t="s">
        <v>9</v>
      </c>
      <c r="D907" t="s">
        <v>10</v>
      </c>
      <c r="E907">
        <v>45</v>
      </c>
      <c r="F907">
        <v>18</v>
      </c>
      <c r="G907">
        <v>0.1</v>
      </c>
      <c r="H907">
        <v>729</v>
      </c>
      <c r="I907">
        <f>AVERAGEIFS(sales_Data[units_sold], sales_Data[product_id],sales_Data[[#This Row],[product_id]])</f>
        <v>31.479452054794521</v>
      </c>
      <c r="J907">
        <f>_xlfn.XLOOKUP(sales_Data[[#This Row],[product_id]],sales_Data[product_id],sales_Data[unit_price])</f>
        <v>45</v>
      </c>
    </row>
    <row r="908" spans="1:10" x14ac:dyDescent="0.3">
      <c r="A908" t="s">
        <v>924</v>
      </c>
      <c r="B908" s="1">
        <v>45839</v>
      </c>
      <c r="C908" t="s">
        <v>12</v>
      </c>
      <c r="D908" t="s">
        <v>13</v>
      </c>
      <c r="E908">
        <v>12.5</v>
      </c>
      <c r="F908">
        <v>47</v>
      </c>
      <c r="G908">
        <v>0</v>
      </c>
      <c r="H908">
        <v>587.5</v>
      </c>
      <c r="I908">
        <f>AVERAGEIFS(sales_Data[units_sold], sales_Data[product_id],sales_Data[[#This Row],[product_id]])</f>
        <v>31.794520547945204</v>
      </c>
      <c r="J908">
        <f>_xlfn.XLOOKUP(sales_Data[[#This Row],[product_id]],sales_Data[product_id],sales_Data[unit_price])</f>
        <v>12.5</v>
      </c>
    </row>
    <row r="909" spans="1:10" x14ac:dyDescent="0.3">
      <c r="A909" t="s">
        <v>925</v>
      </c>
      <c r="B909" s="1">
        <v>45839</v>
      </c>
      <c r="C909" t="s">
        <v>15</v>
      </c>
      <c r="D909" t="s">
        <v>16</v>
      </c>
      <c r="E909">
        <v>35</v>
      </c>
      <c r="F909">
        <v>15</v>
      </c>
      <c r="G909">
        <v>0</v>
      </c>
      <c r="H909">
        <v>525</v>
      </c>
      <c r="I909">
        <f>AVERAGEIFS(sales_Data[units_sold], sales_Data[product_id],sales_Data[[#This Row],[product_id]])</f>
        <v>30.438356164383563</v>
      </c>
      <c r="J909">
        <f>_xlfn.XLOOKUP(sales_Data[[#This Row],[product_id]],sales_Data[product_id],sales_Data[unit_price])</f>
        <v>35</v>
      </c>
    </row>
    <row r="910" spans="1:10" x14ac:dyDescent="0.3">
      <c r="A910" t="s">
        <v>926</v>
      </c>
      <c r="B910" s="1">
        <v>45839</v>
      </c>
      <c r="C910" t="s">
        <v>18</v>
      </c>
      <c r="D910" t="s">
        <v>19</v>
      </c>
      <c r="E910">
        <v>120</v>
      </c>
      <c r="F910">
        <v>46</v>
      </c>
      <c r="G910">
        <v>0</v>
      </c>
      <c r="H910">
        <v>5520</v>
      </c>
      <c r="I910">
        <f>AVERAGEIFS(sales_Data[units_sold], sales_Data[product_id],sales_Data[[#This Row],[product_id]])</f>
        <v>30.473972602739725</v>
      </c>
      <c r="J910">
        <f>_xlfn.XLOOKUP(sales_Data[[#This Row],[product_id]],sales_Data[product_id],sales_Data[unit_price])</f>
        <v>120</v>
      </c>
    </row>
    <row r="911" spans="1:10" x14ac:dyDescent="0.3">
      <c r="A911" t="s">
        <v>927</v>
      </c>
      <c r="B911" s="1">
        <v>45839</v>
      </c>
      <c r="C911" t="s">
        <v>21</v>
      </c>
      <c r="D911" t="s">
        <v>22</v>
      </c>
      <c r="E911">
        <v>25</v>
      </c>
      <c r="F911">
        <v>32</v>
      </c>
      <c r="G911">
        <v>0</v>
      </c>
      <c r="H911">
        <v>800</v>
      </c>
      <c r="I911">
        <f>AVERAGEIFS(sales_Data[units_sold], sales_Data[product_id],sales_Data[[#This Row],[product_id]])</f>
        <v>29.463013698630139</v>
      </c>
      <c r="J911">
        <f>_xlfn.XLOOKUP(sales_Data[[#This Row],[product_id]],sales_Data[product_id],sales_Data[unit_price])</f>
        <v>25</v>
      </c>
    </row>
    <row r="912" spans="1:10" x14ac:dyDescent="0.3">
      <c r="A912" t="s">
        <v>928</v>
      </c>
      <c r="B912" s="1">
        <v>45840</v>
      </c>
      <c r="C912" t="s">
        <v>9</v>
      </c>
      <c r="D912" t="s">
        <v>10</v>
      </c>
      <c r="E912">
        <v>45</v>
      </c>
      <c r="F912">
        <v>19</v>
      </c>
      <c r="G912">
        <v>0.1</v>
      </c>
      <c r="H912">
        <v>769.5</v>
      </c>
      <c r="I912">
        <f>AVERAGEIFS(sales_Data[units_sold], sales_Data[product_id],sales_Data[[#This Row],[product_id]])</f>
        <v>31.479452054794521</v>
      </c>
      <c r="J912">
        <f>_xlfn.XLOOKUP(sales_Data[[#This Row],[product_id]],sales_Data[product_id],sales_Data[unit_price])</f>
        <v>45</v>
      </c>
    </row>
    <row r="913" spans="1:10" x14ac:dyDescent="0.3">
      <c r="A913" t="s">
        <v>929</v>
      </c>
      <c r="B913" s="1">
        <v>45840</v>
      </c>
      <c r="C913" t="s">
        <v>12</v>
      </c>
      <c r="D913" t="s">
        <v>13</v>
      </c>
      <c r="E913">
        <v>12.5</v>
      </c>
      <c r="F913">
        <v>47</v>
      </c>
      <c r="G913">
        <v>0</v>
      </c>
      <c r="H913">
        <v>587.5</v>
      </c>
      <c r="I913">
        <f>AVERAGEIFS(sales_Data[units_sold], sales_Data[product_id],sales_Data[[#This Row],[product_id]])</f>
        <v>31.794520547945204</v>
      </c>
      <c r="J913">
        <f>_xlfn.XLOOKUP(sales_Data[[#This Row],[product_id]],sales_Data[product_id],sales_Data[unit_price])</f>
        <v>12.5</v>
      </c>
    </row>
    <row r="914" spans="1:10" x14ac:dyDescent="0.3">
      <c r="A914" t="s">
        <v>930</v>
      </c>
      <c r="B914" s="1">
        <v>45840</v>
      </c>
      <c r="C914" t="s">
        <v>15</v>
      </c>
      <c r="D914" t="s">
        <v>16</v>
      </c>
      <c r="E914">
        <v>35</v>
      </c>
      <c r="F914">
        <v>24</v>
      </c>
      <c r="G914">
        <v>0.1</v>
      </c>
      <c r="H914">
        <v>756</v>
      </c>
      <c r="I914">
        <f>AVERAGEIFS(sales_Data[units_sold], sales_Data[product_id],sales_Data[[#This Row],[product_id]])</f>
        <v>30.438356164383563</v>
      </c>
      <c r="J914">
        <f>_xlfn.XLOOKUP(sales_Data[[#This Row],[product_id]],sales_Data[product_id],sales_Data[unit_price])</f>
        <v>35</v>
      </c>
    </row>
    <row r="915" spans="1:10" x14ac:dyDescent="0.3">
      <c r="A915" t="s">
        <v>931</v>
      </c>
      <c r="B915" s="1">
        <v>45840</v>
      </c>
      <c r="C915" t="s">
        <v>18</v>
      </c>
      <c r="D915" t="s">
        <v>19</v>
      </c>
      <c r="E915">
        <v>120</v>
      </c>
      <c r="F915">
        <v>17</v>
      </c>
      <c r="G915">
        <v>0.1</v>
      </c>
      <c r="H915">
        <v>1836</v>
      </c>
      <c r="I915">
        <f>AVERAGEIFS(sales_Data[units_sold], sales_Data[product_id],sales_Data[[#This Row],[product_id]])</f>
        <v>30.473972602739725</v>
      </c>
      <c r="J915">
        <f>_xlfn.XLOOKUP(sales_Data[[#This Row],[product_id]],sales_Data[product_id],sales_Data[unit_price])</f>
        <v>120</v>
      </c>
    </row>
    <row r="916" spans="1:10" x14ac:dyDescent="0.3">
      <c r="A916" t="s">
        <v>932</v>
      </c>
      <c r="B916" s="1">
        <v>45840</v>
      </c>
      <c r="C916" t="s">
        <v>21</v>
      </c>
      <c r="D916" t="s">
        <v>22</v>
      </c>
      <c r="E916">
        <v>25</v>
      </c>
      <c r="F916">
        <v>20</v>
      </c>
      <c r="G916">
        <v>0</v>
      </c>
      <c r="H916">
        <v>500</v>
      </c>
      <c r="I916">
        <f>AVERAGEIFS(sales_Data[units_sold], sales_Data[product_id],sales_Data[[#This Row],[product_id]])</f>
        <v>29.463013698630139</v>
      </c>
      <c r="J916">
        <f>_xlfn.XLOOKUP(sales_Data[[#This Row],[product_id]],sales_Data[product_id],sales_Data[unit_price])</f>
        <v>25</v>
      </c>
    </row>
    <row r="917" spans="1:10" x14ac:dyDescent="0.3">
      <c r="A917" t="s">
        <v>933</v>
      </c>
      <c r="B917" s="1">
        <v>45841</v>
      </c>
      <c r="C917" t="s">
        <v>9</v>
      </c>
      <c r="D917" t="s">
        <v>10</v>
      </c>
      <c r="E917">
        <v>45</v>
      </c>
      <c r="F917">
        <v>11</v>
      </c>
      <c r="G917">
        <v>0</v>
      </c>
      <c r="H917">
        <v>495</v>
      </c>
      <c r="I917">
        <f>AVERAGEIFS(sales_Data[units_sold], sales_Data[product_id],sales_Data[[#This Row],[product_id]])</f>
        <v>31.479452054794521</v>
      </c>
      <c r="J917">
        <f>_xlfn.XLOOKUP(sales_Data[[#This Row],[product_id]],sales_Data[product_id],sales_Data[unit_price])</f>
        <v>45</v>
      </c>
    </row>
    <row r="918" spans="1:10" x14ac:dyDescent="0.3">
      <c r="A918" t="s">
        <v>934</v>
      </c>
      <c r="B918" s="1">
        <v>45841</v>
      </c>
      <c r="C918" t="s">
        <v>12</v>
      </c>
      <c r="D918" t="s">
        <v>13</v>
      </c>
      <c r="E918">
        <v>12.5</v>
      </c>
      <c r="F918">
        <v>26</v>
      </c>
      <c r="G918">
        <v>0</v>
      </c>
      <c r="H918">
        <v>325</v>
      </c>
      <c r="I918">
        <f>AVERAGEIFS(sales_Data[units_sold], sales_Data[product_id],sales_Data[[#This Row],[product_id]])</f>
        <v>31.794520547945204</v>
      </c>
      <c r="J918">
        <f>_xlfn.XLOOKUP(sales_Data[[#This Row],[product_id]],sales_Data[product_id],sales_Data[unit_price])</f>
        <v>12.5</v>
      </c>
    </row>
    <row r="919" spans="1:10" x14ac:dyDescent="0.3">
      <c r="A919" t="s">
        <v>935</v>
      </c>
      <c r="B919" s="1">
        <v>45841</v>
      </c>
      <c r="C919" t="s">
        <v>15</v>
      </c>
      <c r="D919" t="s">
        <v>16</v>
      </c>
      <c r="E919">
        <v>35</v>
      </c>
      <c r="F919">
        <v>31</v>
      </c>
      <c r="G919">
        <v>0</v>
      </c>
      <c r="H919">
        <v>1085</v>
      </c>
      <c r="I919">
        <f>AVERAGEIFS(sales_Data[units_sold], sales_Data[product_id],sales_Data[[#This Row],[product_id]])</f>
        <v>30.438356164383563</v>
      </c>
      <c r="J919">
        <f>_xlfn.XLOOKUP(sales_Data[[#This Row],[product_id]],sales_Data[product_id],sales_Data[unit_price])</f>
        <v>35</v>
      </c>
    </row>
    <row r="920" spans="1:10" x14ac:dyDescent="0.3">
      <c r="A920" t="s">
        <v>936</v>
      </c>
      <c r="B920" s="1">
        <v>45841</v>
      </c>
      <c r="C920" t="s">
        <v>18</v>
      </c>
      <c r="D920" t="s">
        <v>19</v>
      </c>
      <c r="E920">
        <v>120</v>
      </c>
      <c r="F920">
        <v>36</v>
      </c>
      <c r="G920">
        <v>0.1</v>
      </c>
      <c r="H920">
        <v>3888</v>
      </c>
      <c r="I920">
        <f>AVERAGEIFS(sales_Data[units_sold], sales_Data[product_id],sales_Data[[#This Row],[product_id]])</f>
        <v>30.473972602739725</v>
      </c>
      <c r="J920">
        <f>_xlfn.XLOOKUP(sales_Data[[#This Row],[product_id]],sales_Data[product_id],sales_Data[unit_price])</f>
        <v>120</v>
      </c>
    </row>
    <row r="921" spans="1:10" x14ac:dyDescent="0.3">
      <c r="A921" t="s">
        <v>937</v>
      </c>
      <c r="B921" s="1">
        <v>45841</v>
      </c>
      <c r="C921" t="s">
        <v>21</v>
      </c>
      <c r="D921" t="s">
        <v>22</v>
      </c>
      <c r="E921">
        <v>25</v>
      </c>
      <c r="F921">
        <v>11</v>
      </c>
      <c r="G921">
        <v>0</v>
      </c>
      <c r="H921">
        <v>275</v>
      </c>
      <c r="I921">
        <f>AVERAGEIFS(sales_Data[units_sold], sales_Data[product_id],sales_Data[[#This Row],[product_id]])</f>
        <v>29.463013698630139</v>
      </c>
      <c r="J921">
        <f>_xlfn.XLOOKUP(sales_Data[[#This Row],[product_id]],sales_Data[product_id],sales_Data[unit_price])</f>
        <v>25</v>
      </c>
    </row>
    <row r="922" spans="1:10" x14ac:dyDescent="0.3">
      <c r="A922" t="s">
        <v>938</v>
      </c>
      <c r="B922" s="1">
        <v>45842</v>
      </c>
      <c r="C922" t="s">
        <v>9</v>
      </c>
      <c r="D922" t="s">
        <v>10</v>
      </c>
      <c r="E922">
        <v>45</v>
      </c>
      <c r="F922">
        <v>10</v>
      </c>
      <c r="G922">
        <v>0</v>
      </c>
      <c r="H922">
        <v>450</v>
      </c>
      <c r="I922">
        <f>AVERAGEIFS(sales_Data[units_sold], sales_Data[product_id],sales_Data[[#This Row],[product_id]])</f>
        <v>31.479452054794521</v>
      </c>
      <c r="J922">
        <f>_xlfn.XLOOKUP(sales_Data[[#This Row],[product_id]],sales_Data[product_id],sales_Data[unit_price])</f>
        <v>45</v>
      </c>
    </row>
    <row r="923" spans="1:10" x14ac:dyDescent="0.3">
      <c r="A923" t="s">
        <v>939</v>
      </c>
      <c r="B923" s="1">
        <v>45842</v>
      </c>
      <c r="C923" t="s">
        <v>12</v>
      </c>
      <c r="D923" t="s">
        <v>13</v>
      </c>
      <c r="E923">
        <v>12.5</v>
      </c>
      <c r="F923">
        <v>43</v>
      </c>
      <c r="G923">
        <v>0</v>
      </c>
      <c r="H923">
        <v>537.5</v>
      </c>
      <c r="I923">
        <f>AVERAGEIFS(sales_Data[units_sold], sales_Data[product_id],sales_Data[[#This Row],[product_id]])</f>
        <v>31.794520547945204</v>
      </c>
      <c r="J923">
        <f>_xlfn.XLOOKUP(sales_Data[[#This Row],[product_id]],sales_Data[product_id],sales_Data[unit_price])</f>
        <v>12.5</v>
      </c>
    </row>
    <row r="924" spans="1:10" x14ac:dyDescent="0.3">
      <c r="A924" t="s">
        <v>940</v>
      </c>
      <c r="B924" s="1">
        <v>45842</v>
      </c>
      <c r="C924" t="s">
        <v>15</v>
      </c>
      <c r="D924" t="s">
        <v>16</v>
      </c>
      <c r="E924">
        <v>35</v>
      </c>
      <c r="F924">
        <v>18</v>
      </c>
      <c r="G924">
        <v>0</v>
      </c>
      <c r="H924">
        <v>630</v>
      </c>
      <c r="I924">
        <f>AVERAGEIFS(sales_Data[units_sold], sales_Data[product_id],sales_Data[[#This Row],[product_id]])</f>
        <v>30.438356164383563</v>
      </c>
      <c r="J924">
        <f>_xlfn.XLOOKUP(sales_Data[[#This Row],[product_id]],sales_Data[product_id],sales_Data[unit_price])</f>
        <v>35</v>
      </c>
    </row>
    <row r="925" spans="1:10" x14ac:dyDescent="0.3">
      <c r="A925" t="s">
        <v>941</v>
      </c>
      <c r="B925" s="1">
        <v>45842</v>
      </c>
      <c r="C925" t="s">
        <v>18</v>
      </c>
      <c r="D925" t="s">
        <v>19</v>
      </c>
      <c r="E925">
        <v>120</v>
      </c>
      <c r="F925">
        <v>9</v>
      </c>
      <c r="G925">
        <v>0</v>
      </c>
      <c r="H925">
        <v>1080</v>
      </c>
      <c r="I925">
        <f>AVERAGEIFS(sales_Data[units_sold], sales_Data[product_id],sales_Data[[#This Row],[product_id]])</f>
        <v>30.473972602739725</v>
      </c>
      <c r="J925">
        <f>_xlfn.XLOOKUP(sales_Data[[#This Row],[product_id]],sales_Data[product_id],sales_Data[unit_price])</f>
        <v>120</v>
      </c>
    </row>
    <row r="926" spans="1:10" x14ac:dyDescent="0.3">
      <c r="A926" t="s">
        <v>942</v>
      </c>
      <c r="B926" s="1">
        <v>45842</v>
      </c>
      <c r="C926" t="s">
        <v>21</v>
      </c>
      <c r="D926" t="s">
        <v>22</v>
      </c>
      <c r="E926">
        <v>25</v>
      </c>
      <c r="F926">
        <v>35</v>
      </c>
      <c r="G926">
        <v>0</v>
      </c>
      <c r="H926">
        <v>875</v>
      </c>
      <c r="I926">
        <f>AVERAGEIFS(sales_Data[units_sold], sales_Data[product_id],sales_Data[[#This Row],[product_id]])</f>
        <v>29.463013698630139</v>
      </c>
      <c r="J926">
        <f>_xlfn.XLOOKUP(sales_Data[[#This Row],[product_id]],sales_Data[product_id],sales_Data[unit_price])</f>
        <v>25</v>
      </c>
    </row>
    <row r="927" spans="1:10" x14ac:dyDescent="0.3">
      <c r="A927" t="s">
        <v>943</v>
      </c>
      <c r="B927" s="1">
        <v>45843</v>
      </c>
      <c r="C927" t="s">
        <v>9</v>
      </c>
      <c r="D927" t="s">
        <v>10</v>
      </c>
      <c r="E927">
        <v>45</v>
      </c>
      <c r="F927">
        <v>15</v>
      </c>
      <c r="G927">
        <v>0</v>
      </c>
      <c r="H927">
        <v>675</v>
      </c>
      <c r="I927">
        <f>AVERAGEIFS(sales_Data[units_sold], sales_Data[product_id],sales_Data[[#This Row],[product_id]])</f>
        <v>31.479452054794521</v>
      </c>
      <c r="J927">
        <f>_xlfn.XLOOKUP(sales_Data[[#This Row],[product_id]],sales_Data[product_id],sales_Data[unit_price])</f>
        <v>45</v>
      </c>
    </row>
    <row r="928" spans="1:10" x14ac:dyDescent="0.3">
      <c r="A928" t="s">
        <v>944</v>
      </c>
      <c r="B928" s="1">
        <v>45843</v>
      </c>
      <c r="C928" t="s">
        <v>12</v>
      </c>
      <c r="D928" t="s">
        <v>13</v>
      </c>
      <c r="E928">
        <v>12.5</v>
      </c>
      <c r="F928">
        <v>15</v>
      </c>
      <c r="G928">
        <v>0</v>
      </c>
      <c r="H928">
        <v>187.5</v>
      </c>
      <c r="I928">
        <f>AVERAGEIFS(sales_Data[units_sold], sales_Data[product_id],sales_Data[[#This Row],[product_id]])</f>
        <v>31.794520547945204</v>
      </c>
      <c r="J928">
        <f>_xlfn.XLOOKUP(sales_Data[[#This Row],[product_id]],sales_Data[product_id],sales_Data[unit_price])</f>
        <v>12.5</v>
      </c>
    </row>
    <row r="929" spans="1:10" x14ac:dyDescent="0.3">
      <c r="A929" t="s">
        <v>945</v>
      </c>
      <c r="B929" s="1">
        <v>45843</v>
      </c>
      <c r="C929" t="s">
        <v>15</v>
      </c>
      <c r="D929" t="s">
        <v>16</v>
      </c>
      <c r="E929">
        <v>35</v>
      </c>
      <c r="F929">
        <v>31</v>
      </c>
      <c r="G929">
        <v>0.2</v>
      </c>
      <c r="H929">
        <v>868</v>
      </c>
      <c r="I929">
        <f>AVERAGEIFS(sales_Data[units_sold], sales_Data[product_id],sales_Data[[#This Row],[product_id]])</f>
        <v>30.438356164383563</v>
      </c>
      <c r="J929">
        <f>_xlfn.XLOOKUP(sales_Data[[#This Row],[product_id]],sales_Data[product_id],sales_Data[unit_price])</f>
        <v>35</v>
      </c>
    </row>
    <row r="930" spans="1:10" x14ac:dyDescent="0.3">
      <c r="A930" t="s">
        <v>946</v>
      </c>
      <c r="B930" s="1">
        <v>45843</v>
      </c>
      <c r="C930" t="s">
        <v>18</v>
      </c>
      <c r="D930" t="s">
        <v>19</v>
      </c>
      <c r="E930">
        <v>120</v>
      </c>
      <c r="F930">
        <v>69</v>
      </c>
      <c r="G930">
        <v>0</v>
      </c>
      <c r="H930">
        <v>8280</v>
      </c>
      <c r="I930">
        <f>AVERAGEIFS(sales_Data[units_sold], sales_Data[product_id],sales_Data[[#This Row],[product_id]])</f>
        <v>30.473972602739725</v>
      </c>
      <c r="J930">
        <f>_xlfn.XLOOKUP(sales_Data[[#This Row],[product_id]],sales_Data[product_id],sales_Data[unit_price])</f>
        <v>120</v>
      </c>
    </row>
    <row r="931" spans="1:10" x14ac:dyDescent="0.3">
      <c r="A931" t="s">
        <v>947</v>
      </c>
      <c r="B931" s="1">
        <v>45843</v>
      </c>
      <c r="C931" t="s">
        <v>21</v>
      </c>
      <c r="D931" t="s">
        <v>22</v>
      </c>
      <c r="E931">
        <v>25</v>
      </c>
      <c r="F931">
        <v>52</v>
      </c>
      <c r="G931">
        <v>0.1</v>
      </c>
      <c r="H931">
        <v>1170</v>
      </c>
      <c r="I931">
        <f>AVERAGEIFS(sales_Data[units_sold], sales_Data[product_id],sales_Data[[#This Row],[product_id]])</f>
        <v>29.463013698630139</v>
      </c>
      <c r="J931">
        <f>_xlfn.XLOOKUP(sales_Data[[#This Row],[product_id]],sales_Data[product_id],sales_Data[unit_price])</f>
        <v>25</v>
      </c>
    </row>
    <row r="932" spans="1:10" x14ac:dyDescent="0.3">
      <c r="A932" t="s">
        <v>948</v>
      </c>
      <c r="B932" s="1">
        <v>45844</v>
      </c>
      <c r="C932" t="s">
        <v>9</v>
      </c>
      <c r="D932" t="s">
        <v>10</v>
      </c>
      <c r="E932">
        <v>45</v>
      </c>
      <c r="F932">
        <v>16</v>
      </c>
      <c r="G932">
        <v>0.2</v>
      </c>
      <c r="H932">
        <v>576</v>
      </c>
      <c r="I932">
        <f>AVERAGEIFS(sales_Data[units_sold], sales_Data[product_id],sales_Data[[#This Row],[product_id]])</f>
        <v>31.479452054794521</v>
      </c>
      <c r="J932">
        <f>_xlfn.XLOOKUP(sales_Data[[#This Row],[product_id]],sales_Data[product_id],sales_Data[unit_price])</f>
        <v>45</v>
      </c>
    </row>
    <row r="933" spans="1:10" x14ac:dyDescent="0.3">
      <c r="A933" t="s">
        <v>949</v>
      </c>
      <c r="B933" s="1">
        <v>45844</v>
      </c>
      <c r="C933" t="s">
        <v>12</v>
      </c>
      <c r="D933" t="s">
        <v>13</v>
      </c>
      <c r="E933">
        <v>12.5</v>
      </c>
      <c r="F933">
        <v>61</v>
      </c>
      <c r="G933">
        <v>0</v>
      </c>
      <c r="H933">
        <v>762.5</v>
      </c>
      <c r="I933">
        <f>AVERAGEIFS(sales_Data[units_sold], sales_Data[product_id],sales_Data[[#This Row],[product_id]])</f>
        <v>31.794520547945204</v>
      </c>
      <c r="J933">
        <f>_xlfn.XLOOKUP(sales_Data[[#This Row],[product_id]],sales_Data[product_id],sales_Data[unit_price])</f>
        <v>12.5</v>
      </c>
    </row>
    <row r="934" spans="1:10" x14ac:dyDescent="0.3">
      <c r="A934" t="s">
        <v>950</v>
      </c>
      <c r="B934" s="1">
        <v>45844</v>
      </c>
      <c r="C934" t="s">
        <v>15</v>
      </c>
      <c r="D934" t="s">
        <v>16</v>
      </c>
      <c r="E934">
        <v>35</v>
      </c>
      <c r="F934">
        <v>70</v>
      </c>
      <c r="G934">
        <v>0.2</v>
      </c>
      <c r="H934">
        <v>1960</v>
      </c>
      <c r="I934">
        <f>AVERAGEIFS(sales_Data[units_sold], sales_Data[product_id],sales_Data[[#This Row],[product_id]])</f>
        <v>30.438356164383563</v>
      </c>
      <c r="J934">
        <f>_xlfn.XLOOKUP(sales_Data[[#This Row],[product_id]],sales_Data[product_id],sales_Data[unit_price])</f>
        <v>35</v>
      </c>
    </row>
    <row r="935" spans="1:10" x14ac:dyDescent="0.3">
      <c r="A935" t="s">
        <v>951</v>
      </c>
      <c r="B935" s="1">
        <v>45844</v>
      </c>
      <c r="C935" t="s">
        <v>18</v>
      </c>
      <c r="D935" t="s">
        <v>19</v>
      </c>
      <c r="E935">
        <v>120</v>
      </c>
      <c r="F935">
        <v>36</v>
      </c>
      <c r="G935">
        <v>0</v>
      </c>
      <c r="H935">
        <v>4320</v>
      </c>
      <c r="I935">
        <f>AVERAGEIFS(sales_Data[units_sold], sales_Data[product_id],sales_Data[[#This Row],[product_id]])</f>
        <v>30.473972602739725</v>
      </c>
      <c r="J935">
        <f>_xlfn.XLOOKUP(sales_Data[[#This Row],[product_id]],sales_Data[product_id],sales_Data[unit_price])</f>
        <v>120</v>
      </c>
    </row>
    <row r="936" spans="1:10" x14ac:dyDescent="0.3">
      <c r="A936" t="s">
        <v>952</v>
      </c>
      <c r="B936" s="1">
        <v>45844</v>
      </c>
      <c r="C936" t="s">
        <v>21</v>
      </c>
      <c r="D936" t="s">
        <v>22</v>
      </c>
      <c r="E936">
        <v>25</v>
      </c>
      <c r="F936">
        <v>45</v>
      </c>
      <c r="G936">
        <v>0</v>
      </c>
      <c r="H936">
        <v>1125</v>
      </c>
      <c r="I936">
        <f>AVERAGEIFS(sales_Data[units_sold], sales_Data[product_id],sales_Data[[#This Row],[product_id]])</f>
        <v>29.463013698630139</v>
      </c>
      <c r="J936">
        <f>_xlfn.XLOOKUP(sales_Data[[#This Row],[product_id]],sales_Data[product_id],sales_Data[unit_price])</f>
        <v>25</v>
      </c>
    </row>
    <row r="937" spans="1:10" x14ac:dyDescent="0.3">
      <c r="A937" t="s">
        <v>953</v>
      </c>
      <c r="B937" s="1">
        <v>45845</v>
      </c>
      <c r="C937" t="s">
        <v>9</v>
      </c>
      <c r="D937" t="s">
        <v>10</v>
      </c>
      <c r="E937">
        <v>45</v>
      </c>
      <c r="F937">
        <v>22</v>
      </c>
      <c r="G937">
        <v>0</v>
      </c>
      <c r="H937">
        <v>990</v>
      </c>
      <c r="I937">
        <f>AVERAGEIFS(sales_Data[units_sold], sales_Data[product_id],sales_Data[[#This Row],[product_id]])</f>
        <v>31.479452054794521</v>
      </c>
      <c r="J937">
        <f>_xlfn.XLOOKUP(sales_Data[[#This Row],[product_id]],sales_Data[product_id],sales_Data[unit_price])</f>
        <v>45</v>
      </c>
    </row>
    <row r="938" spans="1:10" x14ac:dyDescent="0.3">
      <c r="A938" t="s">
        <v>954</v>
      </c>
      <c r="B938" s="1">
        <v>45845</v>
      </c>
      <c r="C938" t="s">
        <v>12</v>
      </c>
      <c r="D938" t="s">
        <v>13</v>
      </c>
      <c r="E938">
        <v>12.5</v>
      </c>
      <c r="F938">
        <v>16</v>
      </c>
      <c r="G938">
        <v>0</v>
      </c>
      <c r="H938">
        <v>200</v>
      </c>
      <c r="I938">
        <f>AVERAGEIFS(sales_Data[units_sold], sales_Data[product_id],sales_Data[[#This Row],[product_id]])</f>
        <v>31.794520547945204</v>
      </c>
      <c r="J938">
        <f>_xlfn.XLOOKUP(sales_Data[[#This Row],[product_id]],sales_Data[product_id],sales_Data[unit_price])</f>
        <v>12.5</v>
      </c>
    </row>
    <row r="939" spans="1:10" x14ac:dyDescent="0.3">
      <c r="A939" t="s">
        <v>955</v>
      </c>
      <c r="B939" s="1">
        <v>45845</v>
      </c>
      <c r="C939" t="s">
        <v>15</v>
      </c>
      <c r="D939" t="s">
        <v>16</v>
      </c>
      <c r="E939">
        <v>35</v>
      </c>
      <c r="F939">
        <v>21</v>
      </c>
      <c r="G939">
        <v>0</v>
      </c>
      <c r="H939">
        <v>735</v>
      </c>
      <c r="I939">
        <f>AVERAGEIFS(sales_Data[units_sold], sales_Data[product_id],sales_Data[[#This Row],[product_id]])</f>
        <v>30.438356164383563</v>
      </c>
      <c r="J939">
        <f>_xlfn.XLOOKUP(sales_Data[[#This Row],[product_id]],sales_Data[product_id],sales_Data[unit_price])</f>
        <v>35</v>
      </c>
    </row>
    <row r="940" spans="1:10" x14ac:dyDescent="0.3">
      <c r="A940" t="s">
        <v>956</v>
      </c>
      <c r="B940" s="1">
        <v>45845</v>
      </c>
      <c r="C940" t="s">
        <v>18</v>
      </c>
      <c r="D940" t="s">
        <v>19</v>
      </c>
      <c r="E940">
        <v>120</v>
      </c>
      <c r="F940">
        <v>40</v>
      </c>
      <c r="G940">
        <v>0</v>
      </c>
      <c r="H940">
        <v>4800</v>
      </c>
      <c r="I940">
        <f>AVERAGEIFS(sales_Data[units_sold], sales_Data[product_id],sales_Data[[#This Row],[product_id]])</f>
        <v>30.473972602739725</v>
      </c>
      <c r="J940">
        <f>_xlfn.XLOOKUP(sales_Data[[#This Row],[product_id]],sales_Data[product_id],sales_Data[unit_price])</f>
        <v>120</v>
      </c>
    </row>
    <row r="941" spans="1:10" x14ac:dyDescent="0.3">
      <c r="A941" t="s">
        <v>957</v>
      </c>
      <c r="B941" s="1">
        <v>45845</v>
      </c>
      <c r="C941" t="s">
        <v>21</v>
      </c>
      <c r="D941" t="s">
        <v>22</v>
      </c>
      <c r="E941">
        <v>25</v>
      </c>
      <c r="F941">
        <v>48</v>
      </c>
      <c r="G941">
        <v>0</v>
      </c>
      <c r="H941">
        <v>1200</v>
      </c>
      <c r="I941">
        <f>AVERAGEIFS(sales_Data[units_sold], sales_Data[product_id],sales_Data[[#This Row],[product_id]])</f>
        <v>29.463013698630139</v>
      </c>
      <c r="J941">
        <f>_xlfn.XLOOKUP(sales_Data[[#This Row],[product_id]],sales_Data[product_id],sales_Data[unit_price])</f>
        <v>25</v>
      </c>
    </row>
    <row r="942" spans="1:10" x14ac:dyDescent="0.3">
      <c r="A942" t="s">
        <v>958</v>
      </c>
      <c r="B942" s="1">
        <v>45846</v>
      </c>
      <c r="C942" t="s">
        <v>9</v>
      </c>
      <c r="D942" t="s">
        <v>10</v>
      </c>
      <c r="E942">
        <v>45</v>
      </c>
      <c r="F942">
        <v>14</v>
      </c>
      <c r="G942">
        <v>0</v>
      </c>
      <c r="H942">
        <v>630</v>
      </c>
      <c r="I942">
        <f>AVERAGEIFS(sales_Data[units_sold], sales_Data[product_id],sales_Data[[#This Row],[product_id]])</f>
        <v>31.479452054794521</v>
      </c>
      <c r="J942">
        <f>_xlfn.XLOOKUP(sales_Data[[#This Row],[product_id]],sales_Data[product_id],sales_Data[unit_price])</f>
        <v>45</v>
      </c>
    </row>
    <row r="943" spans="1:10" x14ac:dyDescent="0.3">
      <c r="A943" t="s">
        <v>959</v>
      </c>
      <c r="B943" s="1">
        <v>45846</v>
      </c>
      <c r="C943" t="s">
        <v>12</v>
      </c>
      <c r="D943" t="s">
        <v>13</v>
      </c>
      <c r="E943">
        <v>12.5</v>
      </c>
      <c r="F943">
        <v>20</v>
      </c>
      <c r="G943">
        <v>0.2</v>
      </c>
      <c r="H943">
        <v>200</v>
      </c>
      <c r="I943">
        <f>AVERAGEIFS(sales_Data[units_sold], sales_Data[product_id],sales_Data[[#This Row],[product_id]])</f>
        <v>31.794520547945204</v>
      </c>
      <c r="J943">
        <f>_xlfn.XLOOKUP(sales_Data[[#This Row],[product_id]],sales_Data[product_id],sales_Data[unit_price])</f>
        <v>12.5</v>
      </c>
    </row>
    <row r="944" spans="1:10" x14ac:dyDescent="0.3">
      <c r="A944" t="s">
        <v>960</v>
      </c>
      <c r="B944" s="1">
        <v>45846</v>
      </c>
      <c r="C944" t="s">
        <v>15</v>
      </c>
      <c r="D944" t="s">
        <v>16</v>
      </c>
      <c r="E944">
        <v>35</v>
      </c>
      <c r="F944">
        <v>45</v>
      </c>
      <c r="G944">
        <v>0</v>
      </c>
      <c r="H944">
        <v>1575</v>
      </c>
      <c r="I944">
        <f>AVERAGEIFS(sales_Data[units_sold], sales_Data[product_id],sales_Data[[#This Row],[product_id]])</f>
        <v>30.438356164383563</v>
      </c>
      <c r="J944">
        <f>_xlfn.XLOOKUP(sales_Data[[#This Row],[product_id]],sales_Data[product_id],sales_Data[unit_price])</f>
        <v>35</v>
      </c>
    </row>
    <row r="945" spans="1:10" x14ac:dyDescent="0.3">
      <c r="A945" t="s">
        <v>961</v>
      </c>
      <c r="B945" s="1">
        <v>45846</v>
      </c>
      <c r="C945" t="s">
        <v>18</v>
      </c>
      <c r="D945" t="s">
        <v>19</v>
      </c>
      <c r="E945">
        <v>120</v>
      </c>
      <c r="F945">
        <v>34</v>
      </c>
      <c r="G945">
        <v>0.1</v>
      </c>
      <c r="H945">
        <v>3672</v>
      </c>
      <c r="I945">
        <f>AVERAGEIFS(sales_Data[units_sold], sales_Data[product_id],sales_Data[[#This Row],[product_id]])</f>
        <v>30.473972602739725</v>
      </c>
      <c r="J945">
        <f>_xlfn.XLOOKUP(sales_Data[[#This Row],[product_id]],sales_Data[product_id],sales_Data[unit_price])</f>
        <v>120</v>
      </c>
    </row>
    <row r="946" spans="1:10" x14ac:dyDescent="0.3">
      <c r="A946" t="s">
        <v>962</v>
      </c>
      <c r="B946" s="1">
        <v>45846</v>
      </c>
      <c r="C946" t="s">
        <v>21</v>
      </c>
      <c r="D946" t="s">
        <v>22</v>
      </c>
      <c r="E946">
        <v>25</v>
      </c>
      <c r="F946">
        <v>41</v>
      </c>
      <c r="G946">
        <v>0</v>
      </c>
      <c r="H946">
        <v>1025</v>
      </c>
      <c r="I946">
        <f>AVERAGEIFS(sales_Data[units_sold], sales_Data[product_id],sales_Data[[#This Row],[product_id]])</f>
        <v>29.463013698630139</v>
      </c>
      <c r="J946">
        <f>_xlfn.XLOOKUP(sales_Data[[#This Row],[product_id]],sales_Data[product_id],sales_Data[unit_price])</f>
        <v>25</v>
      </c>
    </row>
    <row r="947" spans="1:10" x14ac:dyDescent="0.3">
      <c r="A947" t="s">
        <v>963</v>
      </c>
      <c r="B947" s="1">
        <v>45847</v>
      </c>
      <c r="C947" t="s">
        <v>9</v>
      </c>
      <c r="D947" t="s">
        <v>10</v>
      </c>
      <c r="E947">
        <v>45</v>
      </c>
      <c r="F947">
        <v>37</v>
      </c>
      <c r="G947">
        <v>0</v>
      </c>
      <c r="H947">
        <v>1665</v>
      </c>
      <c r="I947">
        <f>AVERAGEIFS(sales_Data[units_sold], sales_Data[product_id],sales_Data[[#This Row],[product_id]])</f>
        <v>31.479452054794521</v>
      </c>
      <c r="J947">
        <f>_xlfn.XLOOKUP(sales_Data[[#This Row],[product_id]],sales_Data[product_id],sales_Data[unit_price])</f>
        <v>45</v>
      </c>
    </row>
    <row r="948" spans="1:10" x14ac:dyDescent="0.3">
      <c r="A948" t="s">
        <v>964</v>
      </c>
      <c r="B948" s="1">
        <v>45847</v>
      </c>
      <c r="C948" t="s">
        <v>12</v>
      </c>
      <c r="D948" t="s">
        <v>13</v>
      </c>
      <c r="E948">
        <v>12.5</v>
      </c>
      <c r="F948">
        <v>30</v>
      </c>
      <c r="G948">
        <v>0</v>
      </c>
      <c r="H948">
        <v>375</v>
      </c>
      <c r="I948">
        <f>AVERAGEIFS(sales_Data[units_sold], sales_Data[product_id],sales_Data[[#This Row],[product_id]])</f>
        <v>31.794520547945204</v>
      </c>
      <c r="J948">
        <f>_xlfn.XLOOKUP(sales_Data[[#This Row],[product_id]],sales_Data[product_id],sales_Data[unit_price])</f>
        <v>12.5</v>
      </c>
    </row>
    <row r="949" spans="1:10" x14ac:dyDescent="0.3">
      <c r="A949" t="s">
        <v>965</v>
      </c>
      <c r="B949" s="1">
        <v>45847</v>
      </c>
      <c r="C949" t="s">
        <v>15</v>
      </c>
      <c r="D949" t="s">
        <v>16</v>
      </c>
      <c r="E949">
        <v>35</v>
      </c>
      <c r="F949">
        <v>43</v>
      </c>
      <c r="G949">
        <v>0.1</v>
      </c>
      <c r="H949">
        <v>1354.5</v>
      </c>
      <c r="I949">
        <f>AVERAGEIFS(sales_Data[units_sold], sales_Data[product_id],sales_Data[[#This Row],[product_id]])</f>
        <v>30.438356164383563</v>
      </c>
      <c r="J949">
        <f>_xlfn.XLOOKUP(sales_Data[[#This Row],[product_id]],sales_Data[product_id],sales_Data[unit_price])</f>
        <v>35</v>
      </c>
    </row>
    <row r="950" spans="1:10" x14ac:dyDescent="0.3">
      <c r="A950" t="s">
        <v>966</v>
      </c>
      <c r="B950" s="1">
        <v>45847</v>
      </c>
      <c r="C950" t="s">
        <v>18</v>
      </c>
      <c r="D950" t="s">
        <v>19</v>
      </c>
      <c r="E950">
        <v>120</v>
      </c>
      <c r="F950">
        <v>33</v>
      </c>
      <c r="G950">
        <v>0.1</v>
      </c>
      <c r="H950">
        <v>3564</v>
      </c>
      <c r="I950">
        <f>AVERAGEIFS(sales_Data[units_sold], sales_Data[product_id],sales_Data[[#This Row],[product_id]])</f>
        <v>30.473972602739725</v>
      </c>
      <c r="J950">
        <f>_xlfn.XLOOKUP(sales_Data[[#This Row],[product_id]],sales_Data[product_id],sales_Data[unit_price])</f>
        <v>120</v>
      </c>
    </row>
    <row r="951" spans="1:10" x14ac:dyDescent="0.3">
      <c r="A951" t="s">
        <v>967</v>
      </c>
      <c r="B951" s="1">
        <v>45847</v>
      </c>
      <c r="C951" t="s">
        <v>21</v>
      </c>
      <c r="D951" t="s">
        <v>22</v>
      </c>
      <c r="E951">
        <v>25</v>
      </c>
      <c r="F951">
        <v>49</v>
      </c>
      <c r="G951">
        <v>0</v>
      </c>
      <c r="H951">
        <v>1225</v>
      </c>
      <c r="I951">
        <f>AVERAGEIFS(sales_Data[units_sold], sales_Data[product_id],sales_Data[[#This Row],[product_id]])</f>
        <v>29.463013698630139</v>
      </c>
      <c r="J951">
        <f>_xlfn.XLOOKUP(sales_Data[[#This Row],[product_id]],sales_Data[product_id],sales_Data[unit_price])</f>
        <v>25</v>
      </c>
    </row>
    <row r="952" spans="1:10" x14ac:dyDescent="0.3">
      <c r="A952" t="s">
        <v>968</v>
      </c>
      <c r="B952" s="1">
        <v>45848</v>
      </c>
      <c r="C952" t="s">
        <v>9</v>
      </c>
      <c r="D952" t="s">
        <v>10</v>
      </c>
      <c r="E952">
        <v>45</v>
      </c>
      <c r="F952">
        <v>46</v>
      </c>
      <c r="G952">
        <v>0</v>
      </c>
      <c r="H952">
        <v>2070</v>
      </c>
      <c r="I952">
        <f>AVERAGEIFS(sales_Data[units_sold], sales_Data[product_id],sales_Data[[#This Row],[product_id]])</f>
        <v>31.479452054794521</v>
      </c>
      <c r="J952">
        <f>_xlfn.XLOOKUP(sales_Data[[#This Row],[product_id]],sales_Data[product_id],sales_Data[unit_price])</f>
        <v>45</v>
      </c>
    </row>
    <row r="953" spans="1:10" x14ac:dyDescent="0.3">
      <c r="A953" t="s">
        <v>969</v>
      </c>
      <c r="B953" s="1">
        <v>45848</v>
      </c>
      <c r="C953" t="s">
        <v>12</v>
      </c>
      <c r="D953" t="s">
        <v>13</v>
      </c>
      <c r="E953">
        <v>12.5</v>
      </c>
      <c r="F953">
        <v>41</v>
      </c>
      <c r="G953">
        <v>0.1</v>
      </c>
      <c r="H953">
        <v>461.25</v>
      </c>
      <c r="I953">
        <f>AVERAGEIFS(sales_Data[units_sold], sales_Data[product_id],sales_Data[[#This Row],[product_id]])</f>
        <v>31.794520547945204</v>
      </c>
      <c r="J953">
        <f>_xlfn.XLOOKUP(sales_Data[[#This Row],[product_id]],sales_Data[product_id],sales_Data[unit_price])</f>
        <v>12.5</v>
      </c>
    </row>
    <row r="954" spans="1:10" x14ac:dyDescent="0.3">
      <c r="A954" t="s">
        <v>970</v>
      </c>
      <c r="B954" s="1">
        <v>45848</v>
      </c>
      <c r="C954" t="s">
        <v>15</v>
      </c>
      <c r="D954" t="s">
        <v>16</v>
      </c>
      <c r="E954">
        <v>35</v>
      </c>
      <c r="F954">
        <v>46</v>
      </c>
      <c r="G954">
        <v>0.2</v>
      </c>
      <c r="H954">
        <v>1288</v>
      </c>
      <c r="I954">
        <f>AVERAGEIFS(sales_Data[units_sold], sales_Data[product_id],sales_Data[[#This Row],[product_id]])</f>
        <v>30.438356164383563</v>
      </c>
      <c r="J954">
        <f>_xlfn.XLOOKUP(sales_Data[[#This Row],[product_id]],sales_Data[product_id],sales_Data[unit_price])</f>
        <v>35</v>
      </c>
    </row>
    <row r="955" spans="1:10" x14ac:dyDescent="0.3">
      <c r="A955" t="s">
        <v>971</v>
      </c>
      <c r="B955" s="1">
        <v>45848</v>
      </c>
      <c r="C955" t="s">
        <v>18</v>
      </c>
      <c r="D955" t="s">
        <v>19</v>
      </c>
      <c r="E955">
        <v>120</v>
      </c>
      <c r="F955">
        <v>38</v>
      </c>
      <c r="G955">
        <v>0</v>
      </c>
      <c r="H955">
        <v>4560</v>
      </c>
      <c r="I955">
        <f>AVERAGEIFS(sales_Data[units_sold], sales_Data[product_id],sales_Data[[#This Row],[product_id]])</f>
        <v>30.473972602739725</v>
      </c>
      <c r="J955">
        <f>_xlfn.XLOOKUP(sales_Data[[#This Row],[product_id]],sales_Data[product_id],sales_Data[unit_price])</f>
        <v>120</v>
      </c>
    </row>
    <row r="956" spans="1:10" x14ac:dyDescent="0.3">
      <c r="A956" t="s">
        <v>972</v>
      </c>
      <c r="B956" s="1">
        <v>45848</v>
      </c>
      <c r="C956" t="s">
        <v>21</v>
      </c>
      <c r="D956" t="s">
        <v>22</v>
      </c>
      <c r="E956">
        <v>25</v>
      </c>
      <c r="F956">
        <v>25</v>
      </c>
      <c r="G956">
        <v>0</v>
      </c>
      <c r="H956">
        <v>625</v>
      </c>
      <c r="I956">
        <f>AVERAGEIFS(sales_Data[units_sold], sales_Data[product_id],sales_Data[[#This Row],[product_id]])</f>
        <v>29.463013698630139</v>
      </c>
      <c r="J956">
        <f>_xlfn.XLOOKUP(sales_Data[[#This Row],[product_id]],sales_Data[product_id],sales_Data[unit_price])</f>
        <v>25</v>
      </c>
    </row>
    <row r="957" spans="1:10" x14ac:dyDescent="0.3">
      <c r="A957" t="s">
        <v>973</v>
      </c>
      <c r="B957" s="1">
        <v>45849</v>
      </c>
      <c r="C957" t="s">
        <v>9</v>
      </c>
      <c r="D957" t="s">
        <v>10</v>
      </c>
      <c r="E957">
        <v>45</v>
      </c>
      <c r="F957">
        <v>42</v>
      </c>
      <c r="G957">
        <v>0</v>
      </c>
      <c r="H957">
        <v>1890</v>
      </c>
      <c r="I957">
        <f>AVERAGEIFS(sales_Data[units_sold], sales_Data[product_id],sales_Data[[#This Row],[product_id]])</f>
        <v>31.479452054794521</v>
      </c>
      <c r="J957">
        <f>_xlfn.XLOOKUP(sales_Data[[#This Row],[product_id]],sales_Data[product_id],sales_Data[unit_price])</f>
        <v>45</v>
      </c>
    </row>
    <row r="958" spans="1:10" x14ac:dyDescent="0.3">
      <c r="A958" t="s">
        <v>974</v>
      </c>
      <c r="B958" s="1">
        <v>45849</v>
      </c>
      <c r="C958" t="s">
        <v>12</v>
      </c>
      <c r="D958" t="s">
        <v>13</v>
      </c>
      <c r="E958">
        <v>12.5</v>
      </c>
      <c r="F958">
        <v>18</v>
      </c>
      <c r="G958">
        <v>0.2</v>
      </c>
      <c r="H958">
        <v>180</v>
      </c>
      <c r="I958">
        <f>AVERAGEIFS(sales_Data[units_sold], sales_Data[product_id],sales_Data[[#This Row],[product_id]])</f>
        <v>31.794520547945204</v>
      </c>
      <c r="J958">
        <f>_xlfn.XLOOKUP(sales_Data[[#This Row],[product_id]],sales_Data[product_id],sales_Data[unit_price])</f>
        <v>12.5</v>
      </c>
    </row>
    <row r="959" spans="1:10" x14ac:dyDescent="0.3">
      <c r="A959" t="s">
        <v>975</v>
      </c>
      <c r="B959" s="1">
        <v>45849</v>
      </c>
      <c r="C959" t="s">
        <v>15</v>
      </c>
      <c r="D959" t="s">
        <v>16</v>
      </c>
      <c r="E959">
        <v>35</v>
      </c>
      <c r="F959">
        <v>28</v>
      </c>
      <c r="G959">
        <v>0.2</v>
      </c>
      <c r="H959">
        <v>784</v>
      </c>
      <c r="I959">
        <f>AVERAGEIFS(sales_Data[units_sold], sales_Data[product_id],sales_Data[[#This Row],[product_id]])</f>
        <v>30.438356164383563</v>
      </c>
      <c r="J959">
        <f>_xlfn.XLOOKUP(sales_Data[[#This Row],[product_id]],sales_Data[product_id],sales_Data[unit_price])</f>
        <v>35</v>
      </c>
    </row>
    <row r="960" spans="1:10" x14ac:dyDescent="0.3">
      <c r="A960" t="s">
        <v>976</v>
      </c>
      <c r="B960" s="1">
        <v>45849</v>
      </c>
      <c r="C960" t="s">
        <v>18</v>
      </c>
      <c r="D960" t="s">
        <v>19</v>
      </c>
      <c r="E960">
        <v>120</v>
      </c>
      <c r="F960">
        <v>38</v>
      </c>
      <c r="G960">
        <v>0.1</v>
      </c>
      <c r="H960">
        <v>4104</v>
      </c>
      <c r="I960">
        <f>AVERAGEIFS(sales_Data[units_sold], sales_Data[product_id],sales_Data[[#This Row],[product_id]])</f>
        <v>30.473972602739725</v>
      </c>
      <c r="J960">
        <f>_xlfn.XLOOKUP(sales_Data[[#This Row],[product_id]],sales_Data[product_id],sales_Data[unit_price])</f>
        <v>120</v>
      </c>
    </row>
    <row r="961" spans="1:10" x14ac:dyDescent="0.3">
      <c r="A961" t="s">
        <v>977</v>
      </c>
      <c r="B961" s="1">
        <v>45849</v>
      </c>
      <c r="C961" t="s">
        <v>21</v>
      </c>
      <c r="D961" t="s">
        <v>22</v>
      </c>
      <c r="E961">
        <v>25</v>
      </c>
      <c r="F961">
        <v>49</v>
      </c>
      <c r="G961">
        <v>0.1</v>
      </c>
      <c r="H961">
        <v>1102.5</v>
      </c>
      <c r="I961">
        <f>AVERAGEIFS(sales_Data[units_sold], sales_Data[product_id],sales_Data[[#This Row],[product_id]])</f>
        <v>29.463013698630139</v>
      </c>
      <c r="J961">
        <f>_xlfn.XLOOKUP(sales_Data[[#This Row],[product_id]],sales_Data[product_id],sales_Data[unit_price])</f>
        <v>25</v>
      </c>
    </row>
    <row r="962" spans="1:10" x14ac:dyDescent="0.3">
      <c r="A962" t="s">
        <v>978</v>
      </c>
      <c r="B962" s="1">
        <v>45850</v>
      </c>
      <c r="C962" t="s">
        <v>9</v>
      </c>
      <c r="D962" t="s">
        <v>10</v>
      </c>
      <c r="E962">
        <v>45</v>
      </c>
      <c r="F962">
        <v>64</v>
      </c>
      <c r="G962">
        <v>0</v>
      </c>
      <c r="H962">
        <v>2880</v>
      </c>
      <c r="I962">
        <f>AVERAGEIFS(sales_Data[units_sold], sales_Data[product_id],sales_Data[[#This Row],[product_id]])</f>
        <v>31.479452054794521</v>
      </c>
      <c r="J962">
        <f>_xlfn.XLOOKUP(sales_Data[[#This Row],[product_id]],sales_Data[product_id],sales_Data[unit_price])</f>
        <v>45</v>
      </c>
    </row>
    <row r="963" spans="1:10" x14ac:dyDescent="0.3">
      <c r="A963" t="s">
        <v>979</v>
      </c>
      <c r="B963" s="1">
        <v>45850</v>
      </c>
      <c r="C963" t="s">
        <v>12</v>
      </c>
      <c r="D963" t="s">
        <v>13</v>
      </c>
      <c r="E963">
        <v>12.5</v>
      </c>
      <c r="F963">
        <v>21</v>
      </c>
      <c r="G963">
        <v>0</v>
      </c>
      <c r="H963">
        <v>262.5</v>
      </c>
      <c r="I963">
        <f>AVERAGEIFS(sales_Data[units_sold], sales_Data[product_id],sales_Data[[#This Row],[product_id]])</f>
        <v>31.794520547945204</v>
      </c>
      <c r="J963">
        <f>_xlfn.XLOOKUP(sales_Data[[#This Row],[product_id]],sales_Data[product_id],sales_Data[unit_price])</f>
        <v>12.5</v>
      </c>
    </row>
    <row r="964" spans="1:10" x14ac:dyDescent="0.3">
      <c r="A964" t="s">
        <v>980</v>
      </c>
      <c r="B964" s="1">
        <v>45850</v>
      </c>
      <c r="C964" t="s">
        <v>15</v>
      </c>
      <c r="D964" t="s">
        <v>16</v>
      </c>
      <c r="E964">
        <v>35</v>
      </c>
      <c r="F964">
        <v>45</v>
      </c>
      <c r="G964">
        <v>0</v>
      </c>
      <c r="H964">
        <v>1575</v>
      </c>
      <c r="I964">
        <f>AVERAGEIFS(sales_Data[units_sold], sales_Data[product_id],sales_Data[[#This Row],[product_id]])</f>
        <v>30.438356164383563</v>
      </c>
      <c r="J964">
        <f>_xlfn.XLOOKUP(sales_Data[[#This Row],[product_id]],sales_Data[product_id],sales_Data[unit_price])</f>
        <v>35</v>
      </c>
    </row>
    <row r="965" spans="1:10" x14ac:dyDescent="0.3">
      <c r="A965" t="s">
        <v>981</v>
      </c>
      <c r="B965" s="1">
        <v>45850</v>
      </c>
      <c r="C965" t="s">
        <v>18</v>
      </c>
      <c r="D965" t="s">
        <v>19</v>
      </c>
      <c r="E965">
        <v>120</v>
      </c>
      <c r="F965">
        <v>58</v>
      </c>
      <c r="G965">
        <v>0.1</v>
      </c>
      <c r="H965">
        <v>6264</v>
      </c>
      <c r="I965">
        <f>AVERAGEIFS(sales_Data[units_sold], sales_Data[product_id],sales_Data[[#This Row],[product_id]])</f>
        <v>30.473972602739725</v>
      </c>
      <c r="J965">
        <f>_xlfn.XLOOKUP(sales_Data[[#This Row],[product_id]],sales_Data[product_id],sales_Data[unit_price])</f>
        <v>120</v>
      </c>
    </row>
    <row r="966" spans="1:10" x14ac:dyDescent="0.3">
      <c r="A966" t="s">
        <v>982</v>
      </c>
      <c r="B966" s="1">
        <v>45850</v>
      </c>
      <c r="C966" t="s">
        <v>21</v>
      </c>
      <c r="D966" t="s">
        <v>22</v>
      </c>
      <c r="E966">
        <v>25</v>
      </c>
      <c r="F966">
        <v>21</v>
      </c>
      <c r="G966">
        <v>0</v>
      </c>
      <c r="H966">
        <v>525</v>
      </c>
      <c r="I966">
        <f>AVERAGEIFS(sales_Data[units_sold], sales_Data[product_id],sales_Data[[#This Row],[product_id]])</f>
        <v>29.463013698630139</v>
      </c>
      <c r="J966">
        <f>_xlfn.XLOOKUP(sales_Data[[#This Row],[product_id]],sales_Data[product_id],sales_Data[unit_price])</f>
        <v>25</v>
      </c>
    </row>
    <row r="967" spans="1:10" x14ac:dyDescent="0.3">
      <c r="A967" t="s">
        <v>983</v>
      </c>
      <c r="B967" s="1">
        <v>45851</v>
      </c>
      <c r="C967" t="s">
        <v>9</v>
      </c>
      <c r="D967" t="s">
        <v>10</v>
      </c>
      <c r="E967">
        <v>45</v>
      </c>
      <c r="F967">
        <v>24</v>
      </c>
      <c r="G967">
        <v>0</v>
      </c>
      <c r="H967">
        <v>1080</v>
      </c>
      <c r="I967">
        <f>AVERAGEIFS(sales_Data[units_sold], sales_Data[product_id],sales_Data[[#This Row],[product_id]])</f>
        <v>31.479452054794521</v>
      </c>
      <c r="J967">
        <f>_xlfn.XLOOKUP(sales_Data[[#This Row],[product_id]],sales_Data[product_id],sales_Data[unit_price])</f>
        <v>45</v>
      </c>
    </row>
    <row r="968" spans="1:10" x14ac:dyDescent="0.3">
      <c r="A968" t="s">
        <v>984</v>
      </c>
      <c r="B968" s="1">
        <v>45851</v>
      </c>
      <c r="C968" t="s">
        <v>12</v>
      </c>
      <c r="D968" t="s">
        <v>13</v>
      </c>
      <c r="E968">
        <v>12.5</v>
      </c>
      <c r="F968">
        <v>67</v>
      </c>
      <c r="G968">
        <v>0</v>
      </c>
      <c r="H968">
        <v>837.5</v>
      </c>
      <c r="I968">
        <f>AVERAGEIFS(sales_Data[units_sold], sales_Data[product_id],sales_Data[[#This Row],[product_id]])</f>
        <v>31.794520547945204</v>
      </c>
      <c r="J968">
        <f>_xlfn.XLOOKUP(sales_Data[[#This Row],[product_id]],sales_Data[product_id],sales_Data[unit_price])</f>
        <v>12.5</v>
      </c>
    </row>
    <row r="969" spans="1:10" x14ac:dyDescent="0.3">
      <c r="A969" t="s">
        <v>985</v>
      </c>
      <c r="B969" s="1">
        <v>45851</v>
      </c>
      <c r="C969" t="s">
        <v>15</v>
      </c>
      <c r="D969" t="s">
        <v>16</v>
      </c>
      <c r="E969">
        <v>35</v>
      </c>
      <c r="F969">
        <v>16</v>
      </c>
      <c r="G969">
        <v>0</v>
      </c>
      <c r="H969">
        <v>560</v>
      </c>
      <c r="I969">
        <f>AVERAGEIFS(sales_Data[units_sold], sales_Data[product_id],sales_Data[[#This Row],[product_id]])</f>
        <v>30.438356164383563</v>
      </c>
      <c r="J969">
        <f>_xlfn.XLOOKUP(sales_Data[[#This Row],[product_id]],sales_Data[product_id],sales_Data[unit_price])</f>
        <v>35</v>
      </c>
    </row>
    <row r="970" spans="1:10" x14ac:dyDescent="0.3">
      <c r="A970" t="s">
        <v>986</v>
      </c>
      <c r="B970" s="1">
        <v>45851</v>
      </c>
      <c r="C970" t="s">
        <v>18</v>
      </c>
      <c r="D970" t="s">
        <v>19</v>
      </c>
      <c r="E970">
        <v>120</v>
      </c>
      <c r="F970">
        <v>42</v>
      </c>
      <c r="G970">
        <v>0</v>
      </c>
      <c r="H970">
        <v>5040</v>
      </c>
      <c r="I970">
        <f>AVERAGEIFS(sales_Data[units_sold], sales_Data[product_id],sales_Data[[#This Row],[product_id]])</f>
        <v>30.473972602739725</v>
      </c>
      <c r="J970">
        <f>_xlfn.XLOOKUP(sales_Data[[#This Row],[product_id]],sales_Data[product_id],sales_Data[unit_price])</f>
        <v>120</v>
      </c>
    </row>
    <row r="971" spans="1:10" x14ac:dyDescent="0.3">
      <c r="A971" t="s">
        <v>987</v>
      </c>
      <c r="B971" s="1">
        <v>45851</v>
      </c>
      <c r="C971" t="s">
        <v>21</v>
      </c>
      <c r="D971" t="s">
        <v>22</v>
      </c>
      <c r="E971">
        <v>25</v>
      </c>
      <c r="F971">
        <v>72</v>
      </c>
      <c r="G971">
        <v>0.1</v>
      </c>
      <c r="H971">
        <v>1620</v>
      </c>
      <c r="I971">
        <f>AVERAGEIFS(sales_Data[units_sold], sales_Data[product_id],sales_Data[[#This Row],[product_id]])</f>
        <v>29.463013698630139</v>
      </c>
      <c r="J971">
        <f>_xlfn.XLOOKUP(sales_Data[[#This Row],[product_id]],sales_Data[product_id],sales_Data[unit_price])</f>
        <v>25</v>
      </c>
    </row>
    <row r="972" spans="1:10" x14ac:dyDescent="0.3">
      <c r="A972" t="s">
        <v>988</v>
      </c>
      <c r="B972" s="1">
        <v>45852</v>
      </c>
      <c r="C972" t="s">
        <v>9</v>
      </c>
      <c r="D972" t="s">
        <v>10</v>
      </c>
      <c r="E972">
        <v>45</v>
      </c>
      <c r="F972">
        <v>48</v>
      </c>
      <c r="G972">
        <v>0</v>
      </c>
      <c r="H972">
        <v>2160</v>
      </c>
      <c r="I972">
        <f>AVERAGEIFS(sales_Data[units_sold], sales_Data[product_id],sales_Data[[#This Row],[product_id]])</f>
        <v>31.479452054794521</v>
      </c>
      <c r="J972">
        <f>_xlfn.XLOOKUP(sales_Data[[#This Row],[product_id]],sales_Data[product_id],sales_Data[unit_price])</f>
        <v>45</v>
      </c>
    </row>
    <row r="973" spans="1:10" x14ac:dyDescent="0.3">
      <c r="A973" t="s">
        <v>989</v>
      </c>
      <c r="B973" s="1">
        <v>45852</v>
      </c>
      <c r="C973" t="s">
        <v>12</v>
      </c>
      <c r="D973" t="s">
        <v>13</v>
      </c>
      <c r="E973">
        <v>12.5</v>
      </c>
      <c r="F973">
        <v>38</v>
      </c>
      <c r="G973">
        <v>0</v>
      </c>
      <c r="H973">
        <v>475</v>
      </c>
      <c r="I973">
        <f>AVERAGEIFS(sales_Data[units_sold], sales_Data[product_id],sales_Data[[#This Row],[product_id]])</f>
        <v>31.794520547945204</v>
      </c>
      <c r="J973">
        <f>_xlfn.XLOOKUP(sales_Data[[#This Row],[product_id]],sales_Data[product_id],sales_Data[unit_price])</f>
        <v>12.5</v>
      </c>
    </row>
    <row r="974" spans="1:10" x14ac:dyDescent="0.3">
      <c r="A974" t="s">
        <v>990</v>
      </c>
      <c r="B974" s="1">
        <v>45852</v>
      </c>
      <c r="C974" t="s">
        <v>15</v>
      </c>
      <c r="D974" t="s">
        <v>16</v>
      </c>
      <c r="E974">
        <v>35</v>
      </c>
      <c r="F974">
        <v>17</v>
      </c>
      <c r="G974">
        <v>0</v>
      </c>
      <c r="H974">
        <v>595</v>
      </c>
      <c r="I974">
        <f>AVERAGEIFS(sales_Data[units_sold], sales_Data[product_id],sales_Data[[#This Row],[product_id]])</f>
        <v>30.438356164383563</v>
      </c>
      <c r="J974">
        <f>_xlfn.XLOOKUP(sales_Data[[#This Row],[product_id]],sales_Data[product_id],sales_Data[unit_price])</f>
        <v>35</v>
      </c>
    </row>
    <row r="975" spans="1:10" x14ac:dyDescent="0.3">
      <c r="A975" t="s">
        <v>991</v>
      </c>
      <c r="B975" s="1">
        <v>45852</v>
      </c>
      <c r="C975" t="s">
        <v>18</v>
      </c>
      <c r="D975" t="s">
        <v>19</v>
      </c>
      <c r="E975">
        <v>120</v>
      </c>
      <c r="F975">
        <v>25</v>
      </c>
      <c r="G975">
        <v>0</v>
      </c>
      <c r="H975">
        <v>3000</v>
      </c>
      <c r="I975">
        <f>AVERAGEIFS(sales_Data[units_sold], sales_Data[product_id],sales_Data[[#This Row],[product_id]])</f>
        <v>30.473972602739725</v>
      </c>
      <c r="J975">
        <f>_xlfn.XLOOKUP(sales_Data[[#This Row],[product_id]],sales_Data[product_id],sales_Data[unit_price])</f>
        <v>120</v>
      </c>
    </row>
    <row r="976" spans="1:10" x14ac:dyDescent="0.3">
      <c r="A976" t="s">
        <v>992</v>
      </c>
      <c r="B976" s="1">
        <v>45852</v>
      </c>
      <c r="C976" t="s">
        <v>21</v>
      </c>
      <c r="D976" t="s">
        <v>22</v>
      </c>
      <c r="E976">
        <v>25</v>
      </c>
      <c r="F976">
        <v>47</v>
      </c>
      <c r="G976">
        <v>0</v>
      </c>
      <c r="H976">
        <v>1175</v>
      </c>
      <c r="I976">
        <f>AVERAGEIFS(sales_Data[units_sold], sales_Data[product_id],sales_Data[[#This Row],[product_id]])</f>
        <v>29.463013698630139</v>
      </c>
      <c r="J976">
        <f>_xlfn.XLOOKUP(sales_Data[[#This Row],[product_id]],sales_Data[product_id],sales_Data[unit_price])</f>
        <v>25</v>
      </c>
    </row>
    <row r="977" spans="1:10" x14ac:dyDescent="0.3">
      <c r="A977" t="s">
        <v>993</v>
      </c>
      <c r="B977" s="1">
        <v>45853</v>
      </c>
      <c r="C977" t="s">
        <v>9</v>
      </c>
      <c r="D977" t="s">
        <v>10</v>
      </c>
      <c r="E977">
        <v>45</v>
      </c>
      <c r="F977">
        <v>21</v>
      </c>
      <c r="G977">
        <v>0</v>
      </c>
      <c r="H977">
        <v>945</v>
      </c>
      <c r="I977">
        <f>AVERAGEIFS(sales_Data[units_sold], sales_Data[product_id],sales_Data[[#This Row],[product_id]])</f>
        <v>31.479452054794521</v>
      </c>
      <c r="J977">
        <f>_xlfn.XLOOKUP(sales_Data[[#This Row],[product_id]],sales_Data[product_id],sales_Data[unit_price])</f>
        <v>45</v>
      </c>
    </row>
    <row r="978" spans="1:10" x14ac:dyDescent="0.3">
      <c r="A978" t="s">
        <v>994</v>
      </c>
      <c r="B978" s="1">
        <v>45853</v>
      </c>
      <c r="C978" t="s">
        <v>12</v>
      </c>
      <c r="D978" t="s">
        <v>13</v>
      </c>
      <c r="E978">
        <v>12.5</v>
      </c>
      <c r="F978">
        <v>28</v>
      </c>
      <c r="G978">
        <v>0.1</v>
      </c>
      <c r="H978">
        <v>315</v>
      </c>
      <c r="I978">
        <f>AVERAGEIFS(sales_Data[units_sold], sales_Data[product_id],sales_Data[[#This Row],[product_id]])</f>
        <v>31.794520547945204</v>
      </c>
      <c r="J978">
        <f>_xlfn.XLOOKUP(sales_Data[[#This Row],[product_id]],sales_Data[product_id],sales_Data[unit_price])</f>
        <v>12.5</v>
      </c>
    </row>
    <row r="979" spans="1:10" x14ac:dyDescent="0.3">
      <c r="A979" t="s">
        <v>995</v>
      </c>
      <c r="B979" s="1">
        <v>45853</v>
      </c>
      <c r="C979" t="s">
        <v>15</v>
      </c>
      <c r="D979" t="s">
        <v>16</v>
      </c>
      <c r="E979">
        <v>35</v>
      </c>
      <c r="F979">
        <v>40</v>
      </c>
      <c r="G979">
        <v>0.1</v>
      </c>
      <c r="H979">
        <v>1260</v>
      </c>
      <c r="I979">
        <f>AVERAGEIFS(sales_Data[units_sold], sales_Data[product_id],sales_Data[[#This Row],[product_id]])</f>
        <v>30.438356164383563</v>
      </c>
      <c r="J979">
        <f>_xlfn.XLOOKUP(sales_Data[[#This Row],[product_id]],sales_Data[product_id],sales_Data[unit_price])</f>
        <v>35</v>
      </c>
    </row>
    <row r="980" spans="1:10" x14ac:dyDescent="0.3">
      <c r="A980" t="s">
        <v>996</v>
      </c>
      <c r="B980" s="1">
        <v>45853</v>
      </c>
      <c r="C980" t="s">
        <v>18</v>
      </c>
      <c r="D980" t="s">
        <v>19</v>
      </c>
      <c r="E980">
        <v>120</v>
      </c>
      <c r="F980">
        <v>8</v>
      </c>
      <c r="G980">
        <v>0</v>
      </c>
      <c r="H980">
        <v>960</v>
      </c>
      <c r="I980">
        <f>AVERAGEIFS(sales_Data[units_sold], sales_Data[product_id],sales_Data[[#This Row],[product_id]])</f>
        <v>30.473972602739725</v>
      </c>
      <c r="J980">
        <f>_xlfn.XLOOKUP(sales_Data[[#This Row],[product_id]],sales_Data[product_id],sales_Data[unit_price])</f>
        <v>120</v>
      </c>
    </row>
    <row r="981" spans="1:10" x14ac:dyDescent="0.3">
      <c r="A981" t="s">
        <v>997</v>
      </c>
      <c r="B981" s="1">
        <v>45853</v>
      </c>
      <c r="C981" t="s">
        <v>21</v>
      </c>
      <c r="D981" t="s">
        <v>22</v>
      </c>
      <c r="E981">
        <v>25</v>
      </c>
      <c r="F981">
        <v>24</v>
      </c>
      <c r="G981">
        <v>0</v>
      </c>
      <c r="H981">
        <v>600</v>
      </c>
      <c r="I981">
        <f>AVERAGEIFS(sales_Data[units_sold], sales_Data[product_id],sales_Data[[#This Row],[product_id]])</f>
        <v>29.463013698630139</v>
      </c>
      <c r="J981">
        <f>_xlfn.XLOOKUP(sales_Data[[#This Row],[product_id]],sales_Data[product_id],sales_Data[unit_price])</f>
        <v>25</v>
      </c>
    </row>
    <row r="982" spans="1:10" x14ac:dyDescent="0.3">
      <c r="A982" t="s">
        <v>998</v>
      </c>
      <c r="B982" s="1">
        <v>45854</v>
      </c>
      <c r="C982" t="s">
        <v>9</v>
      </c>
      <c r="D982" t="s">
        <v>10</v>
      </c>
      <c r="E982">
        <v>45</v>
      </c>
      <c r="F982">
        <v>32</v>
      </c>
      <c r="G982">
        <v>0</v>
      </c>
      <c r="H982">
        <v>1440</v>
      </c>
      <c r="I982">
        <f>AVERAGEIFS(sales_Data[units_sold], sales_Data[product_id],sales_Data[[#This Row],[product_id]])</f>
        <v>31.479452054794521</v>
      </c>
      <c r="J982">
        <f>_xlfn.XLOOKUP(sales_Data[[#This Row],[product_id]],sales_Data[product_id],sales_Data[unit_price])</f>
        <v>45</v>
      </c>
    </row>
    <row r="983" spans="1:10" x14ac:dyDescent="0.3">
      <c r="A983" t="s">
        <v>999</v>
      </c>
      <c r="B983" s="1">
        <v>45854</v>
      </c>
      <c r="C983" t="s">
        <v>12</v>
      </c>
      <c r="D983" t="s">
        <v>13</v>
      </c>
      <c r="E983">
        <v>12.5</v>
      </c>
      <c r="F983">
        <v>41</v>
      </c>
      <c r="G983">
        <v>0</v>
      </c>
      <c r="H983">
        <v>512.5</v>
      </c>
      <c r="I983">
        <f>AVERAGEIFS(sales_Data[units_sold], sales_Data[product_id],sales_Data[[#This Row],[product_id]])</f>
        <v>31.794520547945204</v>
      </c>
      <c r="J983">
        <f>_xlfn.XLOOKUP(sales_Data[[#This Row],[product_id]],sales_Data[product_id],sales_Data[unit_price])</f>
        <v>12.5</v>
      </c>
    </row>
    <row r="984" spans="1:10" x14ac:dyDescent="0.3">
      <c r="A984" t="s">
        <v>1000</v>
      </c>
      <c r="B984" s="1">
        <v>45854</v>
      </c>
      <c r="C984" t="s">
        <v>15</v>
      </c>
      <c r="D984" t="s">
        <v>16</v>
      </c>
      <c r="E984">
        <v>35</v>
      </c>
      <c r="F984">
        <v>49</v>
      </c>
      <c r="G984">
        <v>0</v>
      </c>
      <c r="H984">
        <v>1715</v>
      </c>
      <c r="I984">
        <f>AVERAGEIFS(sales_Data[units_sold], sales_Data[product_id],sales_Data[[#This Row],[product_id]])</f>
        <v>30.438356164383563</v>
      </c>
      <c r="J984">
        <f>_xlfn.XLOOKUP(sales_Data[[#This Row],[product_id]],sales_Data[product_id],sales_Data[unit_price])</f>
        <v>35</v>
      </c>
    </row>
    <row r="985" spans="1:10" x14ac:dyDescent="0.3">
      <c r="A985" t="s">
        <v>1001</v>
      </c>
      <c r="B985" s="1">
        <v>45854</v>
      </c>
      <c r="C985" t="s">
        <v>18</v>
      </c>
      <c r="D985" t="s">
        <v>19</v>
      </c>
      <c r="E985">
        <v>120</v>
      </c>
      <c r="F985">
        <v>41</v>
      </c>
      <c r="G985">
        <v>0.1</v>
      </c>
      <c r="H985">
        <v>4428</v>
      </c>
      <c r="I985">
        <f>AVERAGEIFS(sales_Data[units_sold], sales_Data[product_id],sales_Data[[#This Row],[product_id]])</f>
        <v>30.473972602739725</v>
      </c>
      <c r="J985">
        <f>_xlfn.XLOOKUP(sales_Data[[#This Row],[product_id]],sales_Data[product_id],sales_Data[unit_price])</f>
        <v>120</v>
      </c>
    </row>
    <row r="986" spans="1:10" x14ac:dyDescent="0.3">
      <c r="A986" t="s">
        <v>1002</v>
      </c>
      <c r="B986" s="1">
        <v>45854</v>
      </c>
      <c r="C986" t="s">
        <v>21</v>
      </c>
      <c r="D986" t="s">
        <v>22</v>
      </c>
      <c r="E986">
        <v>25</v>
      </c>
      <c r="F986">
        <v>15</v>
      </c>
      <c r="G986">
        <v>0</v>
      </c>
      <c r="H986">
        <v>375</v>
      </c>
      <c r="I986">
        <f>AVERAGEIFS(sales_Data[units_sold], sales_Data[product_id],sales_Data[[#This Row],[product_id]])</f>
        <v>29.463013698630139</v>
      </c>
      <c r="J986">
        <f>_xlfn.XLOOKUP(sales_Data[[#This Row],[product_id]],sales_Data[product_id],sales_Data[unit_price])</f>
        <v>25</v>
      </c>
    </row>
    <row r="987" spans="1:10" x14ac:dyDescent="0.3">
      <c r="A987" t="s">
        <v>1003</v>
      </c>
      <c r="B987" s="1">
        <v>45855</v>
      </c>
      <c r="C987" t="s">
        <v>9</v>
      </c>
      <c r="D987" t="s">
        <v>10</v>
      </c>
      <c r="E987">
        <v>45</v>
      </c>
      <c r="F987">
        <v>11</v>
      </c>
      <c r="G987">
        <v>0</v>
      </c>
      <c r="H987">
        <v>495</v>
      </c>
      <c r="I987">
        <f>AVERAGEIFS(sales_Data[units_sold], sales_Data[product_id],sales_Data[[#This Row],[product_id]])</f>
        <v>31.479452054794521</v>
      </c>
      <c r="J987">
        <f>_xlfn.XLOOKUP(sales_Data[[#This Row],[product_id]],sales_Data[product_id],sales_Data[unit_price])</f>
        <v>45</v>
      </c>
    </row>
    <row r="988" spans="1:10" x14ac:dyDescent="0.3">
      <c r="A988" t="s">
        <v>1004</v>
      </c>
      <c r="B988" s="1">
        <v>45855</v>
      </c>
      <c r="C988" t="s">
        <v>12</v>
      </c>
      <c r="D988" t="s">
        <v>13</v>
      </c>
      <c r="E988">
        <v>12.5</v>
      </c>
      <c r="F988">
        <v>10</v>
      </c>
      <c r="G988">
        <v>0</v>
      </c>
      <c r="H988">
        <v>125</v>
      </c>
      <c r="I988">
        <f>AVERAGEIFS(sales_Data[units_sold], sales_Data[product_id],sales_Data[[#This Row],[product_id]])</f>
        <v>31.794520547945204</v>
      </c>
      <c r="J988">
        <f>_xlfn.XLOOKUP(sales_Data[[#This Row],[product_id]],sales_Data[product_id],sales_Data[unit_price])</f>
        <v>12.5</v>
      </c>
    </row>
    <row r="989" spans="1:10" x14ac:dyDescent="0.3">
      <c r="A989" t="s">
        <v>1005</v>
      </c>
      <c r="B989" s="1">
        <v>45855</v>
      </c>
      <c r="C989" t="s">
        <v>15</v>
      </c>
      <c r="D989" t="s">
        <v>16</v>
      </c>
      <c r="E989">
        <v>35</v>
      </c>
      <c r="F989">
        <v>41</v>
      </c>
      <c r="G989">
        <v>0</v>
      </c>
      <c r="H989">
        <v>1435</v>
      </c>
      <c r="I989">
        <f>AVERAGEIFS(sales_Data[units_sold], sales_Data[product_id],sales_Data[[#This Row],[product_id]])</f>
        <v>30.438356164383563</v>
      </c>
      <c r="J989">
        <f>_xlfn.XLOOKUP(sales_Data[[#This Row],[product_id]],sales_Data[product_id],sales_Data[unit_price])</f>
        <v>35</v>
      </c>
    </row>
    <row r="990" spans="1:10" x14ac:dyDescent="0.3">
      <c r="A990" t="s">
        <v>1006</v>
      </c>
      <c r="B990" s="1">
        <v>45855</v>
      </c>
      <c r="C990" t="s">
        <v>18</v>
      </c>
      <c r="D990" t="s">
        <v>19</v>
      </c>
      <c r="E990">
        <v>120</v>
      </c>
      <c r="F990">
        <v>9</v>
      </c>
      <c r="G990">
        <v>0</v>
      </c>
      <c r="H990">
        <v>1080</v>
      </c>
      <c r="I990">
        <f>AVERAGEIFS(sales_Data[units_sold], sales_Data[product_id],sales_Data[[#This Row],[product_id]])</f>
        <v>30.473972602739725</v>
      </c>
      <c r="J990">
        <f>_xlfn.XLOOKUP(sales_Data[[#This Row],[product_id]],sales_Data[product_id],sales_Data[unit_price])</f>
        <v>120</v>
      </c>
    </row>
    <row r="991" spans="1:10" x14ac:dyDescent="0.3">
      <c r="A991" t="s">
        <v>1007</v>
      </c>
      <c r="B991" s="1">
        <v>45855</v>
      </c>
      <c r="C991" t="s">
        <v>21</v>
      </c>
      <c r="D991" t="s">
        <v>22</v>
      </c>
      <c r="E991">
        <v>25</v>
      </c>
      <c r="F991">
        <v>23</v>
      </c>
      <c r="G991">
        <v>0.1</v>
      </c>
      <c r="H991">
        <v>517.5</v>
      </c>
      <c r="I991">
        <f>AVERAGEIFS(sales_Data[units_sold], sales_Data[product_id],sales_Data[[#This Row],[product_id]])</f>
        <v>29.463013698630139</v>
      </c>
      <c r="J991">
        <f>_xlfn.XLOOKUP(sales_Data[[#This Row],[product_id]],sales_Data[product_id],sales_Data[unit_price])</f>
        <v>25</v>
      </c>
    </row>
    <row r="992" spans="1:10" x14ac:dyDescent="0.3">
      <c r="A992" t="s">
        <v>1008</v>
      </c>
      <c r="B992" s="1">
        <v>45856</v>
      </c>
      <c r="C992" t="s">
        <v>9</v>
      </c>
      <c r="D992" t="s">
        <v>10</v>
      </c>
      <c r="E992">
        <v>45</v>
      </c>
      <c r="F992">
        <v>15</v>
      </c>
      <c r="G992">
        <v>0</v>
      </c>
      <c r="H992">
        <v>675</v>
      </c>
      <c r="I992">
        <f>AVERAGEIFS(sales_Data[units_sold], sales_Data[product_id],sales_Data[[#This Row],[product_id]])</f>
        <v>31.479452054794521</v>
      </c>
      <c r="J992">
        <f>_xlfn.XLOOKUP(sales_Data[[#This Row],[product_id]],sales_Data[product_id],sales_Data[unit_price])</f>
        <v>45</v>
      </c>
    </row>
    <row r="993" spans="1:10" x14ac:dyDescent="0.3">
      <c r="A993" t="s">
        <v>1009</v>
      </c>
      <c r="B993" s="1">
        <v>45856</v>
      </c>
      <c r="C993" t="s">
        <v>12</v>
      </c>
      <c r="D993" t="s">
        <v>13</v>
      </c>
      <c r="E993">
        <v>12.5</v>
      </c>
      <c r="F993">
        <v>10</v>
      </c>
      <c r="G993">
        <v>0.2</v>
      </c>
      <c r="H993">
        <v>100</v>
      </c>
      <c r="I993">
        <f>AVERAGEIFS(sales_Data[units_sold], sales_Data[product_id],sales_Data[[#This Row],[product_id]])</f>
        <v>31.794520547945204</v>
      </c>
      <c r="J993">
        <f>_xlfn.XLOOKUP(sales_Data[[#This Row],[product_id]],sales_Data[product_id],sales_Data[unit_price])</f>
        <v>12.5</v>
      </c>
    </row>
    <row r="994" spans="1:10" x14ac:dyDescent="0.3">
      <c r="A994" t="s">
        <v>1010</v>
      </c>
      <c r="B994" s="1">
        <v>45856</v>
      </c>
      <c r="C994" t="s">
        <v>15</v>
      </c>
      <c r="D994" t="s">
        <v>16</v>
      </c>
      <c r="E994">
        <v>35</v>
      </c>
      <c r="F994">
        <v>7</v>
      </c>
      <c r="G994">
        <v>0</v>
      </c>
      <c r="H994">
        <v>245</v>
      </c>
      <c r="I994">
        <f>AVERAGEIFS(sales_Data[units_sold], sales_Data[product_id],sales_Data[[#This Row],[product_id]])</f>
        <v>30.438356164383563</v>
      </c>
      <c r="J994">
        <f>_xlfn.XLOOKUP(sales_Data[[#This Row],[product_id]],sales_Data[product_id],sales_Data[unit_price])</f>
        <v>35</v>
      </c>
    </row>
    <row r="995" spans="1:10" x14ac:dyDescent="0.3">
      <c r="A995" t="s">
        <v>1011</v>
      </c>
      <c r="B995" s="1">
        <v>45856</v>
      </c>
      <c r="C995" t="s">
        <v>18</v>
      </c>
      <c r="D995" t="s">
        <v>19</v>
      </c>
      <c r="E995">
        <v>120</v>
      </c>
      <c r="F995">
        <v>44</v>
      </c>
      <c r="G995">
        <v>0</v>
      </c>
      <c r="H995">
        <v>5280</v>
      </c>
      <c r="I995">
        <f>AVERAGEIFS(sales_Data[units_sold], sales_Data[product_id],sales_Data[[#This Row],[product_id]])</f>
        <v>30.473972602739725</v>
      </c>
      <c r="J995">
        <f>_xlfn.XLOOKUP(sales_Data[[#This Row],[product_id]],sales_Data[product_id],sales_Data[unit_price])</f>
        <v>120</v>
      </c>
    </row>
    <row r="996" spans="1:10" x14ac:dyDescent="0.3">
      <c r="A996" t="s">
        <v>1012</v>
      </c>
      <c r="B996" s="1">
        <v>45856</v>
      </c>
      <c r="C996" t="s">
        <v>21</v>
      </c>
      <c r="D996" t="s">
        <v>22</v>
      </c>
      <c r="E996">
        <v>25</v>
      </c>
      <c r="F996">
        <v>30</v>
      </c>
      <c r="G996">
        <v>0</v>
      </c>
      <c r="H996">
        <v>750</v>
      </c>
      <c r="I996">
        <f>AVERAGEIFS(sales_Data[units_sold], sales_Data[product_id],sales_Data[[#This Row],[product_id]])</f>
        <v>29.463013698630139</v>
      </c>
      <c r="J996">
        <f>_xlfn.XLOOKUP(sales_Data[[#This Row],[product_id]],sales_Data[product_id],sales_Data[unit_price])</f>
        <v>25</v>
      </c>
    </row>
    <row r="997" spans="1:10" x14ac:dyDescent="0.3">
      <c r="A997" t="s">
        <v>1013</v>
      </c>
      <c r="B997" s="1">
        <v>45857</v>
      </c>
      <c r="C997" t="s">
        <v>9</v>
      </c>
      <c r="D997" t="s">
        <v>10</v>
      </c>
      <c r="E997">
        <v>45</v>
      </c>
      <c r="F997">
        <v>49</v>
      </c>
      <c r="G997">
        <v>0</v>
      </c>
      <c r="H997">
        <v>2205</v>
      </c>
      <c r="I997">
        <f>AVERAGEIFS(sales_Data[units_sold], sales_Data[product_id],sales_Data[[#This Row],[product_id]])</f>
        <v>31.479452054794521</v>
      </c>
      <c r="J997">
        <f>_xlfn.XLOOKUP(sales_Data[[#This Row],[product_id]],sales_Data[product_id],sales_Data[unit_price])</f>
        <v>45</v>
      </c>
    </row>
    <row r="998" spans="1:10" x14ac:dyDescent="0.3">
      <c r="A998" t="s">
        <v>1014</v>
      </c>
      <c r="B998" s="1">
        <v>45857</v>
      </c>
      <c r="C998" t="s">
        <v>12</v>
      </c>
      <c r="D998" t="s">
        <v>13</v>
      </c>
      <c r="E998">
        <v>12.5</v>
      </c>
      <c r="F998">
        <v>42</v>
      </c>
      <c r="G998">
        <v>0.2</v>
      </c>
      <c r="H998">
        <v>420</v>
      </c>
      <c r="I998">
        <f>AVERAGEIFS(sales_Data[units_sold], sales_Data[product_id],sales_Data[[#This Row],[product_id]])</f>
        <v>31.794520547945204</v>
      </c>
      <c r="J998">
        <f>_xlfn.XLOOKUP(sales_Data[[#This Row],[product_id]],sales_Data[product_id],sales_Data[unit_price])</f>
        <v>12.5</v>
      </c>
    </row>
    <row r="999" spans="1:10" x14ac:dyDescent="0.3">
      <c r="A999" t="s">
        <v>1015</v>
      </c>
      <c r="B999" s="1">
        <v>45857</v>
      </c>
      <c r="C999" t="s">
        <v>15</v>
      </c>
      <c r="D999" t="s">
        <v>16</v>
      </c>
      <c r="E999">
        <v>35</v>
      </c>
      <c r="F999">
        <v>58</v>
      </c>
      <c r="G999">
        <v>0.2</v>
      </c>
      <c r="H999">
        <v>1624</v>
      </c>
      <c r="I999">
        <f>AVERAGEIFS(sales_Data[units_sold], sales_Data[product_id],sales_Data[[#This Row],[product_id]])</f>
        <v>30.438356164383563</v>
      </c>
      <c r="J999">
        <f>_xlfn.XLOOKUP(sales_Data[[#This Row],[product_id]],sales_Data[product_id],sales_Data[unit_price])</f>
        <v>35</v>
      </c>
    </row>
    <row r="1000" spans="1:10" x14ac:dyDescent="0.3">
      <c r="A1000" t="s">
        <v>1016</v>
      </c>
      <c r="B1000" s="1">
        <v>45857</v>
      </c>
      <c r="C1000" t="s">
        <v>18</v>
      </c>
      <c r="D1000" t="s">
        <v>19</v>
      </c>
      <c r="E1000">
        <v>120</v>
      </c>
      <c r="F1000">
        <v>12</v>
      </c>
      <c r="G1000">
        <v>0</v>
      </c>
      <c r="H1000">
        <v>1440</v>
      </c>
      <c r="I1000">
        <f>AVERAGEIFS(sales_Data[units_sold], sales_Data[product_id],sales_Data[[#This Row],[product_id]])</f>
        <v>30.473972602739725</v>
      </c>
      <c r="J1000">
        <f>_xlfn.XLOOKUP(sales_Data[[#This Row],[product_id]],sales_Data[product_id],sales_Data[unit_price])</f>
        <v>120</v>
      </c>
    </row>
    <row r="1001" spans="1:10" x14ac:dyDescent="0.3">
      <c r="A1001" t="s">
        <v>1017</v>
      </c>
      <c r="B1001" s="1">
        <v>45857</v>
      </c>
      <c r="C1001" t="s">
        <v>21</v>
      </c>
      <c r="D1001" t="s">
        <v>22</v>
      </c>
      <c r="E1001">
        <v>25</v>
      </c>
      <c r="F1001">
        <v>70</v>
      </c>
      <c r="G1001">
        <v>0</v>
      </c>
      <c r="H1001">
        <v>1750</v>
      </c>
      <c r="I1001">
        <f>AVERAGEIFS(sales_Data[units_sold], sales_Data[product_id],sales_Data[[#This Row],[product_id]])</f>
        <v>29.463013698630139</v>
      </c>
      <c r="J1001">
        <f>_xlfn.XLOOKUP(sales_Data[[#This Row],[product_id]],sales_Data[product_id],sales_Data[unit_price])</f>
        <v>25</v>
      </c>
    </row>
    <row r="1002" spans="1:10" x14ac:dyDescent="0.3">
      <c r="A1002" t="s">
        <v>1018</v>
      </c>
      <c r="B1002" s="1">
        <v>45858</v>
      </c>
      <c r="C1002" t="s">
        <v>9</v>
      </c>
      <c r="D1002" t="s">
        <v>10</v>
      </c>
      <c r="E1002">
        <v>45</v>
      </c>
      <c r="F1002">
        <v>69</v>
      </c>
      <c r="G1002">
        <v>0.2</v>
      </c>
      <c r="H1002">
        <v>2484</v>
      </c>
      <c r="I1002">
        <f>AVERAGEIFS(sales_Data[units_sold], sales_Data[product_id],sales_Data[[#This Row],[product_id]])</f>
        <v>31.479452054794521</v>
      </c>
      <c r="J1002">
        <f>_xlfn.XLOOKUP(sales_Data[[#This Row],[product_id]],sales_Data[product_id],sales_Data[unit_price])</f>
        <v>45</v>
      </c>
    </row>
    <row r="1003" spans="1:10" x14ac:dyDescent="0.3">
      <c r="A1003" t="s">
        <v>1019</v>
      </c>
      <c r="B1003" s="1">
        <v>45858</v>
      </c>
      <c r="C1003" t="s">
        <v>12</v>
      </c>
      <c r="D1003" t="s">
        <v>13</v>
      </c>
      <c r="E1003">
        <v>12.5</v>
      </c>
      <c r="F1003">
        <v>66</v>
      </c>
      <c r="G1003">
        <v>0</v>
      </c>
      <c r="H1003">
        <v>825</v>
      </c>
      <c r="I1003">
        <f>AVERAGEIFS(sales_Data[units_sold], sales_Data[product_id],sales_Data[[#This Row],[product_id]])</f>
        <v>31.794520547945204</v>
      </c>
      <c r="J1003">
        <f>_xlfn.XLOOKUP(sales_Data[[#This Row],[product_id]],sales_Data[product_id],sales_Data[unit_price])</f>
        <v>12.5</v>
      </c>
    </row>
    <row r="1004" spans="1:10" x14ac:dyDescent="0.3">
      <c r="A1004" t="s">
        <v>1020</v>
      </c>
      <c r="B1004" s="1">
        <v>45858</v>
      </c>
      <c r="C1004" t="s">
        <v>15</v>
      </c>
      <c r="D1004" t="s">
        <v>16</v>
      </c>
      <c r="E1004">
        <v>35</v>
      </c>
      <c r="F1004">
        <v>52</v>
      </c>
      <c r="G1004">
        <v>0.1</v>
      </c>
      <c r="H1004">
        <v>1638</v>
      </c>
      <c r="I1004">
        <f>AVERAGEIFS(sales_Data[units_sold], sales_Data[product_id],sales_Data[[#This Row],[product_id]])</f>
        <v>30.438356164383563</v>
      </c>
      <c r="J1004">
        <f>_xlfn.XLOOKUP(sales_Data[[#This Row],[product_id]],sales_Data[product_id],sales_Data[unit_price])</f>
        <v>35</v>
      </c>
    </row>
    <row r="1005" spans="1:10" x14ac:dyDescent="0.3">
      <c r="A1005" t="s">
        <v>1021</v>
      </c>
      <c r="B1005" s="1">
        <v>45858</v>
      </c>
      <c r="C1005" t="s">
        <v>18</v>
      </c>
      <c r="D1005" t="s">
        <v>19</v>
      </c>
      <c r="E1005">
        <v>120</v>
      </c>
      <c r="F1005">
        <v>36</v>
      </c>
      <c r="G1005">
        <v>0</v>
      </c>
      <c r="H1005">
        <v>4320</v>
      </c>
      <c r="I1005">
        <f>AVERAGEIFS(sales_Data[units_sold], sales_Data[product_id],sales_Data[[#This Row],[product_id]])</f>
        <v>30.473972602739725</v>
      </c>
      <c r="J1005">
        <f>_xlfn.XLOOKUP(sales_Data[[#This Row],[product_id]],sales_Data[product_id],sales_Data[unit_price])</f>
        <v>120</v>
      </c>
    </row>
    <row r="1006" spans="1:10" x14ac:dyDescent="0.3">
      <c r="A1006" t="s">
        <v>1022</v>
      </c>
      <c r="B1006" s="1">
        <v>45858</v>
      </c>
      <c r="C1006" t="s">
        <v>21</v>
      </c>
      <c r="D1006" t="s">
        <v>22</v>
      </c>
      <c r="E1006">
        <v>25</v>
      </c>
      <c r="F1006">
        <v>37</v>
      </c>
      <c r="G1006">
        <v>0</v>
      </c>
      <c r="H1006">
        <v>925</v>
      </c>
      <c r="I1006">
        <f>AVERAGEIFS(sales_Data[units_sold], sales_Data[product_id],sales_Data[[#This Row],[product_id]])</f>
        <v>29.463013698630139</v>
      </c>
      <c r="J1006">
        <f>_xlfn.XLOOKUP(sales_Data[[#This Row],[product_id]],sales_Data[product_id],sales_Data[unit_price])</f>
        <v>25</v>
      </c>
    </row>
    <row r="1007" spans="1:10" x14ac:dyDescent="0.3">
      <c r="A1007" t="s">
        <v>1023</v>
      </c>
      <c r="B1007" s="1">
        <v>45859</v>
      </c>
      <c r="C1007" t="s">
        <v>9</v>
      </c>
      <c r="D1007" t="s">
        <v>10</v>
      </c>
      <c r="E1007">
        <v>45</v>
      </c>
      <c r="F1007">
        <v>20</v>
      </c>
      <c r="G1007">
        <v>0.1</v>
      </c>
      <c r="H1007">
        <v>810</v>
      </c>
      <c r="I1007">
        <f>AVERAGEIFS(sales_Data[units_sold], sales_Data[product_id],sales_Data[[#This Row],[product_id]])</f>
        <v>31.479452054794521</v>
      </c>
      <c r="J1007">
        <f>_xlfn.XLOOKUP(sales_Data[[#This Row],[product_id]],sales_Data[product_id],sales_Data[unit_price])</f>
        <v>45</v>
      </c>
    </row>
    <row r="1008" spans="1:10" x14ac:dyDescent="0.3">
      <c r="A1008" t="s">
        <v>1024</v>
      </c>
      <c r="B1008" s="1">
        <v>45859</v>
      </c>
      <c r="C1008" t="s">
        <v>12</v>
      </c>
      <c r="D1008" t="s">
        <v>13</v>
      </c>
      <c r="E1008">
        <v>12.5</v>
      </c>
      <c r="F1008">
        <v>42</v>
      </c>
      <c r="G1008">
        <v>0</v>
      </c>
      <c r="H1008">
        <v>525</v>
      </c>
      <c r="I1008">
        <f>AVERAGEIFS(sales_Data[units_sold], sales_Data[product_id],sales_Data[[#This Row],[product_id]])</f>
        <v>31.794520547945204</v>
      </c>
      <c r="J1008">
        <f>_xlfn.XLOOKUP(sales_Data[[#This Row],[product_id]],sales_Data[product_id],sales_Data[unit_price])</f>
        <v>12.5</v>
      </c>
    </row>
    <row r="1009" spans="1:10" x14ac:dyDescent="0.3">
      <c r="A1009" t="s">
        <v>1025</v>
      </c>
      <c r="B1009" s="1">
        <v>45859</v>
      </c>
      <c r="C1009" t="s">
        <v>15</v>
      </c>
      <c r="D1009" t="s">
        <v>16</v>
      </c>
      <c r="E1009">
        <v>35</v>
      </c>
      <c r="F1009">
        <v>31</v>
      </c>
      <c r="G1009">
        <v>0</v>
      </c>
      <c r="H1009">
        <v>1085</v>
      </c>
      <c r="I1009">
        <f>AVERAGEIFS(sales_Data[units_sold], sales_Data[product_id],sales_Data[[#This Row],[product_id]])</f>
        <v>30.438356164383563</v>
      </c>
      <c r="J1009">
        <f>_xlfn.XLOOKUP(sales_Data[[#This Row],[product_id]],sales_Data[product_id],sales_Data[unit_price])</f>
        <v>35</v>
      </c>
    </row>
    <row r="1010" spans="1:10" x14ac:dyDescent="0.3">
      <c r="A1010" t="s">
        <v>1026</v>
      </c>
      <c r="B1010" s="1">
        <v>45859</v>
      </c>
      <c r="C1010" t="s">
        <v>18</v>
      </c>
      <c r="D1010" t="s">
        <v>19</v>
      </c>
      <c r="E1010">
        <v>120</v>
      </c>
      <c r="F1010">
        <v>42</v>
      </c>
      <c r="G1010">
        <v>0.1</v>
      </c>
      <c r="H1010">
        <v>4536</v>
      </c>
      <c r="I1010">
        <f>AVERAGEIFS(sales_Data[units_sold], sales_Data[product_id],sales_Data[[#This Row],[product_id]])</f>
        <v>30.473972602739725</v>
      </c>
      <c r="J1010">
        <f>_xlfn.XLOOKUP(sales_Data[[#This Row],[product_id]],sales_Data[product_id],sales_Data[unit_price])</f>
        <v>120</v>
      </c>
    </row>
    <row r="1011" spans="1:10" x14ac:dyDescent="0.3">
      <c r="A1011" t="s">
        <v>1027</v>
      </c>
      <c r="B1011" s="1">
        <v>45859</v>
      </c>
      <c r="C1011" t="s">
        <v>21</v>
      </c>
      <c r="D1011" t="s">
        <v>22</v>
      </c>
      <c r="E1011">
        <v>25</v>
      </c>
      <c r="F1011">
        <v>10</v>
      </c>
      <c r="G1011">
        <v>0</v>
      </c>
      <c r="H1011">
        <v>250</v>
      </c>
      <c r="I1011">
        <f>AVERAGEIFS(sales_Data[units_sold], sales_Data[product_id],sales_Data[[#This Row],[product_id]])</f>
        <v>29.463013698630139</v>
      </c>
      <c r="J1011">
        <f>_xlfn.XLOOKUP(sales_Data[[#This Row],[product_id]],sales_Data[product_id],sales_Data[unit_price])</f>
        <v>25</v>
      </c>
    </row>
    <row r="1012" spans="1:10" x14ac:dyDescent="0.3">
      <c r="A1012" t="s">
        <v>1028</v>
      </c>
      <c r="B1012" s="1">
        <v>45860</v>
      </c>
      <c r="C1012" t="s">
        <v>9</v>
      </c>
      <c r="D1012" t="s">
        <v>10</v>
      </c>
      <c r="E1012">
        <v>45</v>
      </c>
      <c r="F1012">
        <v>41</v>
      </c>
      <c r="G1012">
        <v>0</v>
      </c>
      <c r="H1012">
        <v>1845</v>
      </c>
      <c r="I1012">
        <f>AVERAGEIFS(sales_Data[units_sold], sales_Data[product_id],sales_Data[[#This Row],[product_id]])</f>
        <v>31.479452054794521</v>
      </c>
      <c r="J1012">
        <f>_xlfn.XLOOKUP(sales_Data[[#This Row],[product_id]],sales_Data[product_id],sales_Data[unit_price])</f>
        <v>45</v>
      </c>
    </row>
    <row r="1013" spans="1:10" x14ac:dyDescent="0.3">
      <c r="A1013" t="s">
        <v>1029</v>
      </c>
      <c r="B1013" s="1">
        <v>45860</v>
      </c>
      <c r="C1013" t="s">
        <v>12</v>
      </c>
      <c r="D1013" t="s">
        <v>13</v>
      </c>
      <c r="E1013">
        <v>12.5</v>
      </c>
      <c r="F1013">
        <v>12</v>
      </c>
      <c r="G1013">
        <v>0</v>
      </c>
      <c r="H1013">
        <v>150</v>
      </c>
      <c r="I1013">
        <f>AVERAGEIFS(sales_Data[units_sold], sales_Data[product_id],sales_Data[[#This Row],[product_id]])</f>
        <v>31.794520547945204</v>
      </c>
      <c r="J1013">
        <f>_xlfn.XLOOKUP(sales_Data[[#This Row],[product_id]],sales_Data[product_id],sales_Data[unit_price])</f>
        <v>12.5</v>
      </c>
    </row>
    <row r="1014" spans="1:10" x14ac:dyDescent="0.3">
      <c r="A1014" t="s">
        <v>1030</v>
      </c>
      <c r="B1014" s="1">
        <v>45860</v>
      </c>
      <c r="C1014" t="s">
        <v>15</v>
      </c>
      <c r="D1014" t="s">
        <v>16</v>
      </c>
      <c r="E1014">
        <v>35</v>
      </c>
      <c r="F1014">
        <v>27</v>
      </c>
      <c r="G1014">
        <v>0.1</v>
      </c>
      <c r="H1014">
        <v>850.5</v>
      </c>
      <c r="I1014">
        <f>AVERAGEIFS(sales_Data[units_sold], sales_Data[product_id],sales_Data[[#This Row],[product_id]])</f>
        <v>30.438356164383563</v>
      </c>
      <c r="J1014">
        <f>_xlfn.XLOOKUP(sales_Data[[#This Row],[product_id]],sales_Data[product_id],sales_Data[unit_price])</f>
        <v>35</v>
      </c>
    </row>
    <row r="1015" spans="1:10" x14ac:dyDescent="0.3">
      <c r="A1015" t="s">
        <v>1031</v>
      </c>
      <c r="B1015" s="1">
        <v>45860</v>
      </c>
      <c r="C1015" t="s">
        <v>18</v>
      </c>
      <c r="D1015" t="s">
        <v>19</v>
      </c>
      <c r="E1015">
        <v>120</v>
      </c>
      <c r="F1015">
        <v>21</v>
      </c>
      <c r="G1015">
        <v>0</v>
      </c>
      <c r="H1015">
        <v>2520</v>
      </c>
      <c r="I1015">
        <f>AVERAGEIFS(sales_Data[units_sold], sales_Data[product_id],sales_Data[[#This Row],[product_id]])</f>
        <v>30.473972602739725</v>
      </c>
      <c r="J1015">
        <f>_xlfn.XLOOKUP(sales_Data[[#This Row],[product_id]],sales_Data[product_id],sales_Data[unit_price])</f>
        <v>120</v>
      </c>
    </row>
    <row r="1016" spans="1:10" x14ac:dyDescent="0.3">
      <c r="A1016" t="s">
        <v>1032</v>
      </c>
      <c r="B1016" s="1">
        <v>45860</v>
      </c>
      <c r="C1016" t="s">
        <v>21</v>
      </c>
      <c r="D1016" t="s">
        <v>22</v>
      </c>
      <c r="E1016">
        <v>25</v>
      </c>
      <c r="F1016">
        <v>29</v>
      </c>
      <c r="G1016">
        <v>0.1</v>
      </c>
      <c r="H1016">
        <v>652.5</v>
      </c>
      <c r="I1016">
        <f>AVERAGEIFS(sales_Data[units_sold], sales_Data[product_id],sales_Data[[#This Row],[product_id]])</f>
        <v>29.463013698630139</v>
      </c>
      <c r="J1016">
        <f>_xlfn.XLOOKUP(sales_Data[[#This Row],[product_id]],sales_Data[product_id],sales_Data[unit_price])</f>
        <v>25</v>
      </c>
    </row>
    <row r="1017" spans="1:10" x14ac:dyDescent="0.3">
      <c r="A1017" t="s">
        <v>1033</v>
      </c>
      <c r="B1017" s="1">
        <v>45861</v>
      </c>
      <c r="C1017" t="s">
        <v>9</v>
      </c>
      <c r="D1017" t="s">
        <v>10</v>
      </c>
      <c r="E1017">
        <v>45</v>
      </c>
      <c r="F1017">
        <v>35</v>
      </c>
      <c r="G1017">
        <v>0.2</v>
      </c>
      <c r="H1017">
        <v>1260</v>
      </c>
      <c r="I1017">
        <f>AVERAGEIFS(sales_Data[units_sold], sales_Data[product_id],sales_Data[[#This Row],[product_id]])</f>
        <v>31.479452054794521</v>
      </c>
      <c r="J1017">
        <f>_xlfn.XLOOKUP(sales_Data[[#This Row],[product_id]],sales_Data[product_id],sales_Data[unit_price])</f>
        <v>45</v>
      </c>
    </row>
    <row r="1018" spans="1:10" x14ac:dyDescent="0.3">
      <c r="A1018" t="s">
        <v>1034</v>
      </c>
      <c r="B1018" s="1">
        <v>45861</v>
      </c>
      <c r="C1018" t="s">
        <v>12</v>
      </c>
      <c r="D1018" t="s">
        <v>13</v>
      </c>
      <c r="E1018">
        <v>12.5</v>
      </c>
      <c r="F1018">
        <v>8</v>
      </c>
      <c r="G1018">
        <v>0</v>
      </c>
      <c r="H1018">
        <v>100</v>
      </c>
      <c r="I1018">
        <f>AVERAGEIFS(sales_Data[units_sold], sales_Data[product_id],sales_Data[[#This Row],[product_id]])</f>
        <v>31.794520547945204</v>
      </c>
      <c r="J1018">
        <f>_xlfn.XLOOKUP(sales_Data[[#This Row],[product_id]],sales_Data[product_id],sales_Data[unit_price])</f>
        <v>12.5</v>
      </c>
    </row>
    <row r="1019" spans="1:10" x14ac:dyDescent="0.3">
      <c r="A1019" t="s">
        <v>1035</v>
      </c>
      <c r="B1019" s="1">
        <v>45861</v>
      </c>
      <c r="C1019" t="s">
        <v>15</v>
      </c>
      <c r="D1019" t="s">
        <v>16</v>
      </c>
      <c r="E1019">
        <v>35</v>
      </c>
      <c r="F1019">
        <v>26</v>
      </c>
      <c r="G1019">
        <v>0</v>
      </c>
      <c r="H1019">
        <v>910</v>
      </c>
      <c r="I1019">
        <f>AVERAGEIFS(sales_Data[units_sold], sales_Data[product_id],sales_Data[[#This Row],[product_id]])</f>
        <v>30.438356164383563</v>
      </c>
      <c r="J1019">
        <f>_xlfn.XLOOKUP(sales_Data[[#This Row],[product_id]],sales_Data[product_id],sales_Data[unit_price])</f>
        <v>35</v>
      </c>
    </row>
    <row r="1020" spans="1:10" x14ac:dyDescent="0.3">
      <c r="A1020" t="s">
        <v>1036</v>
      </c>
      <c r="B1020" s="1">
        <v>45861</v>
      </c>
      <c r="C1020" t="s">
        <v>18</v>
      </c>
      <c r="D1020" t="s">
        <v>19</v>
      </c>
      <c r="E1020">
        <v>120</v>
      </c>
      <c r="F1020">
        <v>27</v>
      </c>
      <c r="G1020">
        <v>0</v>
      </c>
      <c r="H1020">
        <v>3240</v>
      </c>
      <c r="I1020">
        <f>AVERAGEIFS(sales_Data[units_sold], sales_Data[product_id],sales_Data[[#This Row],[product_id]])</f>
        <v>30.473972602739725</v>
      </c>
      <c r="J1020">
        <f>_xlfn.XLOOKUP(sales_Data[[#This Row],[product_id]],sales_Data[product_id],sales_Data[unit_price])</f>
        <v>120</v>
      </c>
    </row>
    <row r="1021" spans="1:10" x14ac:dyDescent="0.3">
      <c r="A1021" t="s">
        <v>1037</v>
      </c>
      <c r="B1021" s="1">
        <v>45861</v>
      </c>
      <c r="C1021" t="s">
        <v>21</v>
      </c>
      <c r="D1021" t="s">
        <v>22</v>
      </c>
      <c r="E1021">
        <v>25</v>
      </c>
      <c r="F1021">
        <v>22</v>
      </c>
      <c r="G1021">
        <v>0.1</v>
      </c>
      <c r="H1021">
        <v>495</v>
      </c>
      <c r="I1021">
        <f>AVERAGEIFS(sales_Data[units_sold], sales_Data[product_id],sales_Data[[#This Row],[product_id]])</f>
        <v>29.463013698630139</v>
      </c>
      <c r="J1021">
        <f>_xlfn.XLOOKUP(sales_Data[[#This Row],[product_id]],sales_Data[product_id],sales_Data[unit_price])</f>
        <v>25</v>
      </c>
    </row>
    <row r="1022" spans="1:10" x14ac:dyDescent="0.3">
      <c r="A1022" t="s">
        <v>1038</v>
      </c>
      <c r="B1022" s="1">
        <v>45862</v>
      </c>
      <c r="C1022" t="s">
        <v>9</v>
      </c>
      <c r="D1022" t="s">
        <v>10</v>
      </c>
      <c r="E1022">
        <v>45</v>
      </c>
      <c r="F1022">
        <v>22</v>
      </c>
      <c r="G1022">
        <v>0.1</v>
      </c>
      <c r="H1022">
        <v>891</v>
      </c>
      <c r="I1022">
        <f>AVERAGEIFS(sales_Data[units_sold], sales_Data[product_id],sales_Data[[#This Row],[product_id]])</f>
        <v>31.479452054794521</v>
      </c>
      <c r="J1022">
        <f>_xlfn.XLOOKUP(sales_Data[[#This Row],[product_id]],sales_Data[product_id],sales_Data[unit_price])</f>
        <v>45</v>
      </c>
    </row>
    <row r="1023" spans="1:10" x14ac:dyDescent="0.3">
      <c r="A1023" t="s">
        <v>1039</v>
      </c>
      <c r="B1023" s="1">
        <v>45862</v>
      </c>
      <c r="C1023" t="s">
        <v>12</v>
      </c>
      <c r="D1023" t="s">
        <v>13</v>
      </c>
      <c r="E1023">
        <v>12.5</v>
      </c>
      <c r="F1023">
        <v>41</v>
      </c>
      <c r="G1023">
        <v>0</v>
      </c>
      <c r="H1023">
        <v>512.5</v>
      </c>
      <c r="I1023">
        <f>AVERAGEIFS(sales_Data[units_sold], sales_Data[product_id],sales_Data[[#This Row],[product_id]])</f>
        <v>31.794520547945204</v>
      </c>
      <c r="J1023">
        <f>_xlfn.XLOOKUP(sales_Data[[#This Row],[product_id]],sales_Data[product_id],sales_Data[unit_price])</f>
        <v>12.5</v>
      </c>
    </row>
    <row r="1024" spans="1:10" x14ac:dyDescent="0.3">
      <c r="A1024" t="s">
        <v>1040</v>
      </c>
      <c r="B1024" s="1">
        <v>45862</v>
      </c>
      <c r="C1024" t="s">
        <v>15</v>
      </c>
      <c r="D1024" t="s">
        <v>16</v>
      </c>
      <c r="E1024">
        <v>35</v>
      </c>
      <c r="F1024">
        <v>14</v>
      </c>
      <c r="G1024">
        <v>0</v>
      </c>
      <c r="H1024">
        <v>490</v>
      </c>
      <c r="I1024">
        <f>AVERAGEIFS(sales_Data[units_sold], sales_Data[product_id],sales_Data[[#This Row],[product_id]])</f>
        <v>30.438356164383563</v>
      </c>
      <c r="J1024">
        <f>_xlfn.XLOOKUP(sales_Data[[#This Row],[product_id]],sales_Data[product_id],sales_Data[unit_price])</f>
        <v>35</v>
      </c>
    </row>
    <row r="1025" spans="1:10" x14ac:dyDescent="0.3">
      <c r="A1025" t="s">
        <v>1041</v>
      </c>
      <c r="B1025" s="1">
        <v>45862</v>
      </c>
      <c r="C1025" t="s">
        <v>18</v>
      </c>
      <c r="D1025" t="s">
        <v>19</v>
      </c>
      <c r="E1025">
        <v>120</v>
      </c>
      <c r="F1025">
        <v>49</v>
      </c>
      <c r="G1025">
        <v>0</v>
      </c>
      <c r="H1025">
        <v>5880</v>
      </c>
      <c r="I1025">
        <f>AVERAGEIFS(sales_Data[units_sold], sales_Data[product_id],sales_Data[[#This Row],[product_id]])</f>
        <v>30.473972602739725</v>
      </c>
      <c r="J1025">
        <f>_xlfn.XLOOKUP(sales_Data[[#This Row],[product_id]],sales_Data[product_id],sales_Data[unit_price])</f>
        <v>120</v>
      </c>
    </row>
    <row r="1026" spans="1:10" x14ac:dyDescent="0.3">
      <c r="A1026" t="s">
        <v>1042</v>
      </c>
      <c r="B1026" s="1">
        <v>45862</v>
      </c>
      <c r="C1026" t="s">
        <v>21</v>
      </c>
      <c r="D1026" t="s">
        <v>22</v>
      </c>
      <c r="E1026">
        <v>25</v>
      </c>
      <c r="F1026">
        <v>42</v>
      </c>
      <c r="G1026">
        <v>0</v>
      </c>
      <c r="H1026">
        <v>1050</v>
      </c>
      <c r="I1026">
        <f>AVERAGEIFS(sales_Data[units_sold], sales_Data[product_id],sales_Data[[#This Row],[product_id]])</f>
        <v>29.463013698630139</v>
      </c>
      <c r="J1026">
        <f>_xlfn.XLOOKUP(sales_Data[[#This Row],[product_id]],sales_Data[product_id],sales_Data[unit_price])</f>
        <v>25</v>
      </c>
    </row>
    <row r="1027" spans="1:10" x14ac:dyDescent="0.3">
      <c r="A1027" t="s">
        <v>1043</v>
      </c>
      <c r="B1027" s="1">
        <v>45863</v>
      </c>
      <c r="C1027" t="s">
        <v>9</v>
      </c>
      <c r="D1027" t="s">
        <v>10</v>
      </c>
      <c r="E1027">
        <v>45</v>
      </c>
      <c r="F1027">
        <v>35</v>
      </c>
      <c r="G1027">
        <v>0</v>
      </c>
      <c r="H1027">
        <v>1575</v>
      </c>
      <c r="I1027">
        <f>AVERAGEIFS(sales_Data[units_sold], sales_Data[product_id],sales_Data[[#This Row],[product_id]])</f>
        <v>31.479452054794521</v>
      </c>
      <c r="J1027">
        <f>_xlfn.XLOOKUP(sales_Data[[#This Row],[product_id]],sales_Data[product_id],sales_Data[unit_price])</f>
        <v>45</v>
      </c>
    </row>
    <row r="1028" spans="1:10" x14ac:dyDescent="0.3">
      <c r="A1028" t="s">
        <v>1044</v>
      </c>
      <c r="B1028" s="1">
        <v>45863</v>
      </c>
      <c r="C1028" t="s">
        <v>12</v>
      </c>
      <c r="D1028" t="s">
        <v>13</v>
      </c>
      <c r="E1028">
        <v>12.5</v>
      </c>
      <c r="F1028">
        <v>20</v>
      </c>
      <c r="G1028">
        <v>0</v>
      </c>
      <c r="H1028">
        <v>250</v>
      </c>
      <c r="I1028">
        <f>AVERAGEIFS(sales_Data[units_sold], sales_Data[product_id],sales_Data[[#This Row],[product_id]])</f>
        <v>31.794520547945204</v>
      </c>
      <c r="J1028">
        <f>_xlfn.XLOOKUP(sales_Data[[#This Row],[product_id]],sales_Data[product_id],sales_Data[unit_price])</f>
        <v>12.5</v>
      </c>
    </row>
    <row r="1029" spans="1:10" x14ac:dyDescent="0.3">
      <c r="A1029" t="s">
        <v>1045</v>
      </c>
      <c r="B1029" s="1">
        <v>45863</v>
      </c>
      <c r="C1029" t="s">
        <v>15</v>
      </c>
      <c r="D1029" t="s">
        <v>16</v>
      </c>
      <c r="E1029">
        <v>35</v>
      </c>
      <c r="F1029">
        <v>45</v>
      </c>
      <c r="G1029">
        <v>0.1</v>
      </c>
      <c r="H1029">
        <v>1417.5</v>
      </c>
      <c r="I1029">
        <f>AVERAGEIFS(sales_Data[units_sold], sales_Data[product_id],sales_Data[[#This Row],[product_id]])</f>
        <v>30.438356164383563</v>
      </c>
      <c r="J1029">
        <f>_xlfn.XLOOKUP(sales_Data[[#This Row],[product_id]],sales_Data[product_id],sales_Data[unit_price])</f>
        <v>35</v>
      </c>
    </row>
    <row r="1030" spans="1:10" x14ac:dyDescent="0.3">
      <c r="A1030" t="s">
        <v>1046</v>
      </c>
      <c r="B1030" s="1">
        <v>45863</v>
      </c>
      <c r="C1030" t="s">
        <v>18</v>
      </c>
      <c r="D1030" t="s">
        <v>19</v>
      </c>
      <c r="E1030">
        <v>120</v>
      </c>
      <c r="F1030">
        <v>11</v>
      </c>
      <c r="G1030">
        <v>0.1</v>
      </c>
      <c r="H1030">
        <v>1188</v>
      </c>
      <c r="I1030">
        <f>AVERAGEIFS(sales_Data[units_sold], sales_Data[product_id],sales_Data[[#This Row],[product_id]])</f>
        <v>30.473972602739725</v>
      </c>
      <c r="J1030">
        <f>_xlfn.XLOOKUP(sales_Data[[#This Row],[product_id]],sales_Data[product_id],sales_Data[unit_price])</f>
        <v>120</v>
      </c>
    </row>
    <row r="1031" spans="1:10" x14ac:dyDescent="0.3">
      <c r="A1031" t="s">
        <v>1047</v>
      </c>
      <c r="B1031" s="1">
        <v>45863</v>
      </c>
      <c r="C1031" t="s">
        <v>21</v>
      </c>
      <c r="D1031" t="s">
        <v>22</v>
      </c>
      <c r="E1031">
        <v>25</v>
      </c>
      <c r="F1031">
        <v>24</v>
      </c>
      <c r="G1031">
        <v>0</v>
      </c>
      <c r="H1031">
        <v>600</v>
      </c>
      <c r="I1031">
        <f>AVERAGEIFS(sales_Data[units_sold], sales_Data[product_id],sales_Data[[#This Row],[product_id]])</f>
        <v>29.463013698630139</v>
      </c>
      <c r="J1031">
        <f>_xlfn.XLOOKUP(sales_Data[[#This Row],[product_id]],sales_Data[product_id],sales_Data[unit_price])</f>
        <v>25</v>
      </c>
    </row>
    <row r="1032" spans="1:10" x14ac:dyDescent="0.3">
      <c r="A1032" t="s">
        <v>1048</v>
      </c>
      <c r="B1032" s="1">
        <v>45864</v>
      </c>
      <c r="C1032" t="s">
        <v>9</v>
      </c>
      <c r="D1032" t="s">
        <v>10</v>
      </c>
      <c r="E1032">
        <v>45</v>
      </c>
      <c r="F1032">
        <v>7</v>
      </c>
      <c r="G1032">
        <v>0</v>
      </c>
      <c r="H1032">
        <v>315</v>
      </c>
      <c r="I1032">
        <f>AVERAGEIFS(sales_Data[units_sold], sales_Data[product_id],sales_Data[[#This Row],[product_id]])</f>
        <v>31.479452054794521</v>
      </c>
      <c r="J1032">
        <f>_xlfn.XLOOKUP(sales_Data[[#This Row],[product_id]],sales_Data[product_id],sales_Data[unit_price])</f>
        <v>45</v>
      </c>
    </row>
    <row r="1033" spans="1:10" x14ac:dyDescent="0.3">
      <c r="A1033" t="s">
        <v>1049</v>
      </c>
      <c r="B1033" s="1">
        <v>45864</v>
      </c>
      <c r="C1033" t="s">
        <v>12</v>
      </c>
      <c r="D1033" t="s">
        <v>13</v>
      </c>
      <c r="E1033">
        <v>12.5</v>
      </c>
      <c r="F1033">
        <v>43</v>
      </c>
      <c r="G1033">
        <v>0.2</v>
      </c>
      <c r="H1033">
        <v>430</v>
      </c>
      <c r="I1033">
        <f>AVERAGEIFS(sales_Data[units_sold], sales_Data[product_id],sales_Data[[#This Row],[product_id]])</f>
        <v>31.794520547945204</v>
      </c>
      <c r="J1033">
        <f>_xlfn.XLOOKUP(sales_Data[[#This Row],[product_id]],sales_Data[product_id],sales_Data[unit_price])</f>
        <v>12.5</v>
      </c>
    </row>
    <row r="1034" spans="1:10" x14ac:dyDescent="0.3">
      <c r="A1034" t="s">
        <v>1050</v>
      </c>
      <c r="B1034" s="1">
        <v>45864</v>
      </c>
      <c r="C1034" t="s">
        <v>15</v>
      </c>
      <c r="D1034" t="s">
        <v>16</v>
      </c>
      <c r="E1034">
        <v>35</v>
      </c>
      <c r="F1034">
        <v>73</v>
      </c>
      <c r="G1034">
        <v>0</v>
      </c>
      <c r="H1034">
        <v>2555</v>
      </c>
      <c r="I1034">
        <f>AVERAGEIFS(sales_Data[units_sold], sales_Data[product_id],sales_Data[[#This Row],[product_id]])</f>
        <v>30.438356164383563</v>
      </c>
      <c r="J1034">
        <f>_xlfn.XLOOKUP(sales_Data[[#This Row],[product_id]],sales_Data[product_id],sales_Data[unit_price])</f>
        <v>35</v>
      </c>
    </row>
    <row r="1035" spans="1:10" x14ac:dyDescent="0.3">
      <c r="A1035" t="s">
        <v>1051</v>
      </c>
      <c r="B1035" s="1">
        <v>45864</v>
      </c>
      <c r="C1035" t="s">
        <v>18</v>
      </c>
      <c r="D1035" t="s">
        <v>19</v>
      </c>
      <c r="E1035">
        <v>120</v>
      </c>
      <c r="F1035">
        <v>16</v>
      </c>
      <c r="G1035">
        <v>0.2</v>
      </c>
      <c r="H1035">
        <v>1536</v>
      </c>
      <c r="I1035">
        <f>AVERAGEIFS(sales_Data[units_sold], sales_Data[product_id],sales_Data[[#This Row],[product_id]])</f>
        <v>30.473972602739725</v>
      </c>
      <c r="J1035">
        <f>_xlfn.XLOOKUP(sales_Data[[#This Row],[product_id]],sales_Data[product_id],sales_Data[unit_price])</f>
        <v>120</v>
      </c>
    </row>
    <row r="1036" spans="1:10" x14ac:dyDescent="0.3">
      <c r="A1036" t="s">
        <v>1052</v>
      </c>
      <c r="B1036" s="1">
        <v>45864</v>
      </c>
      <c r="C1036" t="s">
        <v>21</v>
      </c>
      <c r="D1036" t="s">
        <v>22</v>
      </c>
      <c r="E1036">
        <v>25</v>
      </c>
      <c r="F1036">
        <v>67</v>
      </c>
      <c r="G1036">
        <v>0</v>
      </c>
      <c r="H1036">
        <v>1675</v>
      </c>
      <c r="I1036">
        <f>AVERAGEIFS(sales_Data[units_sold], sales_Data[product_id],sales_Data[[#This Row],[product_id]])</f>
        <v>29.463013698630139</v>
      </c>
      <c r="J1036">
        <f>_xlfn.XLOOKUP(sales_Data[[#This Row],[product_id]],sales_Data[product_id],sales_Data[unit_price])</f>
        <v>25</v>
      </c>
    </row>
    <row r="1037" spans="1:10" x14ac:dyDescent="0.3">
      <c r="A1037" t="s">
        <v>1053</v>
      </c>
      <c r="B1037" s="1">
        <v>45865</v>
      </c>
      <c r="C1037" t="s">
        <v>9</v>
      </c>
      <c r="D1037" t="s">
        <v>10</v>
      </c>
      <c r="E1037">
        <v>45</v>
      </c>
      <c r="F1037">
        <v>19</v>
      </c>
      <c r="G1037">
        <v>0</v>
      </c>
      <c r="H1037">
        <v>855</v>
      </c>
      <c r="I1037">
        <f>AVERAGEIFS(sales_Data[units_sold], sales_Data[product_id],sales_Data[[#This Row],[product_id]])</f>
        <v>31.479452054794521</v>
      </c>
      <c r="J1037">
        <f>_xlfn.XLOOKUP(sales_Data[[#This Row],[product_id]],sales_Data[product_id],sales_Data[unit_price])</f>
        <v>45</v>
      </c>
    </row>
    <row r="1038" spans="1:10" x14ac:dyDescent="0.3">
      <c r="A1038" t="s">
        <v>1054</v>
      </c>
      <c r="B1038" s="1">
        <v>45865</v>
      </c>
      <c r="C1038" t="s">
        <v>12</v>
      </c>
      <c r="D1038" t="s">
        <v>13</v>
      </c>
      <c r="E1038">
        <v>12.5</v>
      </c>
      <c r="F1038">
        <v>42</v>
      </c>
      <c r="G1038">
        <v>0</v>
      </c>
      <c r="H1038">
        <v>525</v>
      </c>
      <c r="I1038">
        <f>AVERAGEIFS(sales_Data[units_sold], sales_Data[product_id],sales_Data[[#This Row],[product_id]])</f>
        <v>31.794520547945204</v>
      </c>
      <c r="J1038">
        <f>_xlfn.XLOOKUP(sales_Data[[#This Row],[product_id]],sales_Data[product_id],sales_Data[unit_price])</f>
        <v>12.5</v>
      </c>
    </row>
    <row r="1039" spans="1:10" x14ac:dyDescent="0.3">
      <c r="A1039" t="s">
        <v>1055</v>
      </c>
      <c r="B1039" s="1">
        <v>45865</v>
      </c>
      <c r="C1039" t="s">
        <v>15</v>
      </c>
      <c r="D1039" t="s">
        <v>16</v>
      </c>
      <c r="E1039">
        <v>35</v>
      </c>
      <c r="F1039">
        <v>49</v>
      </c>
      <c r="G1039">
        <v>0</v>
      </c>
      <c r="H1039">
        <v>1715</v>
      </c>
      <c r="I1039">
        <f>AVERAGEIFS(sales_Data[units_sold], sales_Data[product_id],sales_Data[[#This Row],[product_id]])</f>
        <v>30.438356164383563</v>
      </c>
      <c r="J1039">
        <f>_xlfn.XLOOKUP(sales_Data[[#This Row],[product_id]],sales_Data[product_id],sales_Data[unit_price])</f>
        <v>35</v>
      </c>
    </row>
    <row r="1040" spans="1:10" x14ac:dyDescent="0.3">
      <c r="A1040" t="s">
        <v>1056</v>
      </c>
      <c r="B1040" s="1">
        <v>45865</v>
      </c>
      <c r="C1040" t="s">
        <v>18</v>
      </c>
      <c r="D1040" t="s">
        <v>19</v>
      </c>
      <c r="E1040">
        <v>120</v>
      </c>
      <c r="F1040">
        <v>28</v>
      </c>
      <c r="G1040">
        <v>0</v>
      </c>
      <c r="H1040">
        <v>3360</v>
      </c>
      <c r="I1040">
        <f>AVERAGEIFS(sales_Data[units_sold], sales_Data[product_id],sales_Data[[#This Row],[product_id]])</f>
        <v>30.473972602739725</v>
      </c>
      <c r="J1040">
        <f>_xlfn.XLOOKUP(sales_Data[[#This Row],[product_id]],sales_Data[product_id],sales_Data[unit_price])</f>
        <v>120</v>
      </c>
    </row>
    <row r="1041" spans="1:10" x14ac:dyDescent="0.3">
      <c r="A1041" t="s">
        <v>1057</v>
      </c>
      <c r="B1041" s="1">
        <v>45865</v>
      </c>
      <c r="C1041" t="s">
        <v>21</v>
      </c>
      <c r="D1041" t="s">
        <v>22</v>
      </c>
      <c r="E1041">
        <v>25</v>
      </c>
      <c r="F1041">
        <v>25</v>
      </c>
      <c r="G1041">
        <v>0</v>
      </c>
      <c r="H1041">
        <v>625</v>
      </c>
      <c r="I1041">
        <f>AVERAGEIFS(sales_Data[units_sold], sales_Data[product_id],sales_Data[[#This Row],[product_id]])</f>
        <v>29.463013698630139</v>
      </c>
      <c r="J1041">
        <f>_xlfn.XLOOKUP(sales_Data[[#This Row],[product_id]],sales_Data[product_id],sales_Data[unit_price])</f>
        <v>25</v>
      </c>
    </row>
    <row r="1042" spans="1:10" x14ac:dyDescent="0.3">
      <c r="A1042" t="s">
        <v>1058</v>
      </c>
      <c r="B1042" s="1">
        <v>45866</v>
      </c>
      <c r="C1042" t="s">
        <v>9</v>
      </c>
      <c r="D1042" t="s">
        <v>10</v>
      </c>
      <c r="E1042">
        <v>45</v>
      </c>
      <c r="F1042">
        <v>37</v>
      </c>
      <c r="G1042">
        <v>0</v>
      </c>
      <c r="H1042">
        <v>1665</v>
      </c>
      <c r="I1042">
        <f>AVERAGEIFS(sales_Data[units_sold], sales_Data[product_id],sales_Data[[#This Row],[product_id]])</f>
        <v>31.479452054794521</v>
      </c>
      <c r="J1042">
        <f>_xlfn.XLOOKUP(sales_Data[[#This Row],[product_id]],sales_Data[product_id],sales_Data[unit_price])</f>
        <v>45</v>
      </c>
    </row>
    <row r="1043" spans="1:10" x14ac:dyDescent="0.3">
      <c r="A1043" t="s">
        <v>1059</v>
      </c>
      <c r="B1043" s="1">
        <v>45866</v>
      </c>
      <c r="C1043" t="s">
        <v>12</v>
      </c>
      <c r="D1043" t="s">
        <v>13</v>
      </c>
      <c r="E1043">
        <v>12.5</v>
      </c>
      <c r="F1043">
        <v>45</v>
      </c>
      <c r="G1043">
        <v>0</v>
      </c>
      <c r="H1043">
        <v>562.5</v>
      </c>
      <c r="I1043">
        <f>AVERAGEIFS(sales_Data[units_sold], sales_Data[product_id],sales_Data[[#This Row],[product_id]])</f>
        <v>31.794520547945204</v>
      </c>
      <c r="J1043">
        <f>_xlfn.XLOOKUP(sales_Data[[#This Row],[product_id]],sales_Data[product_id],sales_Data[unit_price])</f>
        <v>12.5</v>
      </c>
    </row>
    <row r="1044" spans="1:10" x14ac:dyDescent="0.3">
      <c r="A1044" t="s">
        <v>1060</v>
      </c>
      <c r="B1044" s="1">
        <v>45866</v>
      </c>
      <c r="C1044" t="s">
        <v>15</v>
      </c>
      <c r="D1044" t="s">
        <v>16</v>
      </c>
      <c r="E1044">
        <v>35</v>
      </c>
      <c r="F1044">
        <v>36</v>
      </c>
      <c r="G1044">
        <v>0</v>
      </c>
      <c r="H1044">
        <v>1260</v>
      </c>
      <c r="I1044">
        <f>AVERAGEIFS(sales_Data[units_sold], sales_Data[product_id],sales_Data[[#This Row],[product_id]])</f>
        <v>30.438356164383563</v>
      </c>
      <c r="J1044">
        <f>_xlfn.XLOOKUP(sales_Data[[#This Row],[product_id]],sales_Data[product_id],sales_Data[unit_price])</f>
        <v>35</v>
      </c>
    </row>
    <row r="1045" spans="1:10" x14ac:dyDescent="0.3">
      <c r="A1045" t="s">
        <v>1061</v>
      </c>
      <c r="B1045" s="1">
        <v>45866</v>
      </c>
      <c r="C1045" t="s">
        <v>18</v>
      </c>
      <c r="D1045" t="s">
        <v>19</v>
      </c>
      <c r="E1045">
        <v>120</v>
      </c>
      <c r="F1045">
        <v>8</v>
      </c>
      <c r="G1045">
        <v>0.2</v>
      </c>
      <c r="H1045">
        <v>768</v>
      </c>
      <c r="I1045">
        <f>AVERAGEIFS(sales_Data[units_sold], sales_Data[product_id],sales_Data[[#This Row],[product_id]])</f>
        <v>30.473972602739725</v>
      </c>
      <c r="J1045">
        <f>_xlfn.XLOOKUP(sales_Data[[#This Row],[product_id]],sales_Data[product_id],sales_Data[unit_price])</f>
        <v>120</v>
      </c>
    </row>
    <row r="1046" spans="1:10" x14ac:dyDescent="0.3">
      <c r="A1046" t="s">
        <v>1062</v>
      </c>
      <c r="B1046" s="1">
        <v>45866</v>
      </c>
      <c r="C1046" t="s">
        <v>21</v>
      </c>
      <c r="D1046" t="s">
        <v>22</v>
      </c>
      <c r="E1046">
        <v>25</v>
      </c>
      <c r="F1046">
        <v>46</v>
      </c>
      <c r="G1046">
        <v>0</v>
      </c>
      <c r="H1046">
        <v>1150</v>
      </c>
      <c r="I1046">
        <f>AVERAGEIFS(sales_Data[units_sold], sales_Data[product_id],sales_Data[[#This Row],[product_id]])</f>
        <v>29.463013698630139</v>
      </c>
      <c r="J1046">
        <f>_xlfn.XLOOKUP(sales_Data[[#This Row],[product_id]],sales_Data[product_id],sales_Data[unit_price])</f>
        <v>25</v>
      </c>
    </row>
    <row r="1047" spans="1:10" x14ac:dyDescent="0.3">
      <c r="A1047" t="s">
        <v>1063</v>
      </c>
      <c r="B1047" s="1">
        <v>45867</v>
      </c>
      <c r="C1047" t="s">
        <v>9</v>
      </c>
      <c r="D1047" t="s">
        <v>10</v>
      </c>
      <c r="E1047">
        <v>45</v>
      </c>
      <c r="F1047">
        <v>25</v>
      </c>
      <c r="G1047">
        <v>0</v>
      </c>
      <c r="H1047">
        <v>1125</v>
      </c>
      <c r="I1047">
        <f>AVERAGEIFS(sales_Data[units_sold], sales_Data[product_id],sales_Data[[#This Row],[product_id]])</f>
        <v>31.479452054794521</v>
      </c>
      <c r="J1047">
        <f>_xlfn.XLOOKUP(sales_Data[[#This Row],[product_id]],sales_Data[product_id],sales_Data[unit_price])</f>
        <v>45</v>
      </c>
    </row>
    <row r="1048" spans="1:10" x14ac:dyDescent="0.3">
      <c r="A1048" t="s">
        <v>1064</v>
      </c>
      <c r="B1048" s="1">
        <v>45867</v>
      </c>
      <c r="C1048" t="s">
        <v>12</v>
      </c>
      <c r="D1048" t="s">
        <v>13</v>
      </c>
      <c r="E1048">
        <v>12.5</v>
      </c>
      <c r="F1048">
        <v>7</v>
      </c>
      <c r="G1048">
        <v>0</v>
      </c>
      <c r="H1048">
        <v>87.5</v>
      </c>
      <c r="I1048">
        <f>AVERAGEIFS(sales_Data[units_sold], sales_Data[product_id],sales_Data[[#This Row],[product_id]])</f>
        <v>31.794520547945204</v>
      </c>
      <c r="J1048">
        <f>_xlfn.XLOOKUP(sales_Data[[#This Row],[product_id]],sales_Data[product_id],sales_Data[unit_price])</f>
        <v>12.5</v>
      </c>
    </row>
    <row r="1049" spans="1:10" x14ac:dyDescent="0.3">
      <c r="A1049" t="s">
        <v>1065</v>
      </c>
      <c r="B1049" s="1">
        <v>45867</v>
      </c>
      <c r="C1049" t="s">
        <v>15</v>
      </c>
      <c r="D1049" t="s">
        <v>16</v>
      </c>
      <c r="E1049">
        <v>35</v>
      </c>
      <c r="F1049">
        <v>39</v>
      </c>
      <c r="G1049">
        <v>0.1</v>
      </c>
      <c r="H1049">
        <v>1228.5</v>
      </c>
      <c r="I1049">
        <f>AVERAGEIFS(sales_Data[units_sold], sales_Data[product_id],sales_Data[[#This Row],[product_id]])</f>
        <v>30.438356164383563</v>
      </c>
      <c r="J1049">
        <f>_xlfn.XLOOKUP(sales_Data[[#This Row],[product_id]],sales_Data[product_id],sales_Data[unit_price])</f>
        <v>35</v>
      </c>
    </row>
    <row r="1050" spans="1:10" x14ac:dyDescent="0.3">
      <c r="A1050" t="s">
        <v>1066</v>
      </c>
      <c r="B1050" s="1">
        <v>45867</v>
      </c>
      <c r="C1050" t="s">
        <v>18</v>
      </c>
      <c r="D1050" t="s">
        <v>19</v>
      </c>
      <c r="E1050">
        <v>120</v>
      </c>
      <c r="F1050">
        <v>11</v>
      </c>
      <c r="G1050">
        <v>0.1</v>
      </c>
      <c r="H1050">
        <v>1188</v>
      </c>
      <c r="I1050">
        <f>AVERAGEIFS(sales_Data[units_sold], sales_Data[product_id],sales_Data[[#This Row],[product_id]])</f>
        <v>30.473972602739725</v>
      </c>
      <c r="J1050">
        <f>_xlfn.XLOOKUP(sales_Data[[#This Row],[product_id]],sales_Data[product_id],sales_Data[unit_price])</f>
        <v>120</v>
      </c>
    </row>
    <row r="1051" spans="1:10" x14ac:dyDescent="0.3">
      <c r="A1051" t="s">
        <v>1067</v>
      </c>
      <c r="B1051" s="1">
        <v>45867</v>
      </c>
      <c r="C1051" t="s">
        <v>21</v>
      </c>
      <c r="D1051" t="s">
        <v>22</v>
      </c>
      <c r="E1051">
        <v>25</v>
      </c>
      <c r="F1051">
        <v>28</v>
      </c>
      <c r="G1051">
        <v>0</v>
      </c>
      <c r="H1051">
        <v>700</v>
      </c>
      <c r="I1051">
        <f>AVERAGEIFS(sales_Data[units_sold], sales_Data[product_id],sales_Data[[#This Row],[product_id]])</f>
        <v>29.463013698630139</v>
      </c>
      <c r="J1051">
        <f>_xlfn.XLOOKUP(sales_Data[[#This Row],[product_id]],sales_Data[product_id],sales_Data[unit_price])</f>
        <v>25</v>
      </c>
    </row>
    <row r="1052" spans="1:10" x14ac:dyDescent="0.3">
      <c r="A1052" t="s">
        <v>1068</v>
      </c>
      <c r="B1052" s="1">
        <v>45868</v>
      </c>
      <c r="C1052" t="s">
        <v>9</v>
      </c>
      <c r="D1052" t="s">
        <v>10</v>
      </c>
      <c r="E1052">
        <v>45</v>
      </c>
      <c r="F1052">
        <v>12</v>
      </c>
      <c r="G1052">
        <v>0.2</v>
      </c>
      <c r="H1052">
        <v>432</v>
      </c>
      <c r="I1052">
        <f>AVERAGEIFS(sales_Data[units_sold], sales_Data[product_id],sales_Data[[#This Row],[product_id]])</f>
        <v>31.479452054794521</v>
      </c>
      <c r="J1052">
        <f>_xlfn.XLOOKUP(sales_Data[[#This Row],[product_id]],sales_Data[product_id],sales_Data[unit_price])</f>
        <v>45</v>
      </c>
    </row>
    <row r="1053" spans="1:10" x14ac:dyDescent="0.3">
      <c r="A1053" t="s">
        <v>1069</v>
      </c>
      <c r="B1053" s="1">
        <v>45868</v>
      </c>
      <c r="C1053" t="s">
        <v>12</v>
      </c>
      <c r="D1053" t="s">
        <v>13</v>
      </c>
      <c r="E1053">
        <v>12.5</v>
      </c>
      <c r="F1053">
        <v>48</v>
      </c>
      <c r="G1053">
        <v>0</v>
      </c>
      <c r="H1053">
        <v>600</v>
      </c>
      <c r="I1053">
        <f>AVERAGEIFS(sales_Data[units_sold], sales_Data[product_id],sales_Data[[#This Row],[product_id]])</f>
        <v>31.794520547945204</v>
      </c>
      <c r="J1053">
        <f>_xlfn.XLOOKUP(sales_Data[[#This Row],[product_id]],sales_Data[product_id],sales_Data[unit_price])</f>
        <v>12.5</v>
      </c>
    </row>
    <row r="1054" spans="1:10" x14ac:dyDescent="0.3">
      <c r="A1054" t="s">
        <v>1070</v>
      </c>
      <c r="B1054" s="1">
        <v>45868</v>
      </c>
      <c r="C1054" t="s">
        <v>15</v>
      </c>
      <c r="D1054" t="s">
        <v>16</v>
      </c>
      <c r="E1054">
        <v>35</v>
      </c>
      <c r="F1054">
        <v>44</v>
      </c>
      <c r="G1054">
        <v>0</v>
      </c>
      <c r="H1054">
        <v>1540</v>
      </c>
      <c r="I1054">
        <f>AVERAGEIFS(sales_Data[units_sold], sales_Data[product_id],sales_Data[[#This Row],[product_id]])</f>
        <v>30.438356164383563</v>
      </c>
      <c r="J1054">
        <f>_xlfn.XLOOKUP(sales_Data[[#This Row],[product_id]],sales_Data[product_id],sales_Data[unit_price])</f>
        <v>35</v>
      </c>
    </row>
    <row r="1055" spans="1:10" x14ac:dyDescent="0.3">
      <c r="A1055" t="s">
        <v>1071</v>
      </c>
      <c r="B1055" s="1">
        <v>45868</v>
      </c>
      <c r="C1055" t="s">
        <v>18</v>
      </c>
      <c r="D1055" t="s">
        <v>19</v>
      </c>
      <c r="E1055">
        <v>120</v>
      </c>
      <c r="F1055">
        <v>24</v>
      </c>
      <c r="G1055">
        <v>0.1</v>
      </c>
      <c r="H1055">
        <v>2592</v>
      </c>
      <c r="I1055">
        <f>AVERAGEIFS(sales_Data[units_sold], sales_Data[product_id],sales_Data[[#This Row],[product_id]])</f>
        <v>30.473972602739725</v>
      </c>
      <c r="J1055">
        <f>_xlfn.XLOOKUP(sales_Data[[#This Row],[product_id]],sales_Data[product_id],sales_Data[unit_price])</f>
        <v>120</v>
      </c>
    </row>
    <row r="1056" spans="1:10" x14ac:dyDescent="0.3">
      <c r="A1056" t="s">
        <v>1072</v>
      </c>
      <c r="B1056" s="1">
        <v>45868</v>
      </c>
      <c r="C1056" t="s">
        <v>21</v>
      </c>
      <c r="D1056" t="s">
        <v>22</v>
      </c>
      <c r="E1056">
        <v>25</v>
      </c>
      <c r="F1056">
        <v>31</v>
      </c>
      <c r="G1056">
        <v>0</v>
      </c>
      <c r="H1056">
        <v>775</v>
      </c>
      <c r="I1056">
        <f>AVERAGEIFS(sales_Data[units_sold], sales_Data[product_id],sales_Data[[#This Row],[product_id]])</f>
        <v>29.463013698630139</v>
      </c>
      <c r="J1056">
        <f>_xlfn.XLOOKUP(sales_Data[[#This Row],[product_id]],sales_Data[product_id],sales_Data[unit_price])</f>
        <v>25</v>
      </c>
    </row>
    <row r="1057" spans="1:10" x14ac:dyDescent="0.3">
      <c r="A1057" t="s">
        <v>1073</v>
      </c>
      <c r="B1057" s="1">
        <v>45869</v>
      </c>
      <c r="C1057" t="s">
        <v>9</v>
      </c>
      <c r="D1057" t="s">
        <v>10</v>
      </c>
      <c r="E1057">
        <v>45</v>
      </c>
      <c r="F1057">
        <v>41</v>
      </c>
      <c r="G1057">
        <v>0</v>
      </c>
      <c r="H1057">
        <v>1845</v>
      </c>
      <c r="I1057">
        <f>AVERAGEIFS(sales_Data[units_sold], sales_Data[product_id],sales_Data[[#This Row],[product_id]])</f>
        <v>31.479452054794521</v>
      </c>
      <c r="J1057">
        <f>_xlfn.XLOOKUP(sales_Data[[#This Row],[product_id]],sales_Data[product_id],sales_Data[unit_price])</f>
        <v>45</v>
      </c>
    </row>
    <row r="1058" spans="1:10" x14ac:dyDescent="0.3">
      <c r="A1058" t="s">
        <v>1074</v>
      </c>
      <c r="B1058" s="1">
        <v>45869</v>
      </c>
      <c r="C1058" t="s">
        <v>12</v>
      </c>
      <c r="D1058" t="s">
        <v>13</v>
      </c>
      <c r="E1058">
        <v>12.5</v>
      </c>
      <c r="F1058">
        <v>47</v>
      </c>
      <c r="G1058">
        <v>0.1</v>
      </c>
      <c r="H1058">
        <v>528.75</v>
      </c>
      <c r="I1058">
        <f>AVERAGEIFS(sales_Data[units_sold], sales_Data[product_id],sales_Data[[#This Row],[product_id]])</f>
        <v>31.794520547945204</v>
      </c>
      <c r="J1058">
        <f>_xlfn.XLOOKUP(sales_Data[[#This Row],[product_id]],sales_Data[product_id],sales_Data[unit_price])</f>
        <v>12.5</v>
      </c>
    </row>
    <row r="1059" spans="1:10" x14ac:dyDescent="0.3">
      <c r="A1059" t="s">
        <v>1075</v>
      </c>
      <c r="B1059" s="1">
        <v>45869</v>
      </c>
      <c r="C1059" t="s">
        <v>15</v>
      </c>
      <c r="D1059" t="s">
        <v>16</v>
      </c>
      <c r="E1059">
        <v>35</v>
      </c>
      <c r="F1059">
        <v>23</v>
      </c>
      <c r="G1059">
        <v>0</v>
      </c>
      <c r="H1059">
        <v>805</v>
      </c>
      <c r="I1059">
        <f>AVERAGEIFS(sales_Data[units_sold], sales_Data[product_id],sales_Data[[#This Row],[product_id]])</f>
        <v>30.438356164383563</v>
      </c>
      <c r="J1059">
        <f>_xlfn.XLOOKUP(sales_Data[[#This Row],[product_id]],sales_Data[product_id],sales_Data[unit_price])</f>
        <v>35</v>
      </c>
    </row>
    <row r="1060" spans="1:10" x14ac:dyDescent="0.3">
      <c r="A1060" t="s">
        <v>1076</v>
      </c>
      <c r="B1060" s="1">
        <v>45869</v>
      </c>
      <c r="C1060" t="s">
        <v>18</v>
      </c>
      <c r="D1060" t="s">
        <v>19</v>
      </c>
      <c r="E1060">
        <v>120</v>
      </c>
      <c r="F1060">
        <v>47</v>
      </c>
      <c r="G1060">
        <v>0</v>
      </c>
      <c r="H1060">
        <v>5640</v>
      </c>
      <c r="I1060">
        <f>AVERAGEIFS(sales_Data[units_sold], sales_Data[product_id],sales_Data[[#This Row],[product_id]])</f>
        <v>30.473972602739725</v>
      </c>
      <c r="J1060">
        <f>_xlfn.XLOOKUP(sales_Data[[#This Row],[product_id]],sales_Data[product_id],sales_Data[unit_price])</f>
        <v>120</v>
      </c>
    </row>
    <row r="1061" spans="1:10" x14ac:dyDescent="0.3">
      <c r="A1061" t="s">
        <v>1077</v>
      </c>
      <c r="B1061" s="1">
        <v>45869</v>
      </c>
      <c r="C1061" t="s">
        <v>21</v>
      </c>
      <c r="D1061" t="s">
        <v>22</v>
      </c>
      <c r="E1061">
        <v>25</v>
      </c>
      <c r="F1061">
        <v>23</v>
      </c>
      <c r="G1061">
        <v>0</v>
      </c>
      <c r="H1061">
        <v>575</v>
      </c>
      <c r="I1061">
        <f>AVERAGEIFS(sales_Data[units_sold], sales_Data[product_id],sales_Data[[#This Row],[product_id]])</f>
        <v>29.463013698630139</v>
      </c>
      <c r="J1061">
        <f>_xlfn.XLOOKUP(sales_Data[[#This Row],[product_id]],sales_Data[product_id],sales_Data[unit_price])</f>
        <v>25</v>
      </c>
    </row>
    <row r="1062" spans="1:10" x14ac:dyDescent="0.3">
      <c r="A1062" t="s">
        <v>1078</v>
      </c>
      <c r="B1062" s="1">
        <v>45870</v>
      </c>
      <c r="C1062" t="s">
        <v>9</v>
      </c>
      <c r="D1062" t="s">
        <v>10</v>
      </c>
      <c r="E1062">
        <v>45</v>
      </c>
      <c r="F1062">
        <v>49</v>
      </c>
      <c r="G1062">
        <v>0</v>
      </c>
      <c r="H1062">
        <v>2205</v>
      </c>
      <c r="I1062">
        <f>AVERAGEIFS(sales_Data[units_sold], sales_Data[product_id],sales_Data[[#This Row],[product_id]])</f>
        <v>31.479452054794521</v>
      </c>
      <c r="J1062">
        <f>_xlfn.XLOOKUP(sales_Data[[#This Row],[product_id]],sales_Data[product_id],sales_Data[unit_price])</f>
        <v>45</v>
      </c>
    </row>
    <row r="1063" spans="1:10" x14ac:dyDescent="0.3">
      <c r="A1063" t="s">
        <v>1079</v>
      </c>
      <c r="B1063" s="1">
        <v>45870</v>
      </c>
      <c r="C1063" t="s">
        <v>12</v>
      </c>
      <c r="D1063" t="s">
        <v>13</v>
      </c>
      <c r="E1063">
        <v>12.5</v>
      </c>
      <c r="F1063">
        <v>43</v>
      </c>
      <c r="G1063">
        <v>0</v>
      </c>
      <c r="H1063">
        <v>537.5</v>
      </c>
      <c r="I1063">
        <f>AVERAGEIFS(sales_Data[units_sold], sales_Data[product_id],sales_Data[[#This Row],[product_id]])</f>
        <v>31.794520547945204</v>
      </c>
      <c r="J1063">
        <f>_xlfn.XLOOKUP(sales_Data[[#This Row],[product_id]],sales_Data[product_id],sales_Data[unit_price])</f>
        <v>12.5</v>
      </c>
    </row>
    <row r="1064" spans="1:10" x14ac:dyDescent="0.3">
      <c r="A1064" t="s">
        <v>1080</v>
      </c>
      <c r="B1064" s="1">
        <v>45870</v>
      </c>
      <c r="C1064" t="s">
        <v>15</v>
      </c>
      <c r="D1064" t="s">
        <v>16</v>
      </c>
      <c r="E1064">
        <v>35</v>
      </c>
      <c r="F1064">
        <v>19</v>
      </c>
      <c r="G1064">
        <v>0</v>
      </c>
      <c r="H1064">
        <v>665</v>
      </c>
      <c r="I1064">
        <f>AVERAGEIFS(sales_Data[units_sold], sales_Data[product_id],sales_Data[[#This Row],[product_id]])</f>
        <v>30.438356164383563</v>
      </c>
      <c r="J1064">
        <f>_xlfn.XLOOKUP(sales_Data[[#This Row],[product_id]],sales_Data[product_id],sales_Data[unit_price])</f>
        <v>35</v>
      </c>
    </row>
    <row r="1065" spans="1:10" x14ac:dyDescent="0.3">
      <c r="A1065" t="s">
        <v>1081</v>
      </c>
      <c r="B1065" s="1">
        <v>45870</v>
      </c>
      <c r="C1065" t="s">
        <v>18</v>
      </c>
      <c r="D1065" t="s">
        <v>19</v>
      </c>
      <c r="E1065">
        <v>120</v>
      </c>
      <c r="F1065">
        <v>27</v>
      </c>
      <c r="G1065">
        <v>0</v>
      </c>
      <c r="H1065">
        <v>3240</v>
      </c>
      <c r="I1065">
        <f>AVERAGEIFS(sales_Data[units_sold], sales_Data[product_id],sales_Data[[#This Row],[product_id]])</f>
        <v>30.473972602739725</v>
      </c>
      <c r="J1065">
        <f>_xlfn.XLOOKUP(sales_Data[[#This Row],[product_id]],sales_Data[product_id],sales_Data[unit_price])</f>
        <v>120</v>
      </c>
    </row>
    <row r="1066" spans="1:10" x14ac:dyDescent="0.3">
      <c r="A1066" t="s">
        <v>1082</v>
      </c>
      <c r="B1066" s="1">
        <v>45870</v>
      </c>
      <c r="C1066" t="s">
        <v>21</v>
      </c>
      <c r="D1066" t="s">
        <v>22</v>
      </c>
      <c r="E1066">
        <v>25</v>
      </c>
      <c r="F1066">
        <v>33</v>
      </c>
      <c r="G1066">
        <v>0.1</v>
      </c>
      <c r="H1066">
        <v>742.5</v>
      </c>
      <c r="I1066">
        <f>AVERAGEIFS(sales_Data[units_sold], sales_Data[product_id],sales_Data[[#This Row],[product_id]])</f>
        <v>29.463013698630139</v>
      </c>
      <c r="J1066">
        <f>_xlfn.XLOOKUP(sales_Data[[#This Row],[product_id]],sales_Data[product_id],sales_Data[unit_price])</f>
        <v>25</v>
      </c>
    </row>
    <row r="1067" spans="1:10" x14ac:dyDescent="0.3">
      <c r="A1067" t="s">
        <v>1083</v>
      </c>
      <c r="B1067" s="1">
        <v>45871</v>
      </c>
      <c r="C1067" t="s">
        <v>9</v>
      </c>
      <c r="D1067" t="s">
        <v>10</v>
      </c>
      <c r="E1067">
        <v>45</v>
      </c>
      <c r="F1067">
        <v>42</v>
      </c>
      <c r="G1067">
        <v>0</v>
      </c>
      <c r="H1067">
        <v>1890</v>
      </c>
      <c r="I1067">
        <f>AVERAGEIFS(sales_Data[units_sold], sales_Data[product_id],sales_Data[[#This Row],[product_id]])</f>
        <v>31.479452054794521</v>
      </c>
      <c r="J1067">
        <f>_xlfn.XLOOKUP(sales_Data[[#This Row],[product_id]],sales_Data[product_id],sales_Data[unit_price])</f>
        <v>45</v>
      </c>
    </row>
    <row r="1068" spans="1:10" x14ac:dyDescent="0.3">
      <c r="A1068" t="s">
        <v>1084</v>
      </c>
      <c r="B1068" s="1">
        <v>45871</v>
      </c>
      <c r="C1068" t="s">
        <v>12</v>
      </c>
      <c r="D1068" t="s">
        <v>13</v>
      </c>
      <c r="E1068">
        <v>12.5</v>
      </c>
      <c r="F1068">
        <v>69</v>
      </c>
      <c r="G1068">
        <v>0.1</v>
      </c>
      <c r="H1068">
        <v>776.25</v>
      </c>
      <c r="I1068">
        <f>AVERAGEIFS(sales_Data[units_sold], sales_Data[product_id],sales_Data[[#This Row],[product_id]])</f>
        <v>31.794520547945204</v>
      </c>
      <c r="J1068">
        <f>_xlfn.XLOOKUP(sales_Data[[#This Row],[product_id]],sales_Data[product_id],sales_Data[unit_price])</f>
        <v>12.5</v>
      </c>
    </row>
    <row r="1069" spans="1:10" x14ac:dyDescent="0.3">
      <c r="A1069" t="s">
        <v>1085</v>
      </c>
      <c r="B1069" s="1">
        <v>45871</v>
      </c>
      <c r="C1069" t="s">
        <v>15</v>
      </c>
      <c r="D1069" t="s">
        <v>16</v>
      </c>
      <c r="E1069">
        <v>35</v>
      </c>
      <c r="F1069">
        <v>51</v>
      </c>
      <c r="G1069">
        <v>0</v>
      </c>
      <c r="H1069">
        <v>1785</v>
      </c>
      <c r="I1069">
        <f>AVERAGEIFS(sales_Data[units_sold], sales_Data[product_id],sales_Data[[#This Row],[product_id]])</f>
        <v>30.438356164383563</v>
      </c>
      <c r="J1069">
        <f>_xlfn.XLOOKUP(sales_Data[[#This Row],[product_id]],sales_Data[product_id],sales_Data[unit_price])</f>
        <v>35</v>
      </c>
    </row>
    <row r="1070" spans="1:10" x14ac:dyDescent="0.3">
      <c r="A1070" t="s">
        <v>1086</v>
      </c>
      <c r="B1070" s="1">
        <v>45871</v>
      </c>
      <c r="C1070" t="s">
        <v>18</v>
      </c>
      <c r="D1070" t="s">
        <v>19</v>
      </c>
      <c r="E1070">
        <v>120</v>
      </c>
      <c r="F1070">
        <v>57</v>
      </c>
      <c r="G1070">
        <v>0</v>
      </c>
      <c r="H1070">
        <v>6840</v>
      </c>
      <c r="I1070">
        <f>AVERAGEIFS(sales_Data[units_sold], sales_Data[product_id],sales_Data[[#This Row],[product_id]])</f>
        <v>30.473972602739725</v>
      </c>
      <c r="J1070">
        <f>_xlfn.XLOOKUP(sales_Data[[#This Row],[product_id]],sales_Data[product_id],sales_Data[unit_price])</f>
        <v>120</v>
      </c>
    </row>
    <row r="1071" spans="1:10" x14ac:dyDescent="0.3">
      <c r="A1071" t="s">
        <v>1087</v>
      </c>
      <c r="B1071" s="1">
        <v>45871</v>
      </c>
      <c r="C1071" t="s">
        <v>21</v>
      </c>
      <c r="D1071" t="s">
        <v>22</v>
      </c>
      <c r="E1071">
        <v>25</v>
      </c>
      <c r="F1071">
        <v>9</v>
      </c>
      <c r="G1071">
        <v>0</v>
      </c>
      <c r="H1071">
        <v>225</v>
      </c>
      <c r="I1071">
        <f>AVERAGEIFS(sales_Data[units_sold], sales_Data[product_id],sales_Data[[#This Row],[product_id]])</f>
        <v>29.463013698630139</v>
      </c>
      <c r="J1071">
        <f>_xlfn.XLOOKUP(sales_Data[[#This Row],[product_id]],sales_Data[product_id],sales_Data[unit_price])</f>
        <v>25</v>
      </c>
    </row>
    <row r="1072" spans="1:10" x14ac:dyDescent="0.3">
      <c r="A1072" t="s">
        <v>1088</v>
      </c>
      <c r="B1072" s="1">
        <v>45872</v>
      </c>
      <c r="C1072" t="s">
        <v>9</v>
      </c>
      <c r="D1072" t="s">
        <v>10</v>
      </c>
      <c r="E1072">
        <v>45</v>
      </c>
      <c r="F1072">
        <v>45</v>
      </c>
      <c r="G1072">
        <v>0.2</v>
      </c>
      <c r="H1072">
        <v>1620</v>
      </c>
      <c r="I1072">
        <f>AVERAGEIFS(sales_Data[units_sold], sales_Data[product_id],sales_Data[[#This Row],[product_id]])</f>
        <v>31.479452054794521</v>
      </c>
      <c r="J1072">
        <f>_xlfn.XLOOKUP(sales_Data[[#This Row],[product_id]],sales_Data[product_id],sales_Data[unit_price])</f>
        <v>45</v>
      </c>
    </row>
    <row r="1073" spans="1:10" x14ac:dyDescent="0.3">
      <c r="A1073" t="s">
        <v>1089</v>
      </c>
      <c r="B1073" s="1">
        <v>45872</v>
      </c>
      <c r="C1073" t="s">
        <v>12</v>
      </c>
      <c r="D1073" t="s">
        <v>13</v>
      </c>
      <c r="E1073">
        <v>12.5</v>
      </c>
      <c r="F1073">
        <v>48</v>
      </c>
      <c r="G1073">
        <v>0</v>
      </c>
      <c r="H1073">
        <v>600</v>
      </c>
      <c r="I1073">
        <f>AVERAGEIFS(sales_Data[units_sold], sales_Data[product_id],sales_Data[[#This Row],[product_id]])</f>
        <v>31.794520547945204</v>
      </c>
      <c r="J1073">
        <f>_xlfn.XLOOKUP(sales_Data[[#This Row],[product_id]],sales_Data[product_id],sales_Data[unit_price])</f>
        <v>12.5</v>
      </c>
    </row>
    <row r="1074" spans="1:10" x14ac:dyDescent="0.3">
      <c r="A1074" t="s">
        <v>1090</v>
      </c>
      <c r="B1074" s="1">
        <v>45872</v>
      </c>
      <c r="C1074" t="s">
        <v>15</v>
      </c>
      <c r="D1074" t="s">
        <v>16</v>
      </c>
      <c r="E1074">
        <v>35</v>
      </c>
      <c r="F1074">
        <v>40</v>
      </c>
      <c r="G1074">
        <v>0.1</v>
      </c>
      <c r="H1074">
        <v>1260</v>
      </c>
      <c r="I1074">
        <f>AVERAGEIFS(sales_Data[units_sold], sales_Data[product_id],sales_Data[[#This Row],[product_id]])</f>
        <v>30.438356164383563</v>
      </c>
      <c r="J1074">
        <f>_xlfn.XLOOKUP(sales_Data[[#This Row],[product_id]],sales_Data[product_id],sales_Data[unit_price])</f>
        <v>35</v>
      </c>
    </row>
    <row r="1075" spans="1:10" x14ac:dyDescent="0.3">
      <c r="A1075" t="s">
        <v>1091</v>
      </c>
      <c r="B1075" s="1">
        <v>45872</v>
      </c>
      <c r="C1075" t="s">
        <v>18</v>
      </c>
      <c r="D1075" t="s">
        <v>19</v>
      </c>
      <c r="E1075">
        <v>120</v>
      </c>
      <c r="F1075">
        <v>27</v>
      </c>
      <c r="G1075">
        <v>0</v>
      </c>
      <c r="H1075">
        <v>3240</v>
      </c>
      <c r="I1075">
        <f>AVERAGEIFS(sales_Data[units_sold], sales_Data[product_id],sales_Data[[#This Row],[product_id]])</f>
        <v>30.473972602739725</v>
      </c>
      <c r="J1075">
        <f>_xlfn.XLOOKUP(sales_Data[[#This Row],[product_id]],sales_Data[product_id],sales_Data[unit_price])</f>
        <v>120</v>
      </c>
    </row>
    <row r="1076" spans="1:10" x14ac:dyDescent="0.3">
      <c r="A1076" t="s">
        <v>1092</v>
      </c>
      <c r="B1076" s="1">
        <v>45872</v>
      </c>
      <c r="C1076" t="s">
        <v>21</v>
      </c>
      <c r="D1076" t="s">
        <v>22</v>
      </c>
      <c r="E1076">
        <v>25</v>
      </c>
      <c r="F1076">
        <v>21</v>
      </c>
      <c r="G1076">
        <v>0</v>
      </c>
      <c r="H1076">
        <v>525</v>
      </c>
      <c r="I1076">
        <f>AVERAGEIFS(sales_Data[units_sold], sales_Data[product_id],sales_Data[[#This Row],[product_id]])</f>
        <v>29.463013698630139</v>
      </c>
      <c r="J1076">
        <f>_xlfn.XLOOKUP(sales_Data[[#This Row],[product_id]],sales_Data[product_id],sales_Data[unit_price])</f>
        <v>25</v>
      </c>
    </row>
    <row r="1077" spans="1:10" x14ac:dyDescent="0.3">
      <c r="A1077" t="s">
        <v>1093</v>
      </c>
      <c r="B1077" s="1">
        <v>45873</v>
      </c>
      <c r="C1077" t="s">
        <v>9</v>
      </c>
      <c r="D1077" t="s">
        <v>10</v>
      </c>
      <c r="E1077">
        <v>45</v>
      </c>
      <c r="F1077">
        <v>19</v>
      </c>
      <c r="G1077">
        <v>0</v>
      </c>
      <c r="H1077">
        <v>855</v>
      </c>
      <c r="I1077">
        <f>AVERAGEIFS(sales_Data[units_sold], sales_Data[product_id],sales_Data[[#This Row],[product_id]])</f>
        <v>31.479452054794521</v>
      </c>
      <c r="J1077">
        <f>_xlfn.XLOOKUP(sales_Data[[#This Row],[product_id]],sales_Data[product_id],sales_Data[unit_price])</f>
        <v>45</v>
      </c>
    </row>
    <row r="1078" spans="1:10" x14ac:dyDescent="0.3">
      <c r="A1078" t="s">
        <v>1094</v>
      </c>
      <c r="B1078" s="1">
        <v>45873</v>
      </c>
      <c r="C1078" t="s">
        <v>12</v>
      </c>
      <c r="D1078" t="s">
        <v>13</v>
      </c>
      <c r="E1078">
        <v>12.5</v>
      </c>
      <c r="F1078">
        <v>28</v>
      </c>
      <c r="G1078">
        <v>0</v>
      </c>
      <c r="H1078">
        <v>350</v>
      </c>
      <c r="I1078">
        <f>AVERAGEIFS(sales_Data[units_sold], sales_Data[product_id],sales_Data[[#This Row],[product_id]])</f>
        <v>31.794520547945204</v>
      </c>
      <c r="J1078">
        <f>_xlfn.XLOOKUP(sales_Data[[#This Row],[product_id]],sales_Data[product_id],sales_Data[unit_price])</f>
        <v>12.5</v>
      </c>
    </row>
    <row r="1079" spans="1:10" x14ac:dyDescent="0.3">
      <c r="A1079" t="s">
        <v>1095</v>
      </c>
      <c r="B1079" s="1">
        <v>45873</v>
      </c>
      <c r="C1079" t="s">
        <v>15</v>
      </c>
      <c r="D1079" t="s">
        <v>16</v>
      </c>
      <c r="E1079">
        <v>35</v>
      </c>
      <c r="F1079">
        <v>34</v>
      </c>
      <c r="G1079">
        <v>0.2</v>
      </c>
      <c r="H1079">
        <v>952</v>
      </c>
      <c r="I1079">
        <f>AVERAGEIFS(sales_Data[units_sold], sales_Data[product_id],sales_Data[[#This Row],[product_id]])</f>
        <v>30.438356164383563</v>
      </c>
      <c r="J1079">
        <f>_xlfn.XLOOKUP(sales_Data[[#This Row],[product_id]],sales_Data[product_id],sales_Data[unit_price])</f>
        <v>35</v>
      </c>
    </row>
    <row r="1080" spans="1:10" x14ac:dyDescent="0.3">
      <c r="A1080" t="s">
        <v>1096</v>
      </c>
      <c r="B1080" s="1">
        <v>45873</v>
      </c>
      <c r="C1080" t="s">
        <v>18</v>
      </c>
      <c r="D1080" t="s">
        <v>19</v>
      </c>
      <c r="E1080">
        <v>120</v>
      </c>
      <c r="F1080">
        <v>28</v>
      </c>
      <c r="G1080">
        <v>0</v>
      </c>
      <c r="H1080">
        <v>3360</v>
      </c>
      <c r="I1080">
        <f>AVERAGEIFS(sales_Data[units_sold], sales_Data[product_id],sales_Data[[#This Row],[product_id]])</f>
        <v>30.473972602739725</v>
      </c>
      <c r="J1080">
        <f>_xlfn.XLOOKUP(sales_Data[[#This Row],[product_id]],sales_Data[product_id],sales_Data[unit_price])</f>
        <v>120</v>
      </c>
    </row>
    <row r="1081" spans="1:10" x14ac:dyDescent="0.3">
      <c r="A1081" t="s">
        <v>1097</v>
      </c>
      <c r="B1081" s="1">
        <v>45873</v>
      </c>
      <c r="C1081" t="s">
        <v>21</v>
      </c>
      <c r="D1081" t="s">
        <v>22</v>
      </c>
      <c r="E1081">
        <v>25</v>
      </c>
      <c r="F1081">
        <v>41</v>
      </c>
      <c r="G1081">
        <v>0</v>
      </c>
      <c r="H1081">
        <v>1025</v>
      </c>
      <c r="I1081">
        <f>AVERAGEIFS(sales_Data[units_sold], sales_Data[product_id],sales_Data[[#This Row],[product_id]])</f>
        <v>29.463013698630139</v>
      </c>
      <c r="J1081">
        <f>_xlfn.XLOOKUP(sales_Data[[#This Row],[product_id]],sales_Data[product_id],sales_Data[unit_price])</f>
        <v>25</v>
      </c>
    </row>
    <row r="1082" spans="1:10" x14ac:dyDescent="0.3">
      <c r="A1082" t="s">
        <v>1098</v>
      </c>
      <c r="B1082" s="1">
        <v>45874</v>
      </c>
      <c r="C1082" t="s">
        <v>9</v>
      </c>
      <c r="D1082" t="s">
        <v>10</v>
      </c>
      <c r="E1082">
        <v>45</v>
      </c>
      <c r="F1082">
        <v>25</v>
      </c>
      <c r="G1082">
        <v>0.1</v>
      </c>
      <c r="H1082">
        <v>1012.5</v>
      </c>
      <c r="I1082">
        <f>AVERAGEIFS(sales_Data[units_sold], sales_Data[product_id],sales_Data[[#This Row],[product_id]])</f>
        <v>31.479452054794521</v>
      </c>
      <c r="J1082">
        <f>_xlfn.XLOOKUP(sales_Data[[#This Row],[product_id]],sales_Data[product_id],sales_Data[unit_price])</f>
        <v>45</v>
      </c>
    </row>
    <row r="1083" spans="1:10" x14ac:dyDescent="0.3">
      <c r="A1083" t="s">
        <v>1099</v>
      </c>
      <c r="B1083" s="1">
        <v>45874</v>
      </c>
      <c r="C1083" t="s">
        <v>12</v>
      </c>
      <c r="D1083" t="s">
        <v>13</v>
      </c>
      <c r="E1083">
        <v>12.5</v>
      </c>
      <c r="F1083">
        <v>30</v>
      </c>
      <c r="G1083">
        <v>0</v>
      </c>
      <c r="H1083">
        <v>375</v>
      </c>
      <c r="I1083">
        <f>AVERAGEIFS(sales_Data[units_sold], sales_Data[product_id],sales_Data[[#This Row],[product_id]])</f>
        <v>31.794520547945204</v>
      </c>
      <c r="J1083">
        <f>_xlfn.XLOOKUP(sales_Data[[#This Row],[product_id]],sales_Data[product_id],sales_Data[unit_price])</f>
        <v>12.5</v>
      </c>
    </row>
    <row r="1084" spans="1:10" x14ac:dyDescent="0.3">
      <c r="A1084" t="s">
        <v>1100</v>
      </c>
      <c r="B1084" s="1">
        <v>45874</v>
      </c>
      <c r="C1084" t="s">
        <v>15</v>
      </c>
      <c r="D1084" t="s">
        <v>16</v>
      </c>
      <c r="E1084">
        <v>35</v>
      </c>
      <c r="F1084">
        <v>13</v>
      </c>
      <c r="G1084">
        <v>0</v>
      </c>
      <c r="H1084">
        <v>455</v>
      </c>
      <c r="I1084">
        <f>AVERAGEIFS(sales_Data[units_sold], sales_Data[product_id],sales_Data[[#This Row],[product_id]])</f>
        <v>30.438356164383563</v>
      </c>
      <c r="J1084">
        <f>_xlfn.XLOOKUP(sales_Data[[#This Row],[product_id]],sales_Data[product_id],sales_Data[unit_price])</f>
        <v>35</v>
      </c>
    </row>
    <row r="1085" spans="1:10" x14ac:dyDescent="0.3">
      <c r="A1085" t="s">
        <v>1101</v>
      </c>
      <c r="B1085" s="1">
        <v>45874</v>
      </c>
      <c r="C1085" t="s">
        <v>18</v>
      </c>
      <c r="D1085" t="s">
        <v>19</v>
      </c>
      <c r="E1085">
        <v>120</v>
      </c>
      <c r="F1085">
        <v>9</v>
      </c>
      <c r="G1085">
        <v>0</v>
      </c>
      <c r="H1085">
        <v>1080</v>
      </c>
      <c r="I1085">
        <f>AVERAGEIFS(sales_Data[units_sold], sales_Data[product_id],sales_Data[[#This Row],[product_id]])</f>
        <v>30.473972602739725</v>
      </c>
      <c r="J1085">
        <f>_xlfn.XLOOKUP(sales_Data[[#This Row],[product_id]],sales_Data[product_id],sales_Data[unit_price])</f>
        <v>120</v>
      </c>
    </row>
    <row r="1086" spans="1:10" x14ac:dyDescent="0.3">
      <c r="A1086" t="s">
        <v>1102</v>
      </c>
      <c r="B1086" s="1">
        <v>45874</v>
      </c>
      <c r="C1086" t="s">
        <v>21</v>
      </c>
      <c r="D1086" t="s">
        <v>22</v>
      </c>
      <c r="E1086">
        <v>25</v>
      </c>
      <c r="F1086">
        <v>15</v>
      </c>
      <c r="G1086">
        <v>0.1</v>
      </c>
      <c r="H1086">
        <v>337.5</v>
      </c>
      <c r="I1086">
        <f>AVERAGEIFS(sales_Data[units_sold], sales_Data[product_id],sales_Data[[#This Row],[product_id]])</f>
        <v>29.463013698630139</v>
      </c>
      <c r="J1086">
        <f>_xlfn.XLOOKUP(sales_Data[[#This Row],[product_id]],sales_Data[product_id],sales_Data[unit_price])</f>
        <v>25</v>
      </c>
    </row>
    <row r="1087" spans="1:10" x14ac:dyDescent="0.3">
      <c r="A1087" t="s">
        <v>1103</v>
      </c>
      <c r="B1087" s="1">
        <v>45875</v>
      </c>
      <c r="C1087" t="s">
        <v>9</v>
      </c>
      <c r="D1087" t="s">
        <v>10</v>
      </c>
      <c r="E1087">
        <v>45</v>
      </c>
      <c r="F1087">
        <v>43</v>
      </c>
      <c r="G1087">
        <v>0</v>
      </c>
      <c r="H1087">
        <v>1935</v>
      </c>
      <c r="I1087">
        <f>AVERAGEIFS(sales_Data[units_sold], sales_Data[product_id],sales_Data[[#This Row],[product_id]])</f>
        <v>31.479452054794521</v>
      </c>
      <c r="J1087">
        <f>_xlfn.XLOOKUP(sales_Data[[#This Row],[product_id]],sales_Data[product_id],sales_Data[unit_price])</f>
        <v>45</v>
      </c>
    </row>
    <row r="1088" spans="1:10" x14ac:dyDescent="0.3">
      <c r="A1088" t="s">
        <v>1104</v>
      </c>
      <c r="B1088" s="1">
        <v>45875</v>
      </c>
      <c r="C1088" t="s">
        <v>12</v>
      </c>
      <c r="D1088" t="s">
        <v>13</v>
      </c>
      <c r="E1088">
        <v>12.5</v>
      </c>
      <c r="F1088">
        <v>10</v>
      </c>
      <c r="G1088">
        <v>0.1</v>
      </c>
      <c r="H1088">
        <v>112.5</v>
      </c>
      <c r="I1088">
        <f>AVERAGEIFS(sales_Data[units_sold], sales_Data[product_id],sales_Data[[#This Row],[product_id]])</f>
        <v>31.794520547945204</v>
      </c>
      <c r="J1088">
        <f>_xlfn.XLOOKUP(sales_Data[[#This Row],[product_id]],sales_Data[product_id],sales_Data[unit_price])</f>
        <v>12.5</v>
      </c>
    </row>
    <row r="1089" spans="1:10" x14ac:dyDescent="0.3">
      <c r="A1089" t="s">
        <v>1105</v>
      </c>
      <c r="B1089" s="1">
        <v>45875</v>
      </c>
      <c r="C1089" t="s">
        <v>15</v>
      </c>
      <c r="D1089" t="s">
        <v>16</v>
      </c>
      <c r="E1089">
        <v>35</v>
      </c>
      <c r="F1089">
        <v>37</v>
      </c>
      <c r="G1089">
        <v>0</v>
      </c>
      <c r="H1089">
        <v>1295</v>
      </c>
      <c r="I1089">
        <f>AVERAGEIFS(sales_Data[units_sold], sales_Data[product_id],sales_Data[[#This Row],[product_id]])</f>
        <v>30.438356164383563</v>
      </c>
      <c r="J1089">
        <f>_xlfn.XLOOKUP(sales_Data[[#This Row],[product_id]],sales_Data[product_id],sales_Data[unit_price])</f>
        <v>35</v>
      </c>
    </row>
    <row r="1090" spans="1:10" x14ac:dyDescent="0.3">
      <c r="A1090" t="s">
        <v>1106</v>
      </c>
      <c r="B1090" s="1">
        <v>45875</v>
      </c>
      <c r="C1090" t="s">
        <v>18</v>
      </c>
      <c r="D1090" t="s">
        <v>19</v>
      </c>
      <c r="E1090">
        <v>120</v>
      </c>
      <c r="F1090">
        <v>44</v>
      </c>
      <c r="G1090">
        <v>0.2</v>
      </c>
      <c r="H1090">
        <v>4224</v>
      </c>
      <c r="I1090">
        <f>AVERAGEIFS(sales_Data[units_sold], sales_Data[product_id],sales_Data[[#This Row],[product_id]])</f>
        <v>30.473972602739725</v>
      </c>
      <c r="J1090">
        <f>_xlfn.XLOOKUP(sales_Data[[#This Row],[product_id]],sales_Data[product_id],sales_Data[unit_price])</f>
        <v>120</v>
      </c>
    </row>
    <row r="1091" spans="1:10" x14ac:dyDescent="0.3">
      <c r="A1091" t="s">
        <v>1107</v>
      </c>
      <c r="B1091" s="1">
        <v>45875</v>
      </c>
      <c r="C1091" t="s">
        <v>21</v>
      </c>
      <c r="D1091" t="s">
        <v>22</v>
      </c>
      <c r="E1091">
        <v>25</v>
      </c>
      <c r="F1091">
        <v>24</v>
      </c>
      <c r="G1091">
        <v>0</v>
      </c>
      <c r="H1091">
        <v>600</v>
      </c>
      <c r="I1091">
        <f>AVERAGEIFS(sales_Data[units_sold], sales_Data[product_id],sales_Data[[#This Row],[product_id]])</f>
        <v>29.463013698630139</v>
      </c>
      <c r="J1091">
        <f>_xlfn.XLOOKUP(sales_Data[[#This Row],[product_id]],sales_Data[product_id],sales_Data[unit_price])</f>
        <v>25</v>
      </c>
    </row>
    <row r="1092" spans="1:10" x14ac:dyDescent="0.3">
      <c r="A1092" t="s">
        <v>1108</v>
      </c>
      <c r="B1092" s="1">
        <v>45876</v>
      </c>
      <c r="C1092" t="s">
        <v>9</v>
      </c>
      <c r="D1092" t="s">
        <v>10</v>
      </c>
      <c r="E1092">
        <v>45</v>
      </c>
      <c r="F1092">
        <v>31</v>
      </c>
      <c r="G1092">
        <v>0</v>
      </c>
      <c r="H1092">
        <v>1395</v>
      </c>
      <c r="I1092">
        <f>AVERAGEIFS(sales_Data[units_sold], sales_Data[product_id],sales_Data[[#This Row],[product_id]])</f>
        <v>31.479452054794521</v>
      </c>
      <c r="J1092">
        <f>_xlfn.XLOOKUP(sales_Data[[#This Row],[product_id]],sales_Data[product_id],sales_Data[unit_price])</f>
        <v>45</v>
      </c>
    </row>
    <row r="1093" spans="1:10" x14ac:dyDescent="0.3">
      <c r="A1093" t="s">
        <v>1109</v>
      </c>
      <c r="B1093" s="1">
        <v>45876</v>
      </c>
      <c r="C1093" t="s">
        <v>12</v>
      </c>
      <c r="D1093" t="s">
        <v>13</v>
      </c>
      <c r="E1093">
        <v>12.5</v>
      </c>
      <c r="F1093">
        <v>9</v>
      </c>
      <c r="G1093">
        <v>0</v>
      </c>
      <c r="H1093">
        <v>112.5</v>
      </c>
      <c r="I1093">
        <f>AVERAGEIFS(sales_Data[units_sold], sales_Data[product_id],sales_Data[[#This Row],[product_id]])</f>
        <v>31.794520547945204</v>
      </c>
      <c r="J1093">
        <f>_xlfn.XLOOKUP(sales_Data[[#This Row],[product_id]],sales_Data[product_id],sales_Data[unit_price])</f>
        <v>12.5</v>
      </c>
    </row>
    <row r="1094" spans="1:10" x14ac:dyDescent="0.3">
      <c r="A1094" t="s">
        <v>1110</v>
      </c>
      <c r="B1094" s="1">
        <v>45876</v>
      </c>
      <c r="C1094" t="s">
        <v>15</v>
      </c>
      <c r="D1094" t="s">
        <v>16</v>
      </c>
      <c r="E1094">
        <v>35</v>
      </c>
      <c r="F1094">
        <v>23</v>
      </c>
      <c r="G1094">
        <v>0</v>
      </c>
      <c r="H1094">
        <v>805</v>
      </c>
      <c r="I1094">
        <f>AVERAGEIFS(sales_Data[units_sold], sales_Data[product_id],sales_Data[[#This Row],[product_id]])</f>
        <v>30.438356164383563</v>
      </c>
      <c r="J1094">
        <f>_xlfn.XLOOKUP(sales_Data[[#This Row],[product_id]],sales_Data[product_id],sales_Data[unit_price])</f>
        <v>35</v>
      </c>
    </row>
    <row r="1095" spans="1:10" x14ac:dyDescent="0.3">
      <c r="A1095" t="s">
        <v>1111</v>
      </c>
      <c r="B1095" s="1">
        <v>45876</v>
      </c>
      <c r="C1095" t="s">
        <v>18</v>
      </c>
      <c r="D1095" t="s">
        <v>19</v>
      </c>
      <c r="E1095">
        <v>120</v>
      </c>
      <c r="F1095">
        <v>25</v>
      </c>
      <c r="G1095">
        <v>0.1</v>
      </c>
      <c r="H1095">
        <v>2700</v>
      </c>
      <c r="I1095">
        <f>AVERAGEIFS(sales_Data[units_sold], sales_Data[product_id],sales_Data[[#This Row],[product_id]])</f>
        <v>30.473972602739725</v>
      </c>
      <c r="J1095">
        <f>_xlfn.XLOOKUP(sales_Data[[#This Row],[product_id]],sales_Data[product_id],sales_Data[unit_price])</f>
        <v>120</v>
      </c>
    </row>
    <row r="1096" spans="1:10" x14ac:dyDescent="0.3">
      <c r="A1096" t="s">
        <v>1112</v>
      </c>
      <c r="B1096" s="1">
        <v>45876</v>
      </c>
      <c r="C1096" t="s">
        <v>21</v>
      </c>
      <c r="D1096" t="s">
        <v>22</v>
      </c>
      <c r="E1096">
        <v>25</v>
      </c>
      <c r="F1096">
        <v>39</v>
      </c>
      <c r="G1096">
        <v>0</v>
      </c>
      <c r="H1096">
        <v>975</v>
      </c>
      <c r="I1096">
        <f>AVERAGEIFS(sales_Data[units_sold], sales_Data[product_id],sales_Data[[#This Row],[product_id]])</f>
        <v>29.463013698630139</v>
      </c>
      <c r="J1096">
        <f>_xlfn.XLOOKUP(sales_Data[[#This Row],[product_id]],sales_Data[product_id],sales_Data[unit_price])</f>
        <v>25</v>
      </c>
    </row>
    <row r="1097" spans="1:10" x14ac:dyDescent="0.3">
      <c r="A1097" t="s">
        <v>1113</v>
      </c>
      <c r="B1097" s="1">
        <v>45877</v>
      </c>
      <c r="C1097" t="s">
        <v>9</v>
      </c>
      <c r="D1097" t="s">
        <v>10</v>
      </c>
      <c r="E1097">
        <v>45</v>
      </c>
      <c r="F1097">
        <v>44</v>
      </c>
      <c r="G1097">
        <v>0</v>
      </c>
      <c r="H1097">
        <v>1980</v>
      </c>
      <c r="I1097">
        <f>AVERAGEIFS(sales_Data[units_sold], sales_Data[product_id],sales_Data[[#This Row],[product_id]])</f>
        <v>31.479452054794521</v>
      </c>
      <c r="J1097">
        <f>_xlfn.XLOOKUP(sales_Data[[#This Row],[product_id]],sales_Data[product_id],sales_Data[unit_price])</f>
        <v>45</v>
      </c>
    </row>
    <row r="1098" spans="1:10" x14ac:dyDescent="0.3">
      <c r="A1098" t="s">
        <v>1114</v>
      </c>
      <c r="B1098" s="1">
        <v>45877</v>
      </c>
      <c r="C1098" t="s">
        <v>12</v>
      </c>
      <c r="D1098" t="s">
        <v>13</v>
      </c>
      <c r="E1098">
        <v>12.5</v>
      </c>
      <c r="F1098">
        <v>24</v>
      </c>
      <c r="G1098">
        <v>0.1</v>
      </c>
      <c r="H1098">
        <v>270</v>
      </c>
      <c r="I1098">
        <f>AVERAGEIFS(sales_Data[units_sold], sales_Data[product_id],sales_Data[[#This Row],[product_id]])</f>
        <v>31.794520547945204</v>
      </c>
      <c r="J1098">
        <f>_xlfn.XLOOKUP(sales_Data[[#This Row],[product_id]],sales_Data[product_id],sales_Data[unit_price])</f>
        <v>12.5</v>
      </c>
    </row>
    <row r="1099" spans="1:10" x14ac:dyDescent="0.3">
      <c r="A1099" t="s">
        <v>1115</v>
      </c>
      <c r="B1099" s="1">
        <v>45877</v>
      </c>
      <c r="C1099" t="s">
        <v>15</v>
      </c>
      <c r="D1099" t="s">
        <v>16</v>
      </c>
      <c r="E1099">
        <v>35</v>
      </c>
      <c r="F1099">
        <v>47</v>
      </c>
      <c r="G1099">
        <v>0</v>
      </c>
      <c r="H1099">
        <v>1645</v>
      </c>
      <c r="I1099">
        <f>AVERAGEIFS(sales_Data[units_sold], sales_Data[product_id],sales_Data[[#This Row],[product_id]])</f>
        <v>30.438356164383563</v>
      </c>
      <c r="J1099">
        <f>_xlfn.XLOOKUP(sales_Data[[#This Row],[product_id]],sales_Data[product_id],sales_Data[unit_price])</f>
        <v>35</v>
      </c>
    </row>
    <row r="1100" spans="1:10" x14ac:dyDescent="0.3">
      <c r="A1100" t="s">
        <v>1116</v>
      </c>
      <c r="B1100" s="1">
        <v>45877</v>
      </c>
      <c r="C1100" t="s">
        <v>18</v>
      </c>
      <c r="D1100" t="s">
        <v>19</v>
      </c>
      <c r="E1100">
        <v>120</v>
      </c>
      <c r="F1100">
        <v>40</v>
      </c>
      <c r="G1100">
        <v>0</v>
      </c>
      <c r="H1100">
        <v>4800</v>
      </c>
      <c r="I1100">
        <f>AVERAGEIFS(sales_Data[units_sold], sales_Data[product_id],sales_Data[[#This Row],[product_id]])</f>
        <v>30.473972602739725</v>
      </c>
      <c r="J1100">
        <f>_xlfn.XLOOKUP(sales_Data[[#This Row],[product_id]],sales_Data[product_id],sales_Data[unit_price])</f>
        <v>120</v>
      </c>
    </row>
    <row r="1101" spans="1:10" x14ac:dyDescent="0.3">
      <c r="A1101" t="s">
        <v>1117</v>
      </c>
      <c r="B1101" s="1">
        <v>45877</v>
      </c>
      <c r="C1101" t="s">
        <v>21</v>
      </c>
      <c r="D1101" t="s">
        <v>22</v>
      </c>
      <c r="E1101">
        <v>25</v>
      </c>
      <c r="F1101">
        <v>41</v>
      </c>
      <c r="G1101">
        <v>0</v>
      </c>
      <c r="H1101">
        <v>1025</v>
      </c>
      <c r="I1101">
        <f>AVERAGEIFS(sales_Data[units_sold], sales_Data[product_id],sales_Data[[#This Row],[product_id]])</f>
        <v>29.463013698630139</v>
      </c>
      <c r="J1101">
        <f>_xlfn.XLOOKUP(sales_Data[[#This Row],[product_id]],sales_Data[product_id],sales_Data[unit_price])</f>
        <v>25</v>
      </c>
    </row>
    <row r="1102" spans="1:10" x14ac:dyDescent="0.3">
      <c r="A1102" t="s">
        <v>1118</v>
      </c>
      <c r="B1102" s="1">
        <v>45878</v>
      </c>
      <c r="C1102" t="s">
        <v>9</v>
      </c>
      <c r="D1102" t="s">
        <v>10</v>
      </c>
      <c r="E1102">
        <v>45</v>
      </c>
      <c r="F1102">
        <v>73</v>
      </c>
      <c r="G1102">
        <v>0</v>
      </c>
      <c r="H1102">
        <v>3285</v>
      </c>
      <c r="I1102">
        <f>AVERAGEIFS(sales_Data[units_sold], sales_Data[product_id],sales_Data[[#This Row],[product_id]])</f>
        <v>31.479452054794521</v>
      </c>
      <c r="J1102">
        <f>_xlfn.XLOOKUP(sales_Data[[#This Row],[product_id]],sales_Data[product_id],sales_Data[unit_price])</f>
        <v>45</v>
      </c>
    </row>
    <row r="1103" spans="1:10" x14ac:dyDescent="0.3">
      <c r="A1103" t="s">
        <v>1119</v>
      </c>
      <c r="B1103" s="1">
        <v>45878</v>
      </c>
      <c r="C1103" t="s">
        <v>12</v>
      </c>
      <c r="D1103" t="s">
        <v>13</v>
      </c>
      <c r="E1103">
        <v>12.5</v>
      </c>
      <c r="F1103">
        <v>18</v>
      </c>
      <c r="G1103">
        <v>0</v>
      </c>
      <c r="H1103">
        <v>225</v>
      </c>
      <c r="I1103">
        <f>AVERAGEIFS(sales_Data[units_sold], sales_Data[product_id],sales_Data[[#This Row],[product_id]])</f>
        <v>31.794520547945204</v>
      </c>
      <c r="J1103">
        <f>_xlfn.XLOOKUP(sales_Data[[#This Row],[product_id]],sales_Data[product_id],sales_Data[unit_price])</f>
        <v>12.5</v>
      </c>
    </row>
    <row r="1104" spans="1:10" x14ac:dyDescent="0.3">
      <c r="A1104" t="s">
        <v>1120</v>
      </c>
      <c r="B1104" s="1">
        <v>45878</v>
      </c>
      <c r="C1104" t="s">
        <v>15</v>
      </c>
      <c r="D1104" t="s">
        <v>16</v>
      </c>
      <c r="E1104">
        <v>35</v>
      </c>
      <c r="F1104">
        <v>46</v>
      </c>
      <c r="G1104">
        <v>0</v>
      </c>
      <c r="H1104">
        <v>1610</v>
      </c>
      <c r="I1104">
        <f>AVERAGEIFS(sales_Data[units_sold], sales_Data[product_id],sales_Data[[#This Row],[product_id]])</f>
        <v>30.438356164383563</v>
      </c>
      <c r="J1104">
        <f>_xlfn.XLOOKUP(sales_Data[[#This Row],[product_id]],sales_Data[product_id],sales_Data[unit_price])</f>
        <v>35</v>
      </c>
    </row>
    <row r="1105" spans="1:10" x14ac:dyDescent="0.3">
      <c r="A1105" t="s">
        <v>1121</v>
      </c>
      <c r="B1105" s="1">
        <v>45878</v>
      </c>
      <c r="C1105" t="s">
        <v>18</v>
      </c>
      <c r="D1105" t="s">
        <v>19</v>
      </c>
      <c r="E1105">
        <v>120</v>
      </c>
      <c r="F1105">
        <v>19</v>
      </c>
      <c r="G1105">
        <v>0</v>
      </c>
      <c r="H1105">
        <v>2280</v>
      </c>
      <c r="I1105">
        <f>AVERAGEIFS(sales_Data[units_sold], sales_Data[product_id],sales_Data[[#This Row],[product_id]])</f>
        <v>30.473972602739725</v>
      </c>
      <c r="J1105">
        <f>_xlfn.XLOOKUP(sales_Data[[#This Row],[product_id]],sales_Data[product_id],sales_Data[unit_price])</f>
        <v>120</v>
      </c>
    </row>
    <row r="1106" spans="1:10" x14ac:dyDescent="0.3">
      <c r="A1106" t="s">
        <v>1122</v>
      </c>
      <c r="B1106" s="1">
        <v>45878</v>
      </c>
      <c r="C1106" t="s">
        <v>21</v>
      </c>
      <c r="D1106" t="s">
        <v>22</v>
      </c>
      <c r="E1106">
        <v>25</v>
      </c>
      <c r="F1106">
        <v>16</v>
      </c>
      <c r="G1106">
        <v>0</v>
      </c>
      <c r="H1106">
        <v>400</v>
      </c>
      <c r="I1106">
        <f>AVERAGEIFS(sales_Data[units_sold], sales_Data[product_id],sales_Data[[#This Row],[product_id]])</f>
        <v>29.463013698630139</v>
      </c>
      <c r="J1106">
        <f>_xlfn.XLOOKUP(sales_Data[[#This Row],[product_id]],sales_Data[product_id],sales_Data[unit_price])</f>
        <v>25</v>
      </c>
    </row>
    <row r="1107" spans="1:10" x14ac:dyDescent="0.3">
      <c r="A1107" t="s">
        <v>1123</v>
      </c>
      <c r="B1107" s="1">
        <v>45879</v>
      </c>
      <c r="C1107" t="s">
        <v>9</v>
      </c>
      <c r="D1107" t="s">
        <v>10</v>
      </c>
      <c r="E1107">
        <v>45</v>
      </c>
      <c r="F1107">
        <v>33</v>
      </c>
      <c r="G1107">
        <v>0</v>
      </c>
      <c r="H1107">
        <v>1485</v>
      </c>
      <c r="I1107">
        <f>AVERAGEIFS(sales_Data[units_sold], sales_Data[product_id],sales_Data[[#This Row],[product_id]])</f>
        <v>31.479452054794521</v>
      </c>
      <c r="J1107">
        <f>_xlfn.XLOOKUP(sales_Data[[#This Row],[product_id]],sales_Data[product_id],sales_Data[unit_price])</f>
        <v>45</v>
      </c>
    </row>
    <row r="1108" spans="1:10" x14ac:dyDescent="0.3">
      <c r="A1108" t="s">
        <v>1124</v>
      </c>
      <c r="B1108" s="1">
        <v>45879</v>
      </c>
      <c r="C1108" t="s">
        <v>12</v>
      </c>
      <c r="D1108" t="s">
        <v>13</v>
      </c>
      <c r="E1108">
        <v>12.5</v>
      </c>
      <c r="F1108">
        <v>28</v>
      </c>
      <c r="G1108">
        <v>0.2</v>
      </c>
      <c r="H1108">
        <v>280</v>
      </c>
      <c r="I1108">
        <f>AVERAGEIFS(sales_Data[units_sold], sales_Data[product_id],sales_Data[[#This Row],[product_id]])</f>
        <v>31.794520547945204</v>
      </c>
      <c r="J1108">
        <f>_xlfn.XLOOKUP(sales_Data[[#This Row],[product_id]],sales_Data[product_id],sales_Data[unit_price])</f>
        <v>12.5</v>
      </c>
    </row>
    <row r="1109" spans="1:10" x14ac:dyDescent="0.3">
      <c r="A1109" t="s">
        <v>1125</v>
      </c>
      <c r="B1109" s="1">
        <v>45879</v>
      </c>
      <c r="C1109" t="s">
        <v>15</v>
      </c>
      <c r="D1109" t="s">
        <v>16</v>
      </c>
      <c r="E1109">
        <v>35</v>
      </c>
      <c r="F1109">
        <v>70</v>
      </c>
      <c r="G1109">
        <v>0</v>
      </c>
      <c r="H1109">
        <v>2450</v>
      </c>
      <c r="I1109">
        <f>AVERAGEIFS(sales_Data[units_sold], sales_Data[product_id],sales_Data[[#This Row],[product_id]])</f>
        <v>30.438356164383563</v>
      </c>
      <c r="J1109">
        <f>_xlfn.XLOOKUP(sales_Data[[#This Row],[product_id]],sales_Data[product_id],sales_Data[unit_price])</f>
        <v>35</v>
      </c>
    </row>
    <row r="1110" spans="1:10" x14ac:dyDescent="0.3">
      <c r="A1110" t="s">
        <v>1126</v>
      </c>
      <c r="B1110" s="1">
        <v>45879</v>
      </c>
      <c r="C1110" t="s">
        <v>18</v>
      </c>
      <c r="D1110" t="s">
        <v>19</v>
      </c>
      <c r="E1110">
        <v>120</v>
      </c>
      <c r="F1110">
        <v>19</v>
      </c>
      <c r="G1110">
        <v>0</v>
      </c>
      <c r="H1110">
        <v>2280</v>
      </c>
      <c r="I1110">
        <f>AVERAGEIFS(sales_Data[units_sold], sales_Data[product_id],sales_Data[[#This Row],[product_id]])</f>
        <v>30.473972602739725</v>
      </c>
      <c r="J1110">
        <f>_xlfn.XLOOKUP(sales_Data[[#This Row],[product_id]],sales_Data[product_id],sales_Data[unit_price])</f>
        <v>120</v>
      </c>
    </row>
    <row r="1111" spans="1:10" x14ac:dyDescent="0.3">
      <c r="A1111" t="s">
        <v>1127</v>
      </c>
      <c r="B1111" s="1">
        <v>45879</v>
      </c>
      <c r="C1111" t="s">
        <v>21</v>
      </c>
      <c r="D1111" t="s">
        <v>22</v>
      </c>
      <c r="E1111">
        <v>25</v>
      </c>
      <c r="F1111">
        <v>31</v>
      </c>
      <c r="G1111">
        <v>0</v>
      </c>
      <c r="H1111">
        <v>775</v>
      </c>
      <c r="I1111">
        <f>AVERAGEIFS(sales_Data[units_sold], sales_Data[product_id],sales_Data[[#This Row],[product_id]])</f>
        <v>29.463013698630139</v>
      </c>
      <c r="J1111">
        <f>_xlfn.XLOOKUP(sales_Data[[#This Row],[product_id]],sales_Data[product_id],sales_Data[unit_price])</f>
        <v>25</v>
      </c>
    </row>
    <row r="1112" spans="1:10" x14ac:dyDescent="0.3">
      <c r="A1112" t="s">
        <v>1128</v>
      </c>
      <c r="B1112" s="1">
        <v>45880</v>
      </c>
      <c r="C1112" t="s">
        <v>9</v>
      </c>
      <c r="D1112" t="s">
        <v>10</v>
      </c>
      <c r="E1112">
        <v>45</v>
      </c>
      <c r="F1112">
        <v>49</v>
      </c>
      <c r="G1112">
        <v>0</v>
      </c>
      <c r="H1112">
        <v>2205</v>
      </c>
      <c r="I1112">
        <f>AVERAGEIFS(sales_Data[units_sold], sales_Data[product_id],sales_Data[[#This Row],[product_id]])</f>
        <v>31.479452054794521</v>
      </c>
      <c r="J1112">
        <f>_xlfn.XLOOKUP(sales_Data[[#This Row],[product_id]],sales_Data[product_id],sales_Data[unit_price])</f>
        <v>45</v>
      </c>
    </row>
    <row r="1113" spans="1:10" x14ac:dyDescent="0.3">
      <c r="A1113" t="s">
        <v>1129</v>
      </c>
      <c r="B1113" s="1">
        <v>45880</v>
      </c>
      <c r="C1113" t="s">
        <v>12</v>
      </c>
      <c r="D1113" t="s">
        <v>13</v>
      </c>
      <c r="E1113">
        <v>12.5</v>
      </c>
      <c r="F1113">
        <v>38</v>
      </c>
      <c r="G1113">
        <v>0</v>
      </c>
      <c r="H1113">
        <v>475</v>
      </c>
      <c r="I1113">
        <f>AVERAGEIFS(sales_Data[units_sold], sales_Data[product_id],sales_Data[[#This Row],[product_id]])</f>
        <v>31.794520547945204</v>
      </c>
      <c r="J1113">
        <f>_xlfn.XLOOKUP(sales_Data[[#This Row],[product_id]],sales_Data[product_id],sales_Data[unit_price])</f>
        <v>12.5</v>
      </c>
    </row>
    <row r="1114" spans="1:10" x14ac:dyDescent="0.3">
      <c r="A1114" t="s">
        <v>1130</v>
      </c>
      <c r="B1114" s="1">
        <v>45880</v>
      </c>
      <c r="C1114" t="s">
        <v>15</v>
      </c>
      <c r="D1114" t="s">
        <v>16</v>
      </c>
      <c r="E1114">
        <v>35</v>
      </c>
      <c r="F1114">
        <v>26</v>
      </c>
      <c r="G1114">
        <v>0</v>
      </c>
      <c r="H1114">
        <v>910</v>
      </c>
      <c r="I1114">
        <f>AVERAGEIFS(sales_Data[units_sold], sales_Data[product_id],sales_Data[[#This Row],[product_id]])</f>
        <v>30.438356164383563</v>
      </c>
      <c r="J1114">
        <f>_xlfn.XLOOKUP(sales_Data[[#This Row],[product_id]],sales_Data[product_id],sales_Data[unit_price])</f>
        <v>35</v>
      </c>
    </row>
    <row r="1115" spans="1:10" x14ac:dyDescent="0.3">
      <c r="A1115" t="s">
        <v>1131</v>
      </c>
      <c r="B1115" s="1">
        <v>45880</v>
      </c>
      <c r="C1115" t="s">
        <v>18</v>
      </c>
      <c r="D1115" t="s">
        <v>19</v>
      </c>
      <c r="E1115">
        <v>120</v>
      </c>
      <c r="F1115">
        <v>46</v>
      </c>
      <c r="G1115">
        <v>0</v>
      </c>
      <c r="H1115">
        <v>5520</v>
      </c>
      <c r="I1115">
        <f>AVERAGEIFS(sales_Data[units_sold], sales_Data[product_id],sales_Data[[#This Row],[product_id]])</f>
        <v>30.473972602739725</v>
      </c>
      <c r="J1115">
        <f>_xlfn.XLOOKUP(sales_Data[[#This Row],[product_id]],sales_Data[product_id],sales_Data[unit_price])</f>
        <v>120</v>
      </c>
    </row>
    <row r="1116" spans="1:10" x14ac:dyDescent="0.3">
      <c r="A1116" t="s">
        <v>1132</v>
      </c>
      <c r="B1116" s="1">
        <v>45880</v>
      </c>
      <c r="C1116" t="s">
        <v>21</v>
      </c>
      <c r="D1116" t="s">
        <v>22</v>
      </c>
      <c r="E1116">
        <v>25</v>
      </c>
      <c r="F1116">
        <v>21</v>
      </c>
      <c r="G1116">
        <v>0</v>
      </c>
      <c r="H1116">
        <v>525</v>
      </c>
      <c r="I1116">
        <f>AVERAGEIFS(sales_Data[units_sold], sales_Data[product_id],sales_Data[[#This Row],[product_id]])</f>
        <v>29.463013698630139</v>
      </c>
      <c r="J1116">
        <f>_xlfn.XLOOKUP(sales_Data[[#This Row],[product_id]],sales_Data[product_id],sales_Data[unit_price])</f>
        <v>25</v>
      </c>
    </row>
    <row r="1117" spans="1:10" x14ac:dyDescent="0.3">
      <c r="A1117" t="s">
        <v>1133</v>
      </c>
      <c r="B1117" s="1">
        <v>45881</v>
      </c>
      <c r="C1117" t="s">
        <v>9</v>
      </c>
      <c r="D1117" t="s">
        <v>10</v>
      </c>
      <c r="E1117">
        <v>45</v>
      </c>
      <c r="F1117">
        <v>44</v>
      </c>
      <c r="G1117">
        <v>0</v>
      </c>
      <c r="H1117">
        <v>1980</v>
      </c>
      <c r="I1117">
        <f>AVERAGEIFS(sales_Data[units_sold], sales_Data[product_id],sales_Data[[#This Row],[product_id]])</f>
        <v>31.479452054794521</v>
      </c>
      <c r="J1117">
        <f>_xlfn.XLOOKUP(sales_Data[[#This Row],[product_id]],sales_Data[product_id],sales_Data[unit_price])</f>
        <v>45</v>
      </c>
    </row>
    <row r="1118" spans="1:10" x14ac:dyDescent="0.3">
      <c r="A1118" t="s">
        <v>1134</v>
      </c>
      <c r="B1118" s="1">
        <v>45881</v>
      </c>
      <c r="C1118" t="s">
        <v>12</v>
      </c>
      <c r="D1118" t="s">
        <v>13</v>
      </c>
      <c r="E1118">
        <v>12.5</v>
      </c>
      <c r="F1118">
        <v>34</v>
      </c>
      <c r="G1118">
        <v>0</v>
      </c>
      <c r="H1118">
        <v>425</v>
      </c>
      <c r="I1118">
        <f>AVERAGEIFS(sales_Data[units_sold], sales_Data[product_id],sales_Data[[#This Row],[product_id]])</f>
        <v>31.794520547945204</v>
      </c>
      <c r="J1118">
        <f>_xlfn.XLOOKUP(sales_Data[[#This Row],[product_id]],sales_Data[product_id],sales_Data[unit_price])</f>
        <v>12.5</v>
      </c>
    </row>
    <row r="1119" spans="1:10" x14ac:dyDescent="0.3">
      <c r="A1119" t="s">
        <v>1135</v>
      </c>
      <c r="B1119" s="1">
        <v>45881</v>
      </c>
      <c r="C1119" t="s">
        <v>15</v>
      </c>
      <c r="D1119" t="s">
        <v>16</v>
      </c>
      <c r="E1119">
        <v>35</v>
      </c>
      <c r="F1119">
        <v>27</v>
      </c>
      <c r="G1119">
        <v>0</v>
      </c>
      <c r="H1119">
        <v>945</v>
      </c>
      <c r="I1119">
        <f>AVERAGEIFS(sales_Data[units_sold], sales_Data[product_id],sales_Data[[#This Row],[product_id]])</f>
        <v>30.438356164383563</v>
      </c>
      <c r="J1119">
        <f>_xlfn.XLOOKUP(sales_Data[[#This Row],[product_id]],sales_Data[product_id],sales_Data[unit_price])</f>
        <v>35</v>
      </c>
    </row>
    <row r="1120" spans="1:10" x14ac:dyDescent="0.3">
      <c r="A1120" t="s">
        <v>1136</v>
      </c>
      <c r="B1120" s="1">
        <v>45881</v>
      </c>
      <c r="C1120" t="s">
        <v>18</v>
      </c>
      <c r="D1120" t="s">
        <v>19</v>
      </c>
      <c r="E1120">
        <v>120</v>
      </c>
      <c r="F1120">
        <v>27</v>
      </c>
      <c r="G1120">
        <v>0</v>
      </c>
      <c r="H1120">
        <v>3240</v>
      </c>
      <c r="I1120">
        <f>AVERAGEIFS(sales_Data[units_sold], sales_Data[product_id],sales_Data[[#This Row],[product_id]])</f>
        <v>30.473972602739725</v>
      </c>
      <c r="J1120">
        <f>_xlfn.XLOOKUP(sales_Data[[#This Row],[product_id]],sales_Data[product_id],sales_Data[unit_price])</f>
        <v>120</v>
      </c>
    </row>
    <row r="1121" spans="1:10" x14ac:dyDescent="0.3">
      <c r="A1121" t="s">
        <v>1137</v>
      </c>
      <c r="B1121" s="1">
        <v>45881</v>
      </c>
      <c r="C1121" t="s">
        <v>21</v>
      </c>
      <c r="D1121" t="s">
        <v>22</v>
      </c>
      <c r="E1121">
        <v>25</v>
      </c>
      <c r="F1121">
        <v>23</v>
      </c>
      <c r="G1121">
        <v>0.1</v>
      </c>
      <c r="H1121">
        <v>517.5</v>
      </c>
      <c r="I1121">
        <f>AVERAGEIFS(sales_Data[units_sold], sales_Data[product_id],sales_Data[[#This Row],[product_id]])</f>
        <v>29.463013698630139</v>
      </c>
      <c r="J1121">
        <f>_xlfn.XLOOKUP(sales_Data[[#This Row],[product_id]],sales_Data[product_id],sales_Data[unit_price])</f>
        <v>25</v>
      </c>
    </row>
    <row r="1122" spans="1:10" x14ac:dyDescent="0.3">
      <c r="A1122" t="s">
        <v>1138</v>
      </c>
      <c r="B1122" s="1">
        <v>45882</v>
      </c>
      <c r="C1122" t="s">
        <v>9</v>
      </c>
      <c r="D1122" t="s">
        <v>10</v>
      </c>
      <c r="E1122">
        <v>45</v>
      </c>
      <c r="F1122">
        <v>46</v>
      </c>
      <c r="G1122">
        <v>0</v>
      </c>
      <c r="H1122">
        <v>2070</v>
      </c>
      <c r="I1122">
        <f>AVERAGEIFS(sales_Data[units_sold], sales_Data[product_id],sales_Data[[#This Row],[product_id]])</f>
        <v>31.479452054794521</v>
      </c>
      <c r="J1122">
        <f>_xlfn.XLOOKUP(sales_Data[[#This Row],[product_id]],sales_Data[product_id],sales_Data[unit_price])</f>
        <v>45</v>
      </c>
    </row>
    <row r="1123" spans="1:10" x14ac:dyDescent="0.3">
      <c r="A1123" t="s">
        <v>1139</v>
      </c>
      <c r="B1123" s="1">
        <v>45882</v>
      </c>
      <c r="C1123" t="s">
        <v>12</v>
      </c>
      <c r="D1123" t="s">
        <v>13</v>
      </c>
      <c r="E1123">
        <v>12.5</v>
      </c>
      <c r="F1123">
        <v>11</v>
      </c>
      <c r="G1123">
        <v>0.1</v>
      </c>
      <c r="H1123">
        <v>123.75</v>
      </c>
      <c r="I1123">
        <f>AVERAGEIFS(sales_Data[units_sold], sales_Data[product_id],sales_Data[[#This Row],[product_id]])</f>
        <v>31.794520547945204</v>
      </c>
      <c r="J1123">
        <f>_xlfn.XLOOKUP(sales_Data[[#This Row],[product_id]],sales_Data[product_id],sales_Data[unit_price])</f>
        <v>12.5</v>
      </c>
    </row>
    <row r="1124" spans="1:10" x14ac:dyDescent="0.3">
      <c r="A1124" t="s">
        <v>1140</v>
      </c>
      <c r="B1124" s="1">
        <v>45882</v>
      </c>
      <c r="C1124" t="s">
        <v>15</v>
      </c>
      <c r="D1124" t="s">
        <v>16</v>
      </c>
      <c r="E1124">
        <v>35</v>
      </c>
      <c r="F1124">
        <v>47</v>
      </c>
      <c r="G1124">
        <v>0</v>
      </c>
      <c r="H1124">
        <v>1645</v>
      </c>
      <c r="I1124">
        <f>AVERAGEIFS(sales_Data[units_sold], sales_Data[product_id],sales_Data[[#This Row],[product_id]])</f>
        <v>30.438356164383563</v>
      </c>
      <c r="J1124">
        <f>_xlfn.XLOOKUP(sales_Data[[#This Row],[product_id]],sales_Data[product_id],sales_Data[unit_price])</f>
        <v>35</v>
      </c>
    </row>
    <row r="1125" spans="1:10" x14ac:dyDescent="0.3">
      <c r="A1125" t="s">
        <v>1141</v>
      </c>
      <c r="B1125" s="1">
        <v>45882</v>
      </c>
      <c r="C1125" t="s">
        <v>18</v>
      </c>
      <c r="D1125" t="s">
        <v>19</v>
      </c>
      <c r="E1125">
        <v>120</v>
      </c>
      <c r="F1125">
        <v>15</v>
      </c>
      <c r="G1125">
        <v>0</v>
      </c>
      <c r="H1125">
        <v>1800</v>
      </c>
      <c r="I1125">
        <f>AVERAGEIFS(sales_Data[units_sold], sales_Data[product_id],sales_Data[[#This Row],[product_id]])</f>
        <v>30.473972602739725</v>
      </c>
      <c r="J1125">
        <f>_xlfn.XLOOKUP(sales_Data[[#This Row],[product_id]],sales_Data[product_id],sales_Data[unit_price])</f>
        <v>120</v>
      </c>
    </row>
    <row r="1126" spans="1:10" x14ac:dyDescent="0.3">
      <c r="A1126" t="s">
        <v>1142</v>
      </c>
      <c r="B1126" s="1">
        <v>45882</v>
      </c>
      <c r="C1126" t="s">
        <v>21</v>
      </c>
      <c r="D1126" t="s">
        <v>22</v>
      </c>
      <c r="E1126">
        <v>25</v>
      </c>
      <c r="F1126">
        <v>35</v>
      </c>
      <c r="G1126">
        <v>0.2</v>
      </c>
      <c r="H1126">
        <v>700</v>
      </c>
      <c r="I1126">
        <f>AVERAGEIFS(sales_Data[units_sold], sales_Data[product_id],sales_Data[[#This Row],[product_id]])</f>
        <v>29.463013698630139</v>
      </c>
      <c r="J1126">
        <f>_xlfn.XLOOKUP(sales_Data[[#This Row],[product_id]],sales_Data[product_id],sales_Data[unit_price])</f>
        <v>25</v>
      </c>
    </row>
    <row r="1127" spans="1:10" x14ac:dyDescent="0.3">
      <c r="A1127" t="s">
        <v>1143</v>
      </c>
      <c r="B1127" s="1">
        <v>45883</v>
      </c>
      <c r="C1127" t="s">
        <v>9</v>
      </c>
      <c r="D1127" t="s">
        <v>10</v>
      </c>
      <c r="E1127">
        <v>45</v>
      </c>
      <c r="F1127">
        <v>30</v>
      </c>
      <c r="G1127">
        <v>0.1</v>
      </c>
      <c r="H1127">
        <v>1215</v>
      </c>
      <c r="I1127">
        <f>AVERAGEIFS(sales_Data[units_sold], sales_Data[product_id],sales_Data[[#This Row],[product_id]])</f>
        <v>31.479452054794521</v>
      </c>
      <c r="J1127">
        <f>_xlfn.XLOOKUP(sales_Data[[#This Row],[product_id]],sales_Data[product_id],sales_Data[unit_price])</f>
        <v>45</v>
      </c>
    </row>
    <row r="1128" spans="1:10" x14ac:dyDescent="0.3">
      <c r="A1128" t="s">
        <v>1144</v>
      </c>
      <c r="B1128" s="1">
        <v>45883</v>
      </c>
      <c r="C1128" t="s">
        <v>12</v>
      </c>
      <c r="D1128" t="s">
        <v>13</v>
      </c>
      <c r="E1128">
        <v>12.5</v>
      </c>
      <c r="F1128">
        <v>8</v>
      </c>
      <c r="G1128">
        <v>0</v>
      </c>
      <c r="H1128">
        <v>100</v>
      </c>
      <c r="I1128">
        <f>AVERAGEIFS(sales_Data[units_sold], sales_Data[product_id],sales_Data[[#This Row],[product_id]])</f>
        <v>31.794520547945204</v>
      </c>
      <c r="J1128">
        <f>_xlfn.XLOOKUP(sales_Data[[#This Row],[product_id]],sales_Data[product_id],sales_Data[unit_price])</f>
        <v>12.5</v>
      </c>
    </row>
    <row r="1129" spans="1:10" x14ac:dyDescent="0.3">
      <c r="A1129" t="s">
        <v>1145</v>
      </c>
      <c r="B1129" s="1">
        <v>45883</v>
      </c>
      <c r="C1129" t="s">
        <v>15</v>
      </c>
      <c r="D1129" t="s">
        <v>16</v>
      </c>
      <c r="E1129">
        <v>35</v>
      </c>
      <c r="F1129">
        <v>49</v>
      </c>
      <c r="G1129">
        <v>0</v>
      </c>
      <c r="H1129">
        <v>1715</v>
      </c>
      <c r="I1129">
        <f>AVERAGEIFS(sales_Data[units_sold], sales_Data[product_id],sales_Data[[#This Row],[product_id]])</f>
        <v>30.438356164383563</v>
      </c>
      <c r="J1129">
        <f>_xlfn.XLOOKUP(sales_Data[[#This Row],[product_id]],sales_Data[product_id],sales_Data[unit_price])</f>
        <v>35</v>
      </c>
    </row>
    <row r="1130" spans="1:10" x14ac:dyDescent="0.3">
      <c r="A1130" t="s">
        <v>1146</v>
      </c>
      <c r="B1130" s="1">
        <v>45883</v>
      </c>
      <c r="C1130" t="s">
        <v>18</v>
      </c>
      <c r="D1130" t="s">
        <v>19</v>
      </c>
      <c r="E1130">
        <v>120</v>
      </c>
      <c r="F1130">
        <v>19</v>
      </c>
      <c r="G1130">
        <v>0</v>
      </c>
      <c r="H1130">
        <v>2280</v>
      </c>
      <c r="I1130">
        <f>AVERAGEIFS(sales_Data[units_sold], sales_Data[product_id],sales_Data[[#This Row],[product_id]])</f>
        <v>30.473972602739725</v>
      </c>
      <c r="J1130">
        <f>_xlfn.XLOOKUP(sales_Data[[#This Row],[product_id]],sales_Data[product_id],sales_Data[unit_price])</f>
        <v>120</v>
      </c>
    </row>
    <row r="1131" spans="1:10" x14ac:dyDescent="0.3">
      <c r="A1131" t="s">
        <v>1147</v>
      </c>
      <c r="B1131" s="1">
        <v>45883</v>
      </c>
      <c r="C1131" t="s">
        <v>21</v>
      </c>
      <c r="D1131" t="s">
        <v>22</v>
      </c>
      <c r="E1131">
        <v>25</v>
      </c>
      <c r="F1131">
        <v>49</v>
      </c>
      <c r="G1131">
        <v>0</v>
      </c>
      <c r="H1131">
        <v>1225</v>
      </c>
      <c r="I1131">
        <f>AVERAGEIFS(sales_Data[units_sold], sales_Data[product_id],sales_Data[[#This Row],[product_id]])</f>
        <v>29.463013698630139</v>
      </c>
      <c r="J1131">
        <f>_xlfn.XLOOKUP(sales_Data[[#This Row],[product_id]],sales_Data[product_id],sales_Data[unit_price])</f>
        <v>25</v>
      </c>
    </row>
    <row r="1132" spans="1:10" x14ac:dyDescent="0.3">
      <c r="A1132" t="s">
        <v>1148</v>
      </c>
      <c r="B1132" s="1">
        <v>45884</v>
      </c>
      <c r="C1132" t="s">
        <v>9</v>
      </c>
      <c r="D1132" t="s">
        <v>10</v>
      </c>
      <c r="E1132">
        <v>45</v>
      </c>
      <c r="F1132">
        <v>16</v>
      </c>
      <c r="G1132">
        <v>0.1</v>
      </c>
      <c r="H1132">
        <v>648</v>
      </c>
      <c r="I1132">
        <f>AVERAGEIFS(sales_Data[units_sold], sales_Data[product_id],sales_Data[[#This Row],[product_id]])</f>
        <v>31.479452054794521</v>
      </c>
      <c r="J1132">
        <f>_xlfn.XLOOKUP(sales_Data[[#This Row],[product_id]],sales_Data[product_id],sales_Data[unit_price])</f>
        <v>45</v>
      </c>
    </row>
    <row r="1133" spans="1:10" x14ac:dyDescent="0.3">
      <c r="A1133" t="s">
        <v>1149</v>
      </c>
      <c r="B1133" s="1">
        <v>45884</v>
      </c>
      <c r="C1133" t="s">
        <v>12</v>
      </c>
      <c r="D1133" t="s">
        <v>13</v>
      </c>
      <c r="E1133">
        <v>12.5</v>
      </c>
      <c r="F1133">
        <v>17</v>
      </c>
      <c r="G1133">
        <v>0</v>
      </c>
      <c r="H1133">
        <v>212.5</v>
      </c>
      <c r="I1133">
        <f>AVERAGEIFS(sales_Data[units_sold], sales_Data[product_id],sales_Data[[#This Row],[product_id]])</f>
        <v>31.794520547945204</v>
      </c>
      <c r="J1133">
        <f>_xlfn.XLOOKUP(sales_Data[[#This Row],[product_id]],sales_Data[product_id],sales_Data[unit_price])</f>
        <v>12.5</v>
      </c>
    </row>
    <row r="1134" spans="1:10" x14ac:dyDescent="0.3">
      <c r="A1134" t="s">
        <v>1150</v>
      </c>
      <c r="B1134" s="1">
        <v>45884</v>
      </c>
      <c r="C1134" t="s">
        <v>15</v>
      </c>
      <c r="D1134" t="s">
        <v>16</v>
      </c>
      <c r="E1134">
        <v>35</v>
      </c>
      <c r="F1134">
        <v>35</v>
      </c>
      <c r="G1134">
        <v>0</v>
      </c>
      <c r="H1134">
        <v>1225</v>
      </c>
      <c r="I1134">
        <f>AVERAGEIFS(sales_Data[units_sold], sales_Data[product_id],sales_Data[[#This Row],[product_id]])</f>
        <v>30.438356164383563</v>
      </c>
      <c r="J1134">
        <f>_xlfn.XLOOKUP(sales_Data[[#This Row],[product_id]],sales_Data[product_id],sales_Data[unit_price])</f>
        <v>35</v>
      </c>
    </row>
    <row r="1135" spans="1:10" x14ac:dyDescent="0.3">
      <c r="A1135" t="s">
        <v>1151</v>
      </c>
      <c r="B1135" s="1">
        <v>45884</v>
      </c>
      <c r="C1135" t="s">
        <v>18</v>
      </c>
      <c r="D1135" t="s">
        <v>19</v>
      </c>
      <c r="E1135">
        <v>120</v>
      </c>
      <c r="F1135">
        <v>14</v>
      </c>
      <c r="G1135">
        <v>0</v>
      </c>
      <c r="H1135">
        <v>1680</v>
      </c>
      <c r="I1135">
        <f>AVERAGEIFS(sales_Data[units_sold], sales_Data[product_id],sales_Data[[#This Row],[product_id]])</f>
        <v>30.473972602739725</v>
      </c>
      <c r="J1135">
        <f>_xlfn.XLOOKUP(sales_Data[[#This Row],[product_id]],sales_Data[product_id],sales_Data[unit_price])</f>
        <v>120</v>
      </c>
    </row>
    <row r="1136" spans="1:10" x14ac:dyDescent="0.3">
      <c r="A1136" t="s">
        <v>1152</v>
      </c>
      <c r="B1136" s="1">
        <v>45884</v>
      </c>
      <c r="C1136" t="s">
        <v>21</v>
      </c>
      <c r="D1136" t="s">
        <v>22</v>
      </c>
      <c r="E1136">
        <v>25</v>
      </c>
      <c r="F1136">
        <v>44</v>
      </c>
      <c r="G1136">
        <v>0</v>
      </c>
      <c r="H1136">
        <v>1100</v>
      </c>
      <c r="I1136">
        <f>AVERAGEIFS(sales_Data[units_sold], sales_Data[product_id],sales_Data[[#This Row],[product_id]])</f>
        <v>29.463013698630139</v>
      </c>
      <c r="J1136">
        <f>_xlfn.XLOOKUP(sales_Data[[#This Row],[product_id]],sales_Data[product_id],sales_Data[unit_price])</f>
        <v>25</v>
      </c>
    </row>
    <row r="1137" spans="1:10" x14ac:dyDescent="0.3">
      <c r="A1137" t="s">
        <v>1153</v>
      </c>
      <c r="B1137" s="1">
        <v>45885</v>
      </c>
      <c r="C1137" t="s">
        <v>9</v>
      </c>
      <c r="D1137" t="s">
        <v>10</v>
      </c>
      <c r="E1137">
        <v>45</v>
      </c>
      <c r="F1137">
        <v>46</v>
      </c>
      <c r="G1137">
        <v>0.1</v>
      </c>
      <c r="H1137">
        <v>1863</v>
      </c>
      <c r="I1137">
        <f>AVERAGEIFS(sales_Data[units_sold], sales_Data[product_id],sales_Data[[#This Row],[product_id]])</f>
        <v>31.479452054794521</v>
      </c>
      <c r="J1137">
        <f>_xlfn.XLOOKUP(sales_Data[[#This Row],[product_id]],sales_Data[product_id],sales_Data[unit_price])</f>
        <v>45</v>
      </c>
    </row>
    <row r="1138" spans="1:10" x14ac:dyDescent="0.3">
      <c r="A1138" t="s">
        <v>1154</v>
      </c>
      <c r="B1138" s="1">
        <v>45885</v>
      </c>
      <c r="C1138" t="s">
        <v>12</v>
      </c>
      <c r="D1138" t="s">
        <v>13</v>
      </c>
      <c r="E1138">
        <v>12.5</v>
      </c>
      <c r="F1138">
        <v>73</v>
      </c>
      <c r="G1138">
        <v>0</v>
      </c>
      <c r="H1138">
        <v>912.5</v>
      </c>
      <c r="I1138">
        <f>AVERAGEIFS(sales_Data[units_sold], sales_Data[product_id],sales_Data[[#This Row],[product_id]])</f>
        <v>31.794520547945204</v>
      </c>
      <c r="J1138">
        <f>_xlfn.XLOOKUP(sales_Data[[#This Row],[product_id]],sales_Data[product_id],sales_Data[unit_price])</f>
        <v>12.5</v>
      </c>
    </row>
    <row r="1139" spans="1:10" x14ac:dyDescent="0.3">
      <c r="A1139" t="s">
        <v>1155</v>
      </c>
      <c r="B1139" s="1">
        <v>45885</v>
      </c>
      <c r="C1139" t="s">
        <v>15</v>
      </c>
      <c r="D1139" t="s">
        <v>16</v>
      </c>
      <c r="E1139">
        <v>35</v>
      </c>
      <c r="F1139">
        <v>9</v>
      </c>
      <c r="G1139">
        <v>0</v>
      </c>
      <c r="H1139">
        <v>315</v>
      </c>
      <c r="I1139">
        <f>AVERAGEIFS(sales_Data[units_sold], sales_Data[product_id],sales_Data[[#This Row],[product_id]])</f>
        <v>30.438356164383563</v>
      </c>
      <c r="J1139">
        <f>_xlfn.XLOOKUP(sales_Data[[#This Row],[product_id]],sales_Data[product_id],sales_Data[unit_price])</f>
        <v>35</v>
      </c>
    </row>
    <row r="1140" spans="1:10" x14ac:dyDescent="0.3">
      <c r="A1140" t="s">
        <v>1156</v>
      </c>
      <c r="B1140" s="1">
        <v>45885</v>
      </c>
      <c r="C1140" t="s">
        <v>18</v>
      </c>
      <c r="D1140" t="s">
        <v>19</v>
      </c>
      <c r="E1140">
        <v>120</v>
      </c>
      <c r="F1140">
        <v>70</v>
      </c>
      <c r="G1140">
        <v>0</v>
      </c>
      <c r="H1140">
        <v>8400</v>
      </c>
      <c r="I1140">
        <f>AVERAGEIFS(sales_Data[units_sold], sales_Data[product_id],sales_Data[[#This Row],[product_id]])</f>
        <v>30.473972602739725</v>
      </c>
      <c r="J1140">
        <f>_xlfn.XLOOKUP(sales_Data[[#This Row],[product_id]],sales_Data[product_id],sales_Data[unit_price])</f>
        <v>120</v>
      </c>
    </row>
    <row r="1141" spans="1:10" x14ac:dyDescent="0.3">
      <c r="A1141" t="s">
        <v>1157</v>
      </c>
      <c r="B1141" s="1">
        <v>45885</v>
      </c>
      <c r="C1141" t="s">
        <v>21</v>
      </c>
      <c r="D1141" t="s">
        <v>22</v>
      </c>
      <c r="E1141">
        <v>25</v>
      </c>
      <c r="F1141">
        <v>34</v>
      </c>
      <c r="G1141">
        <v>0</v>
      </c>
      <c r="H1141">
        <v>850</v>
      </c>
      <c r="I1141">
        <f>AVERAGEIFS(sales_Data[units_sold], sales_Data[product_id],sales_Data[[#This Row],[product_id]])</f>
        <v>29.463013698630139</v>
      </c>
      <c r="J1141">
        <f>_xlfn.XLOOKUP(sales_Data[[#This Row],[product_id]],sales_Data[product_id],sales_Data[unit_price])</f>
        <v>25</v>
      </c>
    </row>
    <row r="1142" spans="1:10" x14ac:dyDescent="0.3">
      <c r="A1142" t="s">
        <v>1158</v>
      </c>
      <c r="B1142" s="1">
        <v>45886</v>
      </c>
      <c r="C1142" t="s">
        <v>9</v>
      </c>
      <c r="D1142" t="s">
        <v>10</v>
      </c>
      <c r="E1142">
        <v>45</v>
      </c>
      <c r="F1142">
        <v>10</v>
      </c>
      <c r="G1142">
        <v>0.1</v>
      </c>
      <c r="H1142">
        <v>405</v>
      </c>
      <c r="I1142">
        <f>AVERAGEIFS(sales_Data[units_sold], sales_Data[product_id],sales_Data[[#This Row],[product_id]])</f>
        <v>31.479452054794521</v>
      </c>
      <c r="J1142">
        <f>_xlfn.XLOOKUP(sales_Data[[#This Row],[product_id]],sales_Data[product_id],sales_Data[unit_price])</f>
        <v>45</v>
      </c>
    </row>
    <row r="1143" spans="1:10" x14ac:dyDescent="0.3">
      <c r="A1143" t="s">
        <v>1159</v>
      </c>
      <c r="B1143" s="1">
        <v>45886</v>
      </c>
      <c r="C1143" t="s">
        <v>12</v>
      </c>
      <c r="D1143" t="s">
        <v>13</v>
      </c>
      <c r="E1143">
        <v>12.5</v>
      </c>
      <c r="F1143">
        <v>36</v>
      </c>
      <c r="G1143">
        <v>0.1</v>
      </c>
      <c r="H1143">
        <v>405</v>
      </c>
      <c r="I1143">
        <f>AVERAGEIFS(sales_Data[units_sold], sales_Data[product_id],sales_Data[[#This Row],[product_id]])</f>
        <v>31.794520547945204</v>
      </c>
      <c r="J1143">
        <f>_xlfn.XLOOKUP(sales_Data[[#This Row],[product_id]],sales_Data[product_id],sales_Data[unit_price])</f>
        <v>12.5</v>
      </c>
    </row>
    <row r="1144" spans="1:10" x14ac:dyDescent="0.3">
      <c r="A1144" t="s">
        <v>1160</v>
      </c>
      <c r="B1144" s="1">
        <v>45886</v>
      </c>
      <c r="C1144" t="s">
        <v>15</v>
      </c>
      <c r="D1144" t="s">
        <v>16</v>
      </c>
      <c r="E1144">
        <v>35</v>
      </c>
      <c r="F1144">
        <v>36</v>
      </c>
      <c r="G1144">
        <v>0</v>
      </c>
      <c r="H1144">
        <v>1260</v>
      </c>
      <c r="I1144">
        <f>AVERAGEIFS(sales_Data[units_sold], sales_Data[product_id],sales_Data[[#This Row],[product_id]])</f>
        <v>30.438356164383563</v>
      </c>
      <c r="J1144">
        <f>_xlfn.XLOOKUP(sales_Data[[#This Row],[product_id]],sales_Data[product_id],sales_Data[unit_price])</f>
        <v>35</v>
      </c>
    </row>
    <row r="1145" spans="1:10" x14ac:dyDescent="0.3">
      <c r="A1145" t="s">
        <v>1161</v>
      </c>
      <c r="B1145" s="1">
        <v>45886</v>
      </c>
      <c r="C1145" t="s">
        <v>18</v>
      </c>
      <c r="D1145" t="s">
        <v>19</v>
      </c>
      <c r="E1145">
        <v>120</v>
      </c>
      <c r="F1145">
        <v>60</v>
      </c>
      <c r="G1145">
        <v>0</v>
      </c>
      <c r="H1145">
        <v>7200</v>
      </c>
      <c r="I1145">
        <f>AVERAGEIFS(sales_Data[units_sold], sales_Data[product_id],sales_Data[[#This Row],[product_id]])</f>
        <v>30.473972602739725</v>
      </c>
      <c r="J1145">
        <f>_xlfn.XLOOKUP(sales_Data[[#This Row],[product_id]],sales_Data[product_id],sales_Data[unit_price])</f>
        <v>120</v>
      </c>
    </row>
    <row r="1146" spans="1:10" x14ac:dyDescent="0.3">
      <c r="A1146" t="s">
        <v>1162</v>
      </c>
      <c r="B1146" s="1">
        <v>45886</v>
      </c>
      <c r="C1146" t="s">
        <v>21</v>
      </c>
      <c r="D1146" t="s">
        <v>22</v>
      </c>
      <c r="E1146">
        <v>25</v>
      </c>
      <c r="F1146">
        <v>30</v>
      </c>
      <c r="G1146">
        <v>0.2</v>
      </c>
      <c r="H1146">
        <v>600</v>
      </c>
      <c r="I1146">
        <f>AVERAGEIFS(sales_Data[units_sold], sales_Data[product_id],sales_Data[[#This Row],[product_id]])</f>
        <v>29.463013698630139</v>
      </c>
      <c r="J1146">
        <f>_xlfn.XLOOKUP(sales_Data[[#This Row],[product_id]],sales_Data[product_id],sales_Data[unit_price])</f>
        <v>25</v>
      </c>
    </row>
    <row r="1147" spans="1:10" x14ac:dyDescent="0.3">
      <c r="A1147" t="s">
        <v>1163</v>
      </c>
      <c r="B1147" s="1">
        <v>45887</v>
      </c>
      <c r="C1147" t="s">
        <v>9</v>
      </c>
      <c r="D1147" t="s">
        <v>10</v>
      </c>
      <c r="E1147">
        <v>45</v>
      </c>
      <c r="F1147">
        <v>37</v>
      </c>
      <c r="G1147">
        <v>0</v>
      </c>
      <c r="H1147">
        <v>1665</v>
      </c>
      <c r="I1147">
        <f>AVERAGEIFS(sales_Data[units_sold], sales_Data[product_id],sales_Data[[#This Row],[product_id]])</f>
        <v>31.479452054794521</v>
      </c>
      <c r="J1147">
        <f>_xlfn.XLOOKUP(sales_Data[[#This Row],[product_id]],sales_Data[product_id],sales_Data[unit_price])</f>
        <v>45</v>
      </c>
    </row>
    <row r="1148" spans="1:10" x14ac:dyDescent="0.3">
      <c r="A1148" t="s">
        <v>1164</v>
      </c>
      <c r="B1148" s="1">
        <v>45887</v>
      </c>
      <c r="C1148" t="s">
        <v>12</v>
      </c>
      <c r="D1148" t="s">
        <v>13</v>
      </c>
      <c r="E1148">
        <v>12.5</v>
      </c>
      <c r="F1148">
        <v>33</v>
      </c>
      <c r="G1148">
        <v>0.2</v>
      </c>
      <c r="H1148">
        <v>330</v>
      </c>
      <c r="I1148">
        <f>AVERAGEIFS(sales_Data[units_sold], sales_Data[product_id],sales_Data[[#This Row],[product_id]])</f>
        <v>31.794520547945204</v>
      </c>
      <c r="J1148">
        <f>_xlfn.XLOOKUP(sales_Data[[#This Row],[product_id]],sales_Data[product_id],sales_Data[unit_price])</f>
        <v>12.5</v>
      </c>
    </row>
    <row r="1149" spans="1:10" x14ac:dyDescent="0.3">
      <c r="A1149" t="s">
        <v>1165</v>
      </c>
      <c r="B1149" s="1">
        <v>45887</v>
      </c>
      <c r="C1149" t="s">
        <v>15</v>
      </c>
      <c r="D1149" t="s">
        <v>16</v>
      </c>
      <c r="E1149">
        <v>35</v>
      </c>
      <c r="F1149">
        <v>30</v>
      </c>
      <c r="G1149">
        <v>0</v>
      </c>
      <c r="H1149">
        <v>1050</v>
      </c>
      <c r="I1149">
        <f>AVERAGEIFS(sales_Data[units_sold], sales_Data[product_id],sales_Data[[#This Row],[product_id]])</f>
        <v>30.438356164383563</v>
      </c>
      <c r="J1149">
        <f>_xlfn.XLOOKUP(sales_Data[[#This Row],[product_id]],sales_Data[product_id],sales_Data[unit_price])</f>
        <v>35</v>
      </c>
    </row>
    <row r="1150" spans="1:10" x14ac:dyDescent="0.3">
      <c r="A1150" t="s">
        <v>1166</v>
      </c>
      <c r="B1150" s="1">
        <v>45887</v>
      </c>
      <c r="C1150" t="s">
        <v>18</v>
      </c>
      <c r="D1150" t="s">
        <v>19</v>
      </c>
      <c r="E1150">
        <v>120</v>
      </c>
      <c r="F1150">
        <v>7</v>
      </c>
      <c r="G1150">
        <v>0</v>
      </c>
      <c r="H1150">
        <v>840</v>
      </c>
      <c r="I1150">
        <f>AVERAGEIFS(sales_Data[units_sold], sales_Data[product_id],sales_Data[[#This Row],[product_id]])</f>
        <v>30.473972602739725</v>
      </c>
      <c r="J1150">
        <f>_xlfn.XLOOKUP(sales_Data[[#This Row],[product_id]],sales_Data[product_id],sales_Data[unit_price])</f>
        <v>120</v>
      </c>
    </row>
    <row r="1151" spans="1:10" x14ac:dyDescent="0.3">
      <c r="A1151" t="s">
        <v>1167</v>
      </c>
      <c r="B1151" s="1">
        <v>45887</v>
      </c>
      <c r="C1151" t="s">
        <v>21</v>
      </c>
      <c r="D1151" t="s">
        <v>22</v>
      </c>
      <c r="E1151">
        <v>25</v>
      </c>
      <c r="F1151">
        <v>8</v>
      </c>
      <c r="G1151">
        <v>0</v>
      </c>
      <c r="H1151">
        <v>200</v>
      </c>
      <c r="I1151">
        <f>AVERAGEIFS(sales_Data[units_sold], sales_Data[product_id],sales_Data[[#This Row],[product_id]])</f>
        <v>29.463013698630139</v>
      </c>
      <c r="J1151">
        <f>_xlfn.XLOOKUP(sales_Data[[#This Row],[product_id]],sales_Data[product_id],sales_Data[unit_price])</f>
        <v>25</v>
      </c>
    </row>
    <row r="1152" spans="1:10" x14ac:dyDescent="0.3">
      <c r="A1152" t="s">
        <v>1168</v>
      </c>
      <c r="B1152" s="1">
        <v>45888</v>
      </c>
      <c r="C1152" t="s">
        <v>9</v>
      </c>
      <c r="D1152" t="s">
        <v>10</v>
      </c>
      <c r="E1152">
        <v>45</v>
      </c>
      <c r="F1152">
        <v>47</v>
      </c>
      <c r="G1152">
        <v>0</v>
      </c>
      <c r="H1152">
        <v>2115</v>
      </c>
      <c r="I1152">
        <f>AVERAGEIFS(sales_Data[units_sold], sales_Data[product_id],sales_Data[[#This Row],[product_id]])</f>
        <v>31.479452054794521</v>
      </c>
      <c r="J1152">
        <f>_xlfn.XLOOKUP(sales_Data[[#This Row],[product_id]],sales_Data[product_id],sales_Data[unit_price])</f>
        <v>45</v>
      </c>
    </row>
    <row r="1153" spans="1:10" x14ac:dyDescent="0.3">
      <c r="A1153" t="s">
        <v>1169</v>
      </c>
      <c r="B1153" s="1">
        <v>45888</v>
      </c>
      <c r="C1153" t="s">
        <v>12</v>
      </c>
      <c r="D1153" t="s">
        <v>13</v>
      </c>
      <c r="E1153">
        <v>12.5</v>
      </c>
      <c r="F1153">
        <v>25</v>
      </c>
      <c r="G1153">
        <v>0.1</v>
      </c>
      <c r="H1153">
        <v>281.25</v>
      </c>
      <c r="I1153">
        <f>AVERAGEIFS(sales_Data[units_sold], sales_Data[product_id],sales_Data[[#This Row],[product_id]])</f>
        <v>31.794520547945204</v>
      </c>
      <c r="J1153">
        <f>_xlfn.XLOOKUP(sales_Data[[#This Row],[product_id]],sales_Data[product_id],sales_Data[unit_price])</f>
        <v>12.5</v>
      </c>
    </row>
    <row r="1154" spans="1:10" x14ac:dyDescent="0.3">
      <c r="A1154" t="s">
        <v>1170</v>
      </c>
      <c r="B1154" s="1">
        <v>45888</v>
      </c>
      <c r="C1154" t="s">
        <v>15</v>
      </c>
      <c r="D1154" t="s">
        <v>16</v>
      </c>
      <c r="E1154">
        <v>35</v>
      </c>
      <c r="F1154">
        <v>25</v>
      </c>
      <c r="G1154">
        <v>0</v>
      </c>
      <c r="H1154">
        <v>875</v>
      </c>
      <c r="I1154">
        <f>AVERAGEIFS(sales_Data[units_sold], sales_Data[product_id],sales_Data[[#This Row],[product_id]])</f>
        <v>30.438356164383563</v>
      </c>
      <c r="J1154">
        <f>_xlfn.XLOOKUP(sales_Data[[#This Row],[product_id]],sales_Data[product_id],sales_Data[unit_price])</f>
        <v>35</v>
      </c>
    </row>
    <row r="1155" spans="1:10" x14ac:dyDescent="0.3">
      <c r="A1155" t="s">
        <v>1171</v>
      </c>
      <c r="B1155" s="1">
        <v>45888</v>
      </c>
      <c r="C1155" t="s">
        <v>18</v>
      </c>
      <c r="D1155" t="s">
        <v>19</v>
      </c>
      <c r="E1155">
        <v>120</v>
      </c>
      <c r="F1155">
        <v>27</v>
      </c>
      <c r="G1155">
        <v>0</v>
      </c>
      <c r="H1155">
        <v>3240</v>
      </c>
      <c r="I1155">
        <f>AVERAGEIFS(sales_Data[units_sold], sales_Data[product_id],sales_Data[[#This Row],[product_id]])</f>
        <v>30.473972602739725</v>
      </c>
      <c r="J1155">
        <f>_xlfn.XLOOKUP(sales_Data[[#This Row],[product_id]],sales_Data[product_id],sales_Data[unit_price])</f>
        <v>120</v>
      </c>
    </row>
    <row r="1156" spans="1:10" x14ac:dyDescent="0.3">
      <c r="A1156" t="s">
        <v>1172</v>
      </c>
      <c r="B1156" s="1">
        <v>45888</v>
      </c>
      <c r="C1156" t="s">
        <v>21</v>
      </c>
      <c r="D1156" t="s">
        <v>22</v>
      </c>
      <c r="E1156">
        <v>25</v>
      </c>
      <c r="F1156">
        <v>37</v>
      </c>
      <c r="G1156">
        <v>0</v>
      </c>
      <c r="H1156">
        <v>925</v>
      </c>
      <c r="I1156">
        <f>AVERAGEIFS(sales_Data[units_sold], sales_Data[product_id],sales_Data[[#This Row],[product_id]])</f>
        <v>29.463013698630139</v>
      </c>
      <c r="J1156">
        <f>_xlfn.XLOOKUP(sales_Data[[#This Row],[product_id]],sales_Data[product_id],sales_Data[unit_price])</f>
        <v>25</v>
      </c>
    </row>
    <row r="1157" spans="1:10" x14ac:dyDescent="0.3">
      <c r="A1157" t="s">
        <v>1173</v>
      </c>
      <c r="B1157" s="1">
        <v>45889</v>
      </c>
      <c r="C1157" t="s">
        <v>9</v>
      </c>
      <c r="D1157" t="s">
        <v>10</v>
      </c>
      <c r="E1157">
        <v>45</v>
      </c>
      <c r="F1157">
        <v>36</v>
      </c>
      <c r="G1157">
        <v>0</v>
      </c>
      <c r="H1157">
        <v>1620</v>
      </c>
      <c r="I1157">
        <f>AVERAGEIFS(sales_Data[units_sold], sales_Data[product_id],sales_Data[[#This Row],[product_id]])</f>
        <v>31.479452054794521</v>
      </c>
      <c r="J1157">
        <f>_xlfn.XLOOKUP(sales_Data[[#This Row],[product_id]],sales_Data[product_id],sales_Data[unit_price])</f>
        <v>45</v>
      </c>
    </row>
    <row r="1158" spans="1:10" x14ac:dyDescent="0.3">
      <c r="A1158" t="s">
        <v>1174</v>
      </c>
      <c r="B1158" s="1">
        <v>45889</v>
      </c>
      <c r="C1158" t="s">
        <v>12</v>
      </c>
      <c r="D1158" t="s">
        <v>13</v>
      </c>
      <c r="E1158">
        <v>12.5</v>
      </c>
      <c r="F1158">
        <v>11</v>
      </c>
      <c r="G1158">
        <v>0</v>
      </c>
      <c r="H1158">
        <v>137.5</v>
      </c>
      <c r="I1158">
        <f>AVERAGEIFS(sales_Data[units_sold], sales_Data[product_id],sales_Data[[#This Row],[product_id]])</f>
        <v>31.794520547945204</v>
      </c>
      <c r="J1158">
        <f>_xlfn.XLOOKUP(sales_Data[[#This Row],[product_id]],sales_Data[product_id],sales_Data[unit_price])</f>
        <v>12.5</v>
      </c>
    </row>
    <row r="1159" spans="1:10" x14ac:dyDescent="0.3">
      <c r="A1159" t="s">
        <v>1175</v>
      </c>
      <c r="B1159" s="1">
        <v>45889</v>
      </c>
      <c r="C1159" t="s">
        <v>15</v>
      </c>
      <c r="D1159" t="s">
        <v>16</v>
      </c>
      <c r="E1159">
        <v>35</v>
      </c>
      <c r="F1159">
        <v>41</v>
      </c>
      <c r="G1159">
        <v>0.2</v>
      </c>
      <c r="H1159">
        <v>1148</v>
      </c>
      <c r="I1159">
        <f>AVERAGEIFS(sales_Data[units_sold], sales_Data[product_id],sales_Data[[#This Row],[product_id]])</f>
        <v>30.438356164383563</v>
      </c>
      <c r="J1159">
        <f>_xlfn.XLOOKUP(sales_Data[[#This Row],[product_id]],sales_Data[product_id],sales_Data[unit_price])</f>
        <v>35</v>
      </c>
    </row>
    <row r="1160" spans="1:10" x14ac:dyDescent="0.3">
      <c r="A1160" t="s">
        <v>1176</v>
      </c>
      <c r="B1160" s="1">
        <v>45889</v>
      </c>
      <c r="C1160" t="s">
        <v>18</v>
      </c>
      <c r="D1160" t="s">
        <v>19</v>
      </c>
      <c r="E1160">
        <v>120</v>
      </c>
      <c r="F1160">
        <v>24</v>
      </c>
      <c r="G1160">
        <v>0.1</v>
      </c>
      <c r="H1160">
        <v>2592</v>
      </c>
      <c r="I1160">
        <f>AVERAGEIFS(sales_Data[units_sold], sales_Data[product_id],sales_Data[[#This Row],[product_id]])</f>
        <v>30.473972602739725</v>
      </c>
      <c r="J1160">
        <f>_xlfn.XLOOKUP(sales_Data[[#This Row],[product_id]],sales_Data[product_id],sales_Data[unit_price])</f>
        <v>120</v>
      </c>
    </row>
    <row r="1161" spans="1:10" x14ac:dyDescent="0.3">
      <c r="A1161" t="s">
        <v>1177</v>
      </c>
      <c r="B1161" s="1">
        <v>45889</v>
      </c>
      <c r="C1161" t="s">
        <v>21</v>
      </c>
      <c r="D1161" t="s">
        <v>22</v>
      </c>
      <c r="E1161">
        <v>25</v>
      </c>
      <c r="F1161">
        <v>41</v>
      </c>
      <c r="G1161">
        <v>0.1</v>
      </c>
      <c r="H1161">
        <v>922.5</v>
      </c>
      <c r="I1161">
        <f>AVERAGEIFS(sales_Data[units_sold], sales_Data[product_id],sales_Data[[#This Row],[product_id]])</f>
        <v>29.463013698630139</v>
      </c>
      <c r="J1161">
        <f>_xlfn.XLOOKUP(sales_Data[[#This Row],[product_id]],sales_Data[product_id],sales_Data[unit_price])</f>
        <v>25</v>
      </c>
    </row>
    <row r="1162" spans="1:10" x14ac:dyDescent="0.3">
      <c r="A1162" t="s">
        <v>1178</v>
      </c>
      <c r="B1162" s="1">
        <v>45890</v>
      </c>
      <c r="C1162" t="s">
        <v>9</v>
      </c>
      <c r="D1162" t="s">
        <v>10</v>
      </c>
      <c r="E1162">
        <v>45</v>
      </c>
      <c r="F1162">
        <v>28</v>
      </c>
      <c r="G1162">
        <v>0</v>
      </c>
      <c r="H1162">
        <v>1260</v>
      </c>
      <c r="I1162">
        <f>AVERAGEIFS(sales_Data[units_sold], sales_Data[product_id],sales_Data[[#This Row],[product_id]])</f>
        <v>31.479452054794521</v>
      </c>
      <c r="J1162">
        <f>_xlfn.XLOOKUP(sales_Data[[#This Row],[product_id]],sales_Data[product_id],sales_Data[unit_price])</f>
        <v>45</v>
      </c>
    </row>
    <row r="1163" spans="1:10" x14ac:dyDescent="0.3">
      <c r="A1163" t="s">
        <v>1179</v>
      </c>
      <c r="B1163" s="1">
        <v>45890</v>
      </c>
      <c r="C1163" t="s">
        <v>12</v>
      </c>
      <c r="D1163" t="s">
        <v>13</v>
      </c>
      <c r="E1163">
        <v>12.5</v>
      </c>
      <c r="F1163">
        <v>31</v>
      </c>
      <c r="G1163">
        <v>0.1</v>
      </c>
      <c r="H1163">
        <v>348.75</v>
      </c>
      <c r="I1163">
        <f>AVERAGEIFS(sales_Data[units_sold], sales_Data[product_id],sales_Data[[#This Row],[product_id]])</f>
        <v>31.794520547945204</v>
      </c>
      <c r="J1163">
        <f>_xlfn.XLOOKUP(sales_Data[[#This Row],[product_id]],sales_Data[product_id],sales_Data[unit_price])</f>
        <v>12.5</v>
      </c>
    </row>
    <row r="1164" spans="1:10" x14ac:dyDescent="0.3">
      <c r="A1164" t="s">
        <v>1180</v>
      </c>
      <c r="B1164" s="1">
        <v>45890</v>
      </c>
      <c r="C1164" t="s">
        <v>15</v>
      </c>
      <c r="D1164" t="s">
        <v>16</v>
      </c>
      <c r="E1164">
        <v>35</v>
      </c>
      <c r="F1164">
        <v>31</v>
      </c>
      <c r="G1164">
        <v>0</v>
      </c>
      <c r="H1164">
        <v>1085</v>
      </c>
      <c r="I1164">
        <f>AVERAGEIFS(sales_Data[units_sold], sales_Data[product_id],sales_Data[[#This Row],[product_id]])</f>
        <v>30.438356164383563</v>
      </c>
      <c r="J1164">
        <f>_xlfn.XLOOKUP(sales_Data[[#This Row],[product_id]],sales_Data[product_id],sales_Data[unit_price])</f>
        <v>35</v>
      </c>
    </row>
    <row r="1165" spans="1:10" x14ac:dyDescent="0.3">
      <c r="A1165" t="s">
        <v>1181</v>
      </c>
      <c r="B1165" s="1">
        <v>45890</v>
      </c>
      <c r="C1165" t="s">
        <v>18</v>
      </c>
      <c r="D1165" t="s">
        <v>19</v>
      </c>
      <c r="E1165">
        <v>120</v>
      </c>
      <c r="F1165">
        <v>13</v>
      </c>
      <c r="G1165">
        <v>0.1</v>
      </c>
      <c r="H1165">
        <v>1404</v>
      </c>
      <c r="I1165">
        <f>AVERAGEIFS(sales_Data[units_sold], sales_Data[product_id],sales_Data[[#This Row],[product_id]])</f>
        <v>30.473972602739725</v>
      </c>
      <c r="J1165">
        <f>_xlfn.XLOOKUP(sales_Data[[#This Row],[product_id]],sales_Data[product_id],sales_Data[unit_price])</f>
        <v>120</v>
      </c>
    </row>
    <row r="1166" spans="1:10" x14ac:dyDescent="0.3">
      <c r="A1166" t="s">
        <v>1182</v>
      </c>
      <c r="B1166" s="1">
        <v>45890</v>
      </c>
      <c r="C1166" t="s">
        <v>21</v>
      </c>
      <c r="D1166" t="s">
        <v>22</v>
      </c>
      <c r="E1166">
        <v>25</v>
      </c>
      <c r="F1166">
        <v>36</v>
      </c>
      <c r="G1166">
        <v>0.1</v>
      </c>
      <c r="H1166">
        <v>810</v>
      </c>
      <c r="I1166">
        <f>AVERAGEIFS(sales_Data[units_sold], sales_Data[product_id],sales_Data[[#This Row],[product_id]])</f>
        <v>29.463013698630139</v>
      </c>
      <c r="J1166">
        <f>_xlfn.XLOOKUP(sales_Data[[#This Row],[product_id]],sales_Data[product_id],sales_Data[unit_price])</f>
        <v>25</v>
      </c>
    </row>
    <row r="1167" spans="1:10" x14ac:dyDescent="0.3">
      <c r="A1167" t="s">
        <v>1183</v>
      </c>
      <c r="B1167" s="1">
        <v>45891</v>
      </c>
      <c r="C1167" t="s">
        <v>9</v>
      </c>
      <c r="D1167" t="s">
        <v>10</v>
      </c>
      <c r="E1167">
        <v>45</v>
      </c>
      <c r="F1167">
        <v>15</v>
      </c>
      <c r="G1167">
        <v>0.1</v>
      </c>
      <c r="H1167">
        <v>607.5</v>
      </c>
      <c r="I1167">
        <f>AVERAGEIFS(sales_Data[units_sold], sales_Data[product_id],sales_Data[[#This Row],[product_id]])</f>
        <v>31.479452054794521</v>
      </c>
      <c r="J1167">
        <f>_xlfn.XLOOKUP(sales_Data[[#This Row],[product_id]],sales_Data[product_id],sales_Data[unit_price])</f>
        <v>45</v>
      </c>
    </row>
    <row r="1168" spans="1:10" x14ac:dyDescent="0.3">
      <c r="A1168" t="s">
        <v>1184</v>
      </c>
      <c r="B1168" s="1">
        <v>45891</v>
      </c>
      <c r="C1168" t="s">
        <v>12</v>
      </c>
      <c r="D1168" t="s">
        <v>13</v>
      </c>
      <c r="E1168">
        <v>12.5</v>
      </c>
      <c r="F1168">
        <v>41</v>
      </c>
      <c r="G1168">
        <v>0.1</v>
      </c>
      <c r="H1168">
        <v>461.25</v>
      </c>
      <c r="I1168">
        <f>AVERAGEIFS(sales_Data[units_sold], sales_Data[product_id],sales_Data[[#This Row],[product_id]])</f>
        <v>31.794520547945204</v>
      </c>
      <c r="J1168">
        <f>_xlfn.XLOOKUP(sales_Data[[#This Row],[product_id]],sales_Data[product_id],sales_Data[unit_price])</f>
        <v>12.5</v>
      </c>
    </row>
    <row r="1169" spans="1:10" x14ac:dyDescent="0.3">
      <c r="A1169" t="s">
        <v>1185</v>
      </c>
      <c r="B1169" s="1">
        <v>45891</v>
      </c>
      <c r="C1169" t="s">
        <v>15</v>
      </c>
      <c r="D1169" t="s">
        <v>16</v>
      </c>
      <c r="E1169">
        <v>35</v>
      </c>
      <c r="F1169">
        <v>35</v>
      </c>
      <c r="G1169">
        <v>0.1</v>
      </c>
      <c r="H1169">
        <v>1102.5</v>
      </c>
      <c r="I1169">
        <f>AVERAGEIFS(sales_Data[units_sold], sales_Data[product_id],sales_Data[[#This Row],[product_id]])</f>
        <v>30.438356164383563</v>
      </c>
      <c r="J1169">
        <f>_xlfn.XLOOKUP(sales_Data[[#This Row],[product_id]],sales_Data[product_id],sales_Data[unit_price])</f>
        <v>35</v>
      </c>
    </row>
    <row r="1170" spans="1:10" x14ac:dyDescent="0.3">
      <c r="A1170" t="s">
        <v>1186</v>
      </c>
      <c r="B1170" s="1">
        <v>45891</v>
      </c>
      <c r="C1170" t="s">
        <v>18</v>
      </c>
      <c r="D1170" t="s">
        <v>19</v>
      </c>
      <c r="E1170">
        <v>120</v>
      </c>
      <c r="F1170">
        <v>33</v>
      </c>
      <c r="G1170">
        <v>0</v>
      </c>
      <c r="H1170">
        <v>3960</v>
      </c>
      <c r="I1170">
        <f>AVERAGEIFS(sales_Data[units_sold], sales_Data[product_id],sales_Data[[#This Row],[product_id]])</f>
        <v>30.473972602739725</v>
      </c>
      <c r="J1170">
        <f>_xlfn.XLOOKUP(sales_Data[[#This Row],[product_id]],sales_Data[product_id],sales_Data[unit_price])</f>
        <v>120</v>
      </c>
    </row>
    <row r="1171" spans="1:10" x14ac:dyDescent="0.3">
      <c r="A1171" t="s">
        <v>1187</v>
      </c>
      <c r="B1171" s="1">
        <v>45891</v>
      </c>
      <c r="C1171" t="s">
        <v>21</v>
      </c>
      <c r="D1171" t="s">
        <v>22</v>
      </c>
      <c r="E1171">
        <v>25</v>
      </c>
      <c r="F1171">
        <v>25</v>
      </c>
      <c r="G1171">
        <v>0</v>
      </c>
      <c r="H1171">
        <v>625</v>
      </c>
      <c r="I1171">
        <f>AVERAGEIFS(sales_Data[units_sold], sales_Data[product_id],sales_Data[[#This Row],[product_id]])</f>
        <v>29.463013698630139</v>
      </c>
      <c r="J1171">
        <f>_xlfn.XLOOKUP(sales_Data[[#This Row],[product_id]],sales_Data[product_id],sales_Data[unit_price])</f>
        <v>25</v>
      </c>
    </row>
    <row r="1172" spans="1:10" x14ac:dyDescent="0.3">
      <c r="A1172" t="s">
        <v>1188</v>
      </c>
      <c r="B1172" s="1">
        <v>45892</v>
      </c>
      <c r="C1172" t="s">
        <v>9</v>
      </c>
      <c r="D1172" t="s">
        <v>10</v>
      </c>
      <c r="E1172">
        <v>45</v>
      </c>
      <c r="F1172">
        <v>48</v>
      </c>
      <c r="G1172">
        <v>0.2</v>
      </c>
      <c r="H1172">
        <v>1728</v>
      </c>
      <c r="I1172">
        <f>AVERAGEIFS(sales_Data[units_sold], sales_Data[product_id],sales_Data[[#This Row],[product_id]])</f>
        <v>31.479452054794521</v>
      </c>
      <c r="J1172">
        <f>_xlfn.XLOOKUP(sales_Data[[#This Row],[product_id]],sales_Data[product_id],sales_Data[unit_price])</f>
        <v>45</v>
      </c>
    </row>
    <row r="1173" spans="1:10" x14ac:dyDescent="0.3">
      <c r="A1173" t="s">
        <v>1189</v>
      </c>
      <c r="B1173" s="1">
        <v>45892</v>
      </c>
      <c r="C1173" t="s">
        <v>12</v>
      </c>
      <c r="D1173" t="s">
        <v>13</v>
      </c>
      <c r="E1173">
        <v>12.5</v>
      </c>
      <c r="F1173">
        <v>49</v>
      </c>
      <c r="G1173">
        <v>0.1</v>
      </c>
      <c r="H1173">
        <v>551.25</v>
      </c>
      <c r="I1173">
        <f>AVERAGEIFS(sales_Data[units_sold], sales_Data[product_id],sales_Data[[#This Row],[product_id]])</f>
        <v>31.794520547945204</v>
      </c>
      <c r="J1173">
        <f>_xlfn.XLOOKUP(sales_Data[[#This Row],[product_id]],sales_Data[product_id],sales_Data[unit_price])</f>
        <v>12.5</v>
      </c>
    </row>
    <row r="1174" spans="1:10" x14ac:dyDescent="0.3">
      <c r="A1174" t="s">
        <v>1190</v>
      </c>
      <c r="B1174" s="1">
        <v>45892</v>
      </c>
      <c r="C1174" t="s">
        <v>15</v>
      </c>
      <c r="D1174" t="s">
        <v>16</v>
      </c>
      <c r="E1174">
        <v>35</v>
      </c>
      <c r="F1174">
        <v>7</v>
      </c>
      <c r="G1174">
        <v>0</v>
      </c>
      <c r="H1174">
        <v>245</v>
      </c>
      <c r="I1174">
        <f>AVERAGEIFS(sales_Data[units_sold], sales_Data[product_id],sales_Data[[#This Row],[product_id]])</f>
        <v>30.438356164383563</v>
      </c>
      <c r="J1174">
        <f>_xlfn.XLOOKUP(sales_Data[[#This Row],[product_id]],sales_Data[product_id],sales_Data[unit_price])</f>
        <v>35</v>
      </c>
    </row>
    <row r="1175" spans="1:10" x14ac:dyDescent="0.3">
      <c r="A1175" t="s">
        <v>1191</v>
      </c>
      <c r="B1175" s="1">
        <v>45892</v>
      </c>
      <c r="C1175" t="s">
        <v>18</v>
      </c>
      <c r="D1175" t="s">
        <v>19</v>
      </c>
      <c r="E1175">
        <v>120</v>
      </c>
      <c r="F1175">
        <v>16</v>
      </c>
      <c r="G1175">
        <v>0</v>
      </c>
      <c r="H1175">
        <v>1920</v>
      </c>
      <c r="I1175">
        <f>AVERAGEIFS(sales_Data[units_sold], sales_Data[product_id],sales_Data[[#This Row],[product_id]])</f>
        <v>30.473972602739725</v>
      </c>
      <c r="J1175">
        <f>_xlfn.XLOOKUP(sales_Data[[#This Row],[product_id]],sales_Data[product_id],sales_Data[unit_price])</f>
        <v>120</v>
      </c>
    </row>
    <row r="1176" spans="1:10" x14ac:dyDescent="0.3">
      <c r="A1176" t="s">
        <v>1192</v>
      </c>
      <c r="B1176" s="1">
        <v>45892</v>
      </c>
      <c r="C1176" t="s">
        <v>21</v>
      </c>
      <c r="D1176" t="s">
        <v>22</v>
      </c>
      <c r="E1176">
        <v>25</v>
      </c>
      <c r="F1176">
        <v>55</v>
      </c>
      <c r="G1176">
        <v>0</v>
      </c>
      <c r="H1176">
        <v>1375</v>
      </c>
      <c r="I1176">
        <f>AVERAGEIFS(sales_Data[units_sold], sales_Data[product_id],sales_Data[[#This Row],[product_id]])</f>
        <v>29.463013698630139</v>
      </c>
      <c r="J1176">
        <f>_xlfn.XLOOKUP(sales_Data[[#This Row],[product_id]],sales_Data[product_id],sales_Data[unit_price])</f>
        <v>25</v>
      </c>
    </row>
    <row r="1177" spans="1:10" x14ac:dyDescent="0.3">
      <c r="A1177" t="s">
        <v>1193</v>
      </c>
      <c r="B1177" s="1">
        <v>45893</v>
      </c>
      <c r="C1177" t="s">
        <v>9</v>
      </c>
      <c r="D1177" t="s">
        <v>10</v>
      </c>
      <c r="E1177">
        <v>45</v>
      </c>
      <c r="F1177">
        <v>42</v>
      </c>
      <c r="G1177">
        <v>0.1</v>
      </c>
      <c r="H1177">
        <v>1701</v>
      </c>
      <c r="I1177">
        <f>AVERAGEIFS(sales_Data[units_sold], sales_Data[product_id],sales_Data[[#This Row],[product_id]])</f>
        <v>31.479452054794521</v>
      </c>
      <c r="J1177">
        <f>_xlfn.XLOOKUP(sales_Data[[#This Row],[product_id]],sales_Data[product_id],sales_Data[unit_price])</f>
        <v>45</v>
      </c>
    </row>
    <row r="1178" spans="1:10" x14ac:dyDescent="0.3">
      <c r="A1178" t="s">
        <v>1194</v>
      </c>
      <c r="B1178" s="1">
        <v>45893</v>
      </c>
      <c r="C1178" t="s">
        <v>12</v>
      </c>
      <c r="D1178" t="s">
        <v>13</v>
      </c>
      <c r="E1178">
        <v>12.5</v>
      </c>
      <c r="F1178">
        <v>52</v>
      </c>
      <c r="G1178">
        <v>0</v>
      </c>
      <c r="H1178">
        <v>650</v>
      </c>
      <c r="I1178">
        <f>AVERAGEIFS(sales_Data[units_sold], sales_Data[product_id],sales_Data[[#This Row],[product_id]])</f>
        <v>31.794520547945204</v>
      </c>
      <c r="J1178">
        <f>_xlfn.XLOOKUP(sales_Data[[#This Row],[product_id]],sales_Data[product_id],sales_Data[unit_price])</f>
        <v>12.5</v>
      </c>
    </row>
    <row r="1179" spans="1:10" x14ac:dyDescent="0.3">
      <c r="A1179" t="s">
        <v>1195</v>
      </c>
      <c r="B1179" s="1">
        <v>45893</v>
      </c>
      <c r="C1179" t="s">
        <v>15</v>
      </c>
      <c r="D1179" t="s">
        <v>16</v>
      </c>
      <c r="E1179">
        <v>35</v>
      </c>
      <c r="F1179">
        <v>60</v>
      </c>
      <c r="G1179">
        <v>0.1</v>
      </c>
      <c r="H1179">
        <v>1890</v>
      </c>
      <c r="I1179">
        <f>AVERAGEIFS(sales_Data[units_sold], sales_Data[product_id],sales_Data[[#This Row],[product_id]])</f>
        <v>30.438356164383563</v>
      </c>
      <c r="J1179">
        <f>_xlfn.XLOOKUP(sales_Data[[#This Row],[product_id]],sales_Data[product_id],sales_Data[unit_price])</f>
        <v>35</v>
      </c>
    </row>
    <row r="1180" spans="1:10" x14ac:dyDescent="0.3">
      <c r="A1180" t="s">
        <v>1196</v>
      </c>
      <c r="B1180" s="1">
        <v>45893</v>
      </c>
      <c r="C1180" t="s">
        <v>18</v>
      </c>
      <c r="D1180" t="s">
        <v>19</v>
      </c>
      <c r="E1180">
        <v>120</v>
      </c>
      <c r="F1180">
        <v>66</v>
      </c>
      <c r="G1180">
        <v>0</v>
      </c>
      <c r="H1180">
        <v>7920</v>
      </c>
      <c r="I1180">
        <f>AVERAGEIFS(sales_Data[units_sold], sales_Data[product_id],sales_Data[[#This Row],[product_id]])</f>
        <v>30.473972602739725</v>
      </c>
      <c r="J1180">
        <f>_xlfn.XLOOKUP(sales_Data[[#This Row],[product_id]],sales_Data[product_id],sales_Data[unit_price])</f>
        <v>120</v>
      </c>
    </row>
    <row r="1181" spans="1:10" x14ac:dyDescent="0.3">
      <c r="A1181" t="s">
        <v>1197</v>
      </c>
      <c r="B1181" s="1">
        <v>45893</v>
      </c>
      <c r="C1181" t="s">
        <v>21</v>
      </c>
      <c r="D1181" t="s">
        <v>22</v>
      </c>
      <c r="E1181">
        <v>25</v>
      </c>
      <c r="F1181">
        <v>13</v>
      </c>
      <c r="G1181">
        <v>0</v>
      </c>
      <c r="H1181">
        <v>325</v>
      </c>
      <c r="I1181">
        <f>AVERAGEIFS(sales_Data[units_sold], sales_Data[product_id],sales_Data[[#This Row],[product_id]])</f>
        <v>29.463013698630139</v>
      </c>
      <c r="J1181">
        <f>_xlfn.XLOOKUP(sales_Data[[#This Row],[product_id]],sales_Data[product_id],sales_Data[unit_price])</f>
        <v>25</v>
      </c>
    </row>
    <row r="1182" spans="1:10" x14ac:dyDescent="0.3">
      <c r="A1182" t="s">
        <v>1198</v>
      </c>
      <c r="B1182" s="1">
        <v>45894</v>
      </c>
      <c r="C1182" t="s">
        <v>9</v>
      </c>
      <c r="D1182" t="s">
        <v>10</v>
      </c>
      <c r="E1182">
        <v>45</v>
      </c>
      <c r="F1182">
        <v>31</v>
      </c>
      <c r="G1182">
        <v>0.1</v>
      </c>
      <c r="H1182">
        <v>1255.5</v>
      </c>
      <c r="I1182">
        <f>AVERAGEIFS(sales_Data[units_sold], sales_Data[product_id],sales_Data[[#This Row],[product_id]])</f>
        <v>31.479452054794521</v>
      </c>
      <c r="J1182">
        <f>_xlfn.XLOOKUP(sales_Data[[#This Row],[product_id]],sales_Data[product_id],sales_Data[unit_price])</f>
        <v>45</v>
      </c>
    </row>
    <row r="1183" spans="1:10" x14ac:dyDescent="0.3">
      <c r="A1183" t="s">
        <v>1199</v>
      </c>
      <c r="B1183" s="1">
        <v>45894</v>
      </c>
      <c r="C1183" t="s">
        <v>12</v>
      </c>
      <c r="D1183" t="s">
        <v>13</v>
      </c>
      <c r="E1183">
        <v>12.5</v>
      </c>
      <c r="F1183">
        <v>32</v>
      </c>
      <c r="G1183">
        <v>0.1</v>
      </c>
      <c r="H1183">
        <v>360</v>
      </c>
      <c r="I1183">
        <f>AVERAGEIFS(sales_Data[units_sold], sales_Data[product_id],sales_Data[[#This Row],[product_id]])</f>
        <v>31.794520547945204</v>
      </c>
      <c r="J1183">
        <f>_xlfn.XLOOKUP(sales_Data[[#This Row],[product_id]],sales_Data[product_id],sales_Data[unit_price])</f>
        <v>12.5</v>
      </c>
    </row>
    <row r="1184" spans="1:10" x14ac:dyDescent="0.3">
      <c r="A1184" t="s">
        <v>1200</v>
      </c>
      <c r="B1184" s="1">
        <v>45894</v>
      </c>
      <c r="C1184" t="s">
        <v>15</v>
      </c>
      <c r="D1184" t="s">
        <v>16</v>
      </c>
      <c r="E1184">
        <v>35</v>
      </c>
      <c r="F1184">
        <v>6</v>
      </c>
      <c r="G1184">
        <v>0.2</v>
      </c>
      <c r="H1184">
        <v>168</v>
      </c>
      <c r="I1184">
        <f>AVERAGEIFS(sales_Data[units_sold], sales_Data[product_id],sales_Data[[#This Row],[product_id]])</f>
        <v>30.438356164383563</v>
      </c>
      <c r="J1184">
        <f>_xlfn.XLOOKUP(sales_Data[[#This Row],[product_id]],sales_Data[product_id],sales_Data[unit_price])</f>
        <v>35</v>
      </c>
    </row>
    <row r="1185" spans="1:10" x14ac:dyDescent="0.3">
      <c r="A1185" t="s">
        <v>1201</v>
      </c>
      <c r="B1185" s="1">
        <v>45894</v>
      </c>
      <c r="C1185" t="s">
        <v>18</v>
      </c>
      <c r="D1185" t="s">
        <v>19</v>
      </c>
      <c r="E1185">
        <v>120</v>
      </c>
      <c r="F1185">
        <v>27</v>
      </c>
      <c r="G1185">
        <v>0.1</v>
      </c>
      <c r="H1185">
        <v>2916</v>
      </c>
      <c r="I1185">
        <f>AVERAGEIFS(sales_Data[units_sold], sales_Data[product_id],sales_Data[[#This Row],[product_id]])</f>
        <v>30.473972602739725</v>
      </c>
      <c r="J1185">
        <f>_xlfn.XLOOKUP(sales_Data[[#This Row],[product_id]],sales_Data[product_id],sales_Data[unit_price])</f>
        <v>120</v>
      </c>
    </row>
    <row r="1186" spans="1:10" x14ac:dyDescent="0.3">
      <c r="A1186" t="s">
        <v>1202</v>
      </c>
      <c r="B1186" s="1">
        <v>45894</v>
      </c>
      <c r="C1186" t="s">
        <v>21</v>
      </c>
      <c r="D1186" t="s">
        <v>22</v>
      </c>
      <c r="E1186">
        <v>25</v>
      </c>
      <c r="F1186">
        <v>7</v>
      </c>
      <c r="G1186">
        <v>0</v>
      </c>
      <c r="H1186">
        <v>175</v>
      </c>
      <c r="I1186">
        <f>AVERAGEIFS(sales_Data[units_sold], sales_Data[product_id],sales_Data[[#This Row],[product_id]])</f>
        <v>29.463013698630139</v>
      </c>
      <c r="J1186">
        <f>_xlfn.XLOOKUP(sales_Data[[#This Row],[product_id]],sales_Data[product_id],sales_Data[unit_price])</f>
        <v>25</v>
      </c>
    </row>
    <row r="1187" spans="1:10" x14ac:dyDescent="0.3">
      <c r="A1187" t="s">
        <v>1203</v>
      </c>
      <c r="B1187" s="1">
        <v>45895</v>
      </c>
      <c r="C1187" t="s">
        <v>9</v>
      </c>
      <c r="D1187" t="s">
        <v>10</v>
      </c>
      <c r="E1187">
        <v>45</v>
      </c>
      <c r="F1187">
        <v>42</v>
      </c>
      <c r="G1187">
        <v>0</v>
      </c>
      <c r="H1187">
        <v>1890</v>
      </c>
      <c r="I1187">
        <f>AVERAGEIFS(sales_Data[units_sold], sales_Data[product_id],sales_Data[[#This Row],[product_id]])</f>
        <v>31.479452054794521</v>
      </c>
      <c r="J1187">
        <f>_xlfn.XLOOKUP(sales_Data[[#This Row],[product_id]],sales_Data[product_id],sales_Data[unit_price])</f>
        <v>45</v>
      </c>
    </row>
    <row r="1188" spans="1:10" x14ac:dyDescent="0.3">
      <c r="A1188" t="s">
        <v>1204</v>
      </c>
      <c r="B1188" s="1">
        <v>45895</v>
      </c>
      <c r="C1188" t="s">
        <v>12</v>
      </c>
      <c r="D1188" t="s">
        <v>13</v>
      </c>
      <c r="E1188">
        <v>12.5</v>
      </c>
      <c r="F1188">
        <v>9</v>
      </c>
      <c r="G1188">
        <v>0</v>
      </c>
      <c r="H1188">
        <v>112.5</v>
      </c>
      <c r="I1188">
        <f>AVERAGEIFS(sales_Data[units_sold], sales_Data[product_id],sales_Data[[#This Row],[product_id]])</f>
        <v>31.794520547945204</v>
      </c>
      <c r="J1188">
        <f>_xlfn.XLOOKUP(sales_Data[[#This Row],[product_id]],sales_Data[product_id],sales_Data[unit_price])</f>
        <v>12.5</v>
      </c>
    </row>
    <row r="1189" spans="1:10" x14ac:dyDescent="0.3">
      <c r="A1189" t="s">
        <v>1205</v>
      </c>
      <c r="B1189" s="1">
        <v>45895</v>
      </c>
      <c r="C1189" t="s">
        <v>15</v>
      </c>
      <c r="D1189" t="s">
        <v>16</v>
      </c>
      <c r="E1189">
        <v>35</v>
      </c>
      <c r="F1189">
        <v>35</v>
      </c>
      <c r="G1189">
        <v>0.2</v>
      </c>
      <c r="H1189">
        <v>980</v>
      </c>
      <c r="I1189">
        <f>AVERAGEIFS(sales_Data[units_sold], sales_Data[product_id],sales_Data[[#This Row],[product_id]])</f>
        <v>30.438356164383563</v>
      </c>
      <c r="J1189">
        <f>_xlfn.XLOOKUP(sales_Data[[#This Row],[product_id]],sales_Data[product_id],sales_Data[unit_price])</f>
        <v>35</v>
      </c>
    </row>
    <row r="1190" spans="1:10" x14ac:dyDescent="0.3">
      <c r="A1190" t="s">
        <v>1206</v>
      </c>
      <c r="B1190" s="1">
        <v>45895</v>
      </c>
      <c r="C1190" t="s">
        <v>18</v>
      </c>
      <c r="D1190" t="s">
        <v>19</v>
      </c>
      <c r="E1190">
        <v>120</v>
      </c>
      <c r="F1190">
        <v>31</v>
      </c>
      <c r="G1190">
        <v>0</v>
      </c>
      <c r="H1190">
        <v>3720</v>
      </c>
      <c r="I1190">
        <f>AVERAGEIFS(sales_Data[units_sold], sales_Data[product_id],sales_Data[[#This Row],[product_id]])</f>
        <v>30.473972602739725</v>
      </c>
      <c r="J1190">
        <f>_xlfn.XLOOKUP(sales_Data[[#This Row],[product_id]],sales_Data[product_id],sales_Data[unit_price])</f>
        <v>120</v>
      </c>
    </row>
    <row r="1191" spans="1:10" x14ac:dyDescent="0.3">
      <c r="A1191" t="s">
        <v>1207</v>
      </c>
      <c r="B1191" s="1">
        <v>45895</v>
      </c>
      <c r="C1191" t="s">
        <v>21</v>
      </c>
      <c r="D1191" t="s">
        <v>22</v>
      </c>
      <c r="E1191">
        <v>25</v>
      </c>
      <c r="F1191">
        <v>33</v>
      </c>
      <c r="G1191">
        <v>0</v>
      </c>
      <c r="H1191">
        <v>825</v>
      </c>
      <c r="I1191">
        <f>AVERAGEIFS(sales_Data[units_sold], sales_Data[product_id],sales_Data[[#This Row],[product_id]])</f>
        <v>29.463013698630139</v>
      </c>
      <c r="J1191">
        <f>_xlfn.XLOOKUP(sales_Data[[#This Row],[product_id]],sales_Data[product_id],sales_Data[unit_price])</f>
        <v>25</v>
      </c>
    </row>
    <row r="1192" spans="1:10" x14ac:dyDescent="0.3">
      <c r="A1192" t="s">
        <v>1208</v>
      </c>
      <c r="B1192" s="1">
        <v>45896</v>
      </c>
      <c r="C1192" t="s">
        <v>9</v>
      </c>
      <c r="D1192" t="s">
        <v>10</v>
      </c>
      <c r="E1192">
        <v>45</v>
      </c>
      <c r="F1192">
        <v>10</v>
      </c>
      <c r="G1192">
        <v>0</v>
      </c>
      <c r="H1192">
        <v>450</v>
      </c>
      <c r="I1192">
        <f>AVERAGEIFS(sales_Data[units_sold], sales_Data[product_id],sales_Data[[#This Row],[product_id]])</f>
        <v>31.479452054794521</v>
      </c>
      <c r="J1192">
        <f>_xlfn.XLOOKUP(sales_Data[[#This Row],[product_id]],sales_Data[product_id],sales_Data[unit_price])</f>
        <v>45</v>
      </c>
    </row>
    <row r="1193" spans="1:10" x14ac:dyDescent="0.3">
      <c r="A1193" t="s">
        <v>1209</v>
      </c>
      <c r="B1193" s="1">
        <v>45896</v>
      </c>
      <c r="C1193" t="s">
        <v>12</v>
      </c>
      <c r="D1193" t="s">
        <v>13</v>
      </c>
      <c r="E1193">
        <v>12.5</v>
      </c>
      <c r="F1193">
        <v>17</v>
      </c>
      <c r="G1193">
        <v>0</v>
      </c>
      <c r="H1193">
        <v>212.5</v>
      </c>
      <c r="I1193">
        <f>AVERAGEIFS(sales_Data[units_sold], sales_Data[product_id],sales_Data[[#This Row],[product_id]])</f>
        <v>31.794520547945204</v>
      </c>
      <c r="J1193">
        <f>_xlfn.XLOOKUP(sales_Data[[#This Row],[product_id]],sales_Data[product_id],sales_Data[unit_price])</f>
        <v>12.5</v>
      </c>
    </row>
    <row r="1194" spans="1:10" x14ac:dyDescent="0.3">
      <c r="A1194" t="s">
        <v>1210</v>
      </c>
      <c r="B1194" s="1">
        <v>45896</v>
      </c>
      <c r="C1194" t="s">
        <v>15</v>
      </c>
      <c r="D1194" t="s">
        <v>16</v>
      </c>
      <c r="E1194">
        <v>35</v>
      </c>
      <c r="F1194">
        <v>48</v>
      </c>
      <c r="G1194">
        <v>0</v>
      </c>
      <c r="H1194">
        <v>1680</v>
      </c>
      <c r="I1194">
        <f>AVERAGEIFS(sales_Data[units_sold], sales_Data[product_id],sales_Data[[#This Row],[product_id]])</f>
        <v>30.438356164383563</v>
      </c>
      <c r="J1194">
        <f>_xlfn.XLOOKUP(sales_Data[[#This Row],[product_id]],sales_Data[product_id],sales_Data[unit_price])</f>
        <v>35</v>
      </c>
    </row>
    <row r="1195" spans="1:10" x14ac:dyDescent="0.3">
      <c r="A1195" t="s">
        <v>1211</v>
      </c>
      <c r="B1195" s="1">
        <v>45896</v>
      </c>
      <c r="C1195" t="s">
        <v>18</v>
      </c>
      <c r="D1195" t="s">
        <v>19</v>
      </c>
      <c r="E1195">
        <v>120</v>
      </c>
      <c r="F1195">
        <v>46</v>
      </c>
      <c r="G1195">
        <v>0</v>
      </c>
      <c r="H1195">
        <v>5520</v>
      </c>
      <c r="I1195">
        <f>AVERAGEIFS(sales_Data[units_sold], sales_Data[product_id],sales_Data[[#This Row],[product_id]])</f>
        <v>30.473972602739725</v>
      </c>
      <c r="J1195">
        <f>_xlfn.XLOOKUP(sales_Data[[#This Row],[product_id]],sales_Data[product_id],sales_Data[unit_price])</f>
        <v>120</v>
      </c>
    </row>
    <row r="1196" spans="1:10" x14ac:dyDescent="0.3">
      <c r="A1196" t="s">
        <v>1212</v>
      </c>
      <c r="B1196" s="1">
        <v>45896</v>
      </c>
      <c r="C1196" t="s">
        <v>21</v>
      </c>
      <c r="D1196" t="s">
        <v>22</v>
      </c>
      <c r="E1196">
        <v>25</v>
      </c>
      <c r="F1196">
        <v>17</v>
      </c>
      <c r="G1196">
        <v>0</v>
      </c>
      <c r="H1196">
        <v>425</v>
      </c>
      <c r="I1196">
        <f>AVERAGEIFS(sales_Data[units_sold], sales_Data[product_id],sales_Data[[#This Row],[product_id]])</f>
        <v>29.463013698630139</v>
      </c>
      <c r="J1196">
        <f>_xlfn.XLOOKUP(sales_Data[[#This Row],[product_id]],sales_Data[product_id],sales_Data[unit_price])</f>
        <v>25</v>
      </c>
    </row>
    <row r="1197" spans="1:10" x14ac:dyDescent="0.3">
      <c r="A1197" t="s">
        <v>1213</v>
      </c>
      <c r="B1197" s="1">
        <v>45897</v>
      </c>
      <c r="C1197" t="s">
        <v>9</v>
      </c>
      <c r="D1197" t="s">
        <v>10</v>
      </c>
      <c r="E1197">
        <v>45</v>
      </c>
      <c r="F1197">
        <v>25</v>
      </c>
      <c r="G1197">
        <v>0</v>
      </c>
      <c r="H1197">
        <v>1125</v>
      </c>
      <c r="I1197">
        <f>AVERAGEIFS(sales_Data[units_sold], sales_Data[product_id],sales_Data[[#This Row],[product_id]])</f>
        <v>31.479452054794521</v>
      </c>
      <c r="J1197">
        <f>_xlfn.XLOOKUP(sales_Data[[#This Row],[product_id]],sales_Data[product_id],sales_Data[unit_price])</f>
        <v>45</v>
      </c>
    </row>
    <row r="1198" spans="1:10" x14ac:dyDescent="0.3">
      <c r="A1198" t="s">
        <v>1214</v>
      </c>
      <c r="B1198" s="1">
        <v>45897</v>
      </c>
      <c r="C1198" t="s">
        <v>12</v>
      </c>
      <c r="D1198" t="s">
        <v>13</v>
      </c>
      <c r="E1198">
        <v>12.5</v>
      </c>
      <c r="F1198">
        <v>47</v>
      </c>
      <c r="G1198">
        <v>0</v>
      </c>
      <c r="H1198">
        <v>587.5</v>
      </c>
      <c r="I1198">
        <f>AVERAGEIFS(sales_Data[units_sold], sales_Data[product_id],sales_Data[[#This Row],[product_id]])</f>
        <v>31.794520547945204</v>
      </c>
      <c r="J1198">
        <f>_xlfn.XLOOKUP(sales_Data[[#This Row],[product_id]],sales_Data[product_id],sales_Data[unit_price])</f>
        <v>12.5</v>
      </c>
    </row>
    <row r="1199" spans="1:10" x14ac:dyDescent="0.3">
      <c r="A1199" t="s">
        <v>1215</v>
      </c>
      <c r="B1199" s="1">
        <v>45897</v>
      </c>
      <c r="C1199" t="s">
        <v>15</v>
      </c>
      <c r="D1199" t="s">
        <v>16</v>
      </c>
      <c r="E1199">
        <v>35</v>
      </c>
      <c r="F1199">
        <v>29</v>
      </c>
      <c r="G1199">
        <v>0.2</v>
      </c>
      <c r="H1199">
        <v>812</v>
      </c>
      <c r="I1199">
        <f>AVERAGEIFS(sales_Data[units_sold], sales_Data[product_id],sales_Data[[#This Row],[product_id]])</f>
        <v>30.438356164383563</v>
      </c>
      <c r="J1199">
        <f>_xlfn.XLOOKUP(sales_Data[[#This Row],[product_id]],sales_Data[product_id],sales_Data[unit_price])</f>
        <v>35</v>
      </c>
    </row>
    <row r="1200" spans="1:10" x14ac:dyDescent="0.3">
      <c r="A1200" t="s">
        <v>1216</v>
      </c>
      <c r="B1200" s="1">
        <v>45897</v>
      </c>
      <c r="C1200" t="s">
        <v>18</v>
      </c>
      <c r="D1200" t="s">
        <v>19</v>
      </c>
      <c r="E1200">
        <v>120</v>
      </c>
      <c r="F1200">
        <v>43</v>
      </c>
      <c r="G1200">
        <v>0.2</v>
      </c>
      <c r="H1200">
        <v>4128</v>
      </c>
      <c r="I1200">
        <f>AVERAGEIFS(sales_Data[units_sold], sales_Data[product_id],sales_Data[[#This Row],[product_id]])</f>
        <v>30.473972602739725</v>
      </c>
      <c r="J1200">
        <f>_xlfn.XLOOKUP(sales_Data[[#This Row],[product_id]],sales_Data[product_id],sales_Data[unit_price])</f>
        <v>120</v>
      </c>
    </row>
    <row r="1201" spans="1:10" x14ac:dyDescent="0.3">
      <c r="A1201" t="s">
        <v>1217</v>
      </c>
      <c r="B1201" s="1">
        <v>45897</v>
      </c>
      <c r="C1201" t="s">
        <v>21</v>
      </c>
      <c r="D1201" t="s">
        <v>22</v>
      </c>
      <c r="E1201">
        <v>25</v>
      </c>
      <c r="F1201">
        <v>11</v>
      </c>
      <c r="G1201">
        <v>0.1</v>
      </c>
      <c r="H1201">
        <v>247.5</v>
      </c>
      <c r="I1201">
        <f>AVERAGEIFS(sales_Data[units_sold], sales_Data[product_id],sales_Data[[#This Row],[product_id]])</f>
        <v>29.463013698630139</v>
      </c>
      <c r="J1201">
        <f>_xlfn.XLOOKUP(sales_Data[[#This Row],[product_id]],sales_Data[product_id],sales_Data[unit_price])</f>
        <v>25</v>
      </c>
    </row>
    <row r="1202" spans="1:10" x14ac:dyDescent="0.3">
      <c r="A1202" t="s">
        <v>1218</v>
      </c>
      <c r="B1202" s="1">
        <v>45898</v>
      </c>
      <c r="C1202" t="s">
        <v>9</v>
      </c>
      <c r="D1202" t="s">
        <v>10</v>
      </c>
      <c r="E1202">
        <v>45</v>
      </c>
      <c r="F1202">
        <v>46</v>
      </c>
      <c r="G1202">
        <v>0</v>
      </c>
      <c r="H1202">
        <v>2070</v>
      </c>
      <c r="I1202">
        <f>AVERAGEIFS(sales_Data[units_sold], sales_Data[product_id],sales_Data[[#This Row],[product_id]])</f>
        <v>31.479452054794521</v>
      </c>
      <c r="J1202">
        <f>_xlfn.XLOOKUP(sales_Data[[#This Row],[product_id]],sales_Data[product_id],sales_Data[unit_price])</f>
        <v>45</v>
      </c>
    </row>
    <row r="1203" spans="1:10" x14ac:dyDescent="0.3">
      <c r="A1203" t="s">
        <v>1219</v>
      </c>
      <c r="B1203" s="1">
        <v>45898</v>
      </c>
      <c r="C1203" t="s">
        <v>12</v>
      </c>
      <c r="D1203" t="s">
        <v>13</v>
      </c>
      <c r="E1203">
        <v>12.5</v>
      </c>
      <c r="F1203">
        <v>19</v>
      </c>
      <c r="G1203">
        <v>0</v>
      </c>
      <c r="H1203">
        <v>237.5</v>
      </c>
      <c r="I1203">
        <f>AVERAGEIFS(sales_Data[units_sold], sales_Data[product_id],sales_Data[[#This Row],[product_id]])</f>
        <v>31.794520547945204</v>
      </c>
      <c r="J1203">
        <f>_xlfn.XLOOKUP(sales_Data[[#This Row],[product_id]],sales_Data[product_id],sales_Data[unit_price])</f>
        <v>12.5</v>
      </c>
    </row>
    <row r="1204" spans="1:10" x14ac:dyDescent="0.3">
      <c r="A1204" t="s">
        <v>1220</v>
      </c>
      <c r="B1204" s="1">
        <v>45898</v>
      </c>
      <c r="C1204" t="s">
        <v>15</v>
      </c>
      <c r="D1204" t="s">
        <v>16</v>
      </c>
      <c r="E1204">
        <v>35</v>
      </c>
      <c r="F1204">
        <v>31</v>
      </c>
      <c r="G1204">
        <v>0</v>
      </c>
      <c r="H1204">
        <v>1085</v>
      </c>
      <c r="I1204">
        <f>AVERAGEIFS(sales_Data[units_sold], sales_Data[product_id],sales_Data[[#This Row],[product_id]])</f>
        <v>30.438356164383563</v>
      </c>
      <c r="J1204">
        <f>_xlfn.XLOOKUP(sales_Data[[#This Row],[product_id]],sales_Data[product_id],sales_Data[unit_price])</f>
        <v>35</v>
      </c>
    </row>
    <row r="1205" spans="1:10" x14ac:dyDescent="0.3">
      <c r="A1205" t="s">
        <v>1221</v>
      </c>
      <c r="B1205" s="1">
        <v>45898</v>
      </c>
      <c r="C1205" t="s">
        <v>18</v>
      </c>
      <c r="D1205" t="s">
        <v>19</v>
      </c>
      <c r="E1205">
        <v>120</v>
      </c>
      <c r="F1205">
        <v>34</v>
      </c>
      <c r="G1205">
        <v>0</v>
      </c>
      <c r="H1205">
        <v>4080</v>
      </c>
      <c r="I1205">
        <f>AVERAGEIFS(sales_Data[units_sold], sales_Data[product_id],sales_Data[[#This Row],[product_id]])</f>
        <v>30.473972602739725</v>
      </c>
      <c r="J1205">
        <f>_xlfn.XLOOKUP(sales_Data[[#This Row],[product_id]],sales_Data[product_id],sales_Data[unit_price])</f>
        <v>120</v>
      </c>
    </row>
    <row r="1206" spans="1:10" x14ac:dyDescent="0.3">
      <c r="A1206" t="s">
        <v>1222</v>
      </c>
      <c r="B1206" s="1">
        <v>45898</v>
      </c>
      <c r="C1206" t="s">
        <v>21</v>
      </c>
      <c r="D1206" t="s">
        <v>22</v>
      </c>
      <c r="E1206">
        <v>25</v>
      </c>
      <c r="F1206">
        <v>32</v>
      </c>
      <c r="G1206">
        <v>0.1</v>
      </c>
      <c r="H1206">
        <v>720</v>
      </c>
      <c r="I1206">
        <f>AVERAGEIFS(sales_Data[units_sold], sales_Data[product_id],sales_Data[[#This Row],[product_id]])</f>
        <v>29.463013698630139</v>
      </c>
      <c r="J1206">
        <f>_xlfn.XLOOKUP(sales_Data[[#This Row],[product_id]],sales_Data[product_id],sales_Data[unit_price])</f>
        <v>25</v>
      </c>
    </row>
    <row r="1207" spans="1:10" x14ac:dyDescent="0.3">
      <c r="A1207" t="s">
        <v>1223</v>
      </c>
      <c r="B1207" s="1">
        <v>45899</v>
      </c>
      <c r="C1207" t="s">
        <v>9</v>
      </c>
      <c r="D1207" t="s">
        <v>10</v>
      </c>
      <c r="E1207">
        <v>45</v>
      </c>
      <c r="F1207">
        <v>30</v>
      </c>
      <c r="G1207">
        <v>0</v>
      </c>
      <c r="H1207">
        <v>1350</v>
      </c>
      <c r="I1207">
        <f>AVERAGEIFS(sales_Data[units_sold], sales_Data[product_id],sales_Data[[#This Row],[product_id]])</f>
        <v>31.479452054794521</v>
      </c>
      <c r="J1207">
        <f>_xlfn.XLOOKUP(sales_Data[[#This Row],[product_id]],sales_Data[product_id],sales_Data[unit_price])</f>
        <v>45</v>
      </c>
    </row>
    <row r="1208" spans="1:10" x14ac:dyDescent="0.3">
      <c r="A1208" t="s">
        <v>1224</v>
      </c>
      <c r="B1208" s="1">
        <v>45899</v>
      </c>
      <c r="C1208" t="s">
        <v>12</v>
      </c>
      <c r="D1208" t="s">
        <v>13</v>
      </c>
      <c r="E1208">
        <v>12.5</v>
      </c>
      <c r="F1208">
        <v>73</v>
      </c>
      <c r="G1208">
        <v>0</v>
      </c>
      <c r="H1208">
        <v>912.5</v>
      </c>
      <c r="I1208">
        <f>AVERAGEIFS(sales_Data[units_sold], sales_Data[product_id],sales_Data[[#This Row],[product_id]])</f>
        <v>31.794520547945204</v>
      </c>
      <c r="J1208">
        <f>_xlfn.XLOOKUP(sales_Data[[#This Row],[product_id]],sales_Data[product_id],sales_Data[unit_price])</f>
        <v>12.5</v>
      </c>
    </row>
    <row r="1209" spans="1:10" x14ac:dyDescent="0.3">
      <c r="A1209" t="s">
        <v>1225</v>
      </c>
      <c r="B1209" s="1">
        <v>45899</v>
      </c>
      <c r="C1209" t="s">
        <v>15</v>
      </c>
      <c r="D1209" t="s">
        <v>16</v>
      </c>
      <c r="E1209">
        <v>35</v>
      </c>
      <c r="F1209">
        <v>34</v>
      </c>
      <c r="G1209">
        <v>0</v>
      </c>
      <c r="H1209">
        <v>1190</v>
      </c>
      <c r="I1209">
        <f>AVERAGEIFS(sales_Data[units_sold], sales_Data[product_id],sales_Data[[#This Row],[product_id]])</f>
        <v>30.438356164383563</v>
      </c>
      <c r="J1209">
        <f>_xlfn.XLOOKUP(sales_Data[[#This Row],[product_id]],sales_Data[product_id],sales_Data[unit_price])</f>
        <v>35</v>
      </c>
    </row>
    <row r="1210" spans="1:10" x14ac:dyDescent="0.3">
      <c r="A1210" t="s">
        <v>1226</v>
      </c>
      <c r="B1210" s="1">
        <v>45899</v>
      </c>
      <c r="C1210" t="s">
        <v>18</v>
      </c>
      <c r="D1210" t="s">
        <v>19</v>
      </c>
      <c r="E1210">
        <v>120</v>
      </c>
      <c r="F1210">
        <v>61</v>
      </c>
      <c r="G1210">
        <v>0</v>
      </c>
      <c r="H1210">
        <v>7320</v>
      </c>
      <c r="I1210">
        <f>AVERAGEIFS(sales_Data[units_sold], sales_Data[product_id],sales_Data[[#This Row],[product_id]])</f>
        <v>30.473972602739725</v>
      </c>
      <c r="J1210">
        <f>_xlfn.XLOOKUP(sales_Data[[#This Row],[product_id]],sales_Data[product_id],sales_Data[unit_price])</f>
        <v>120</v>
      </c>
    </row>
    <row r="1211" spans="1:10" x14ac:dyDescent="0.3">
      <c r="A1211" t="s">
        <v>1227</v>
      </c>
      <c r="B1211" s="1">
        <v>45899</v>
      </c>
      <c r="C1211" t="s">
        <v>21</v>
      </c>
      <c r="D1211" t="s">
        <v>22</v>
      </c>
      <c r="E1211">
        <v>25</v>
      </c>
      <c r="F1211">
        <v>13</v>
      </c>
      <c r="G1211">
        <v>0</v>
      </c>
      <c r="H1211">
        <v>325</v>
      </c>
      <c r="I1211">
        <f>AVERAGEIFS(sales_Data[units_sold], sales_Data[product_id],sales_Data[[#This Row],[product_id]])</f>
        <v>29.463013698630139</v>
      </c>
      <c r="J1211">
        <f>_xlfn.XLOOKUP(sales_Data[[#This Row],[product_id]],sales_Data[product_id],sales_Data[unit_price])</f>
        <v>25</v>
      </c>
    </row>
    <row r="1212" spans="1:10" x14ac:dyDescent="0.3">
      <c r="A1212" t="s">
        <v>1228</v>
      </c>
      <c r="B1212" s="1">
        <v>45900</v>
      </c>
      <c r="C1212" t="s">
        <v>9</v>
      </c>
      <c r="D1212" t="s">
        <v>10</v>
      </c>
      <c r="E1212">
        <v>45</v>
      </c>
      <c r="F1212">
        <v>67</v>
      </c>
      <c r="G1212">
        <v>0</v>
      </c>
      <c r="H1212">
        <v>3015</v>
      </c>
      <c r="I1212">
        <f>AVERAGEIFS(sales_Data[units_sold], sales_Data[product_id],sales_Data[[#This Row],[product_id]])</f>
        <v>31.479452054794521</v>
      </c>
      <c r="J1212">
        <f>_xlfn.XLOOKUP(sales_Data[[#This Row],[product_id]],sales_Data[product_id],sales_Data[unit_price])</f>
        <v>45</v>
      </c>
    </row>
    <row r="1213" spans="1:10" x14ac:dyDescent="0.3">
      <c r="A1213" t="s">
        <v>1229</v>
      </c>
      <c r="B1213" s="1">
        <v>45900</v>
      </c>
      <c r="C1213" t="s">
        <v>12</v>
      </c>
      <c r="D1213" t="s">
        <v>13</v>
      </c>
      <c r="E1213">
        <v>12.5</v>
      </c>
      <c r="F1213">
        <v>27</v>
      </c>
      <c r="G1213">
        <v>0</v>
      </c>
      <c r="H1213">
        <v>337.5</v>
      </c>
      <c r="I1213">
        <f>AVERAGEIFS(sales_Data[units_sold], sales_Data[product_id],sales_Data[[#This Row],[product_id]])</f>
        <v>31.794520547945204</v>
      </c>
      <c r="J1213">
        <f>_xlfn.XLOOKUP(sales_Data[[#This Row],[product_id]],sales_Data[product_id],sales_Data[unit_price])</f>
        <v>12.5</v>
      </c>
    </row>
    <row r="1214" spans="1:10" x14ac:dyDescent="0.3">
      <c r="A1214" t="s">
        <v>1230</v>
      </c>
      <c r="B1214" s="1">
        <v>45900</v>
      </c>
      <c r="C1214" t="s">
        <v>15</v>
      </c>
      <c r="D1214" t="s">
        <v>16</v>
      </c>
      <c r="E1214">
        <v>35</v>
      </c>
      <c r="F1214">
        <v>30</v>
      </c>
      <c r="G1214">
        <v>0</v>
      </c>
      <c r="H1214">
        <v>1050</v>
      </c>
      <c r="I1214">
        <f>AVERAGEIFS(sales_Data[units_sold], sales_Data[product_id],sales_Data[[#This Row],[product_id]])</f>
        <v>30.438356164383563</v>
      </c>
      <c r="J1214">
        <f>_xlfn.XLOOKUP(sales_Data[[#This Row],[product_id]],sales_Data[product_id],sales_Data[unit_price])</f>
        <v>35</v>
      </c>
    </row>
    <row r="1215" spans="1:10" x14ac:dyDescent="0.3">
      <c r="A1215" t="s">
        <v>1231</v>
      </c>
      <c r="B1215" s="1">
        <v>45900</v>
      </c>
      <c r="C1215" t="s">
        <v>18</v>
      </c>
      <c r="D1215" t="s">
        <v>19</v>
      </c>
      <c r="E1215">
        <v>120</v>
      </c>
      <c r="F1215">
        <v>18</v>
      </c>
      <c r="G1215">
        <v>0</v>
      </c>
      <c r="H1215">
        <v>2160</v>
      </c>
      <c r="I1215">
        <f>AVERAGEIFS(sales_Data[units_sold], sales_Data[product_id],sales_Data[[#This Row],[product_id]])</f>
        <v>30.473972602739725</v>
      </c>
      <c r="J1215">
        <f>_xlfn.XLOOKUP(sales_Data[[#This Row],[product_id]],sales_Data[product_id],sales_Data[unit_price])</f>
        <v>120</v>
      </c>
    </row>
    <row r="1216" spans="1:10" x14ac:dyDescent="0.3">
      <c r="A1216" t="s">
        <v>1232</v>
      </c>
      <c r="B1216" s="1">
        <v>45900</v>
      </c>
      <c r="C1216" t="s">
        <v>21</v>
      </c>
      <c r="D1216" t="s">
        <v>22</v>
      </c>
      <c r="E1216">
        <v>25</v>
      </c>
      <c r="F1216">
        <v>54</v>
      </c>
      <c r="G1216">
        <v>0</v>
      </c>
      <c r="H1216">
        <v>1350</v>
      </c>
      <c r="I1216">
        <f>AVERAGEIFS(sales_Data[units_sold], sales_Data[product_id],sales_Data[[#This Row],[product_id]])</f>
        <v>29.463013698630139</v>
      </c>
      <c r="J1216">
        <f>_xlfn.XLOOKUP(sales_Data[[#This Row],[product_id]],sales_Data[product_id],sales_Data[unit_price])</f>
        <v>25</v>
      </c>
    </row>
    <row r="1217" spans="1:10" x14ac:dyDescent="0.3">
      <c r="A1217" t="s">
        <v>1233</v>
      </c>
      <c r="B1217" s="1">
        <v>45901</v>
      </c>
      <c r="C1217" t="s">
        <v>9</v>
      </c>
      <c r="D1217" t="s">
        <v>10</v>
      </c>
      <c r="E1217">
        <v>45</v>
      </c>
      <c r="F1217">
        <v>19</v>
      </c>
      <c r="G1217">
        <v>0</v>
      </c>
      <c r="H1217">
        <v>855</v>
      </c>
      <c r="I1217">
        <f>AVERAGEIFS(sales_Data[units_sold], sales_Data[product_id],sales_Data[[#This Row],[product_id]])</f>
        <v>31.479452054794521</v>
      </c>
      <c r="J1217">
        <f>_xlfn.XLOOKUP(sales_Data[[#This Row],[product_id]],sales_Data[product_id],sales_Data[unit_price])</f>
        <v>45</v>
      </c>
    </row>
    <row r="1218" spans="1:10" x14ac:dyDescent="0.3">
      <c r="A1218" t="s">
        <v>1234</v>
      </c>
      <c r="B1218" s="1">
        <v>45901</v>
      </c>
      <c r="C1218" t="s">
        <v>12</v>
      </c>
      <c r="D1218" t="s">
        <v>13</v>
      </c>
      <c r="E1218">
        <v>12.5</v>
      </c>
      <c r="F1218">
        <v>9</v>
      </c>
      <c r="G1218">
        <v>0</v>
      </c>
      <c r="H1218">
        <v>112.5</v>
      </c>
      <c r="I1218">
        <f>AVERAGEIFS(sales_Data[units_sold], sales_Data[product_id],sales_Data[[#This Row],[product_id]])</f>
        <v>31.794520547945204</v>
      </c>
      <c r="J1218">
        <f>_xlfn.XLOOKUP(sales_Data[[#This Row],[product_id]],sales_Data[product_id],sales_Data[unit_price])</f>
        <v>12.5</v>
      </c>
    </row>
    <row r="1219" spans="1:10" x14ac:dyDescent="0.3">
      <c r="A1219" t="s">
        <v>1235</v>
      </c>
      <c r="B1219" s="1">
        <v>45901</v>
      </c>
      <c r="C1219" t="s">
        <v>15</v>
      </c>
      <c r="D1219" t="s">
        <v>16</v>
      </c>
      <c r="E1219">
        <v>35</v>
      </c>
      <c r="F1219">
        <v>49</v>
      </c>
      <c r="G1219">
        <v>0</v>
      </c>
      <c r="H1219">
        <v>1715</v>
      </c>
      <c r="I1219">
        <f>AVERAGEIFS(sales_Data[units_sold], sales_Data[product_id],sales_Data[[#This Row],[product_id]])</f>
        <v>30.438356164383563</v>
      </c>
      <c r="J1219">
        <f>_xlfn.XLOOKUP(sales_Data[[#This Row],[product_id]],sales_Data[product_id],sales_Data[unit_price])</f>
        <v>35</v>
      </c>
    </row>
    <row r="1220" spans="1:10" x14ac:dyDescent="0.3">
      <c r="A1220" t="s">
        <v>1236</v>
      </c>
      <c r="B1220" s="1">
        <v>45901</v>
      </c>
      <c r="C1220" t="s">
        <v>18</v>
      </c>
      <c r="D1220" t="s">
        <v>19</v>
      </c>
      <c r="E1220">
        <v>120</v>
      </c>
      <c r="F1220">
        <v>45</v>
      </c>
      <c r="G1220">
        <v>0.2</v>
      </c>
      <c r="H1220">
        <v>4320</v>
      </c>
      <c r="I1220">
        <f>AVERAGEIFS(sales_Data[units_sold], sales_Data[product_id],sales_Data[[#This Row],[product_id]])</f>
        <v>30.473972602739725</v>
      </c>
      <c r="J1220">
        <f>_xlfn.XLOOKUP(sales_Data[[#This Row],[product_id]],sales_Data[product_id],sales_Data[unit_price])</f>
        <v>120</v>
      </c>
    </row>
    <row r="1221" spans="1:10" x14ac:dyDescent="0.3">
      <c r="A1221" t="s">
        <v>1237</v>
      </c>
      <c r="B1221" s="1">
        <v>45901</v>
      </c>
      <c r="C1221" t="s">
        <v>21</v>
      </c>
      <c r="D1221" t="s">
        <v>22</v>
      </c>
      <c r="E1221">
        <v>25</v>
      </c>
      <c r="F1221">
        <v>22</v>
      </c>
      <c r="G1221">
        <v>0</v>
      </c>
      <c r="H1221">
        <v>550</v>
      </c>
      <c r="I1221">
        <f>AVERAGEIFS(sales_Data[units_sold], sales_Data[product_id],sales_Data[[#This Row],[product_id]])</f>
        <v>29.463013698630139</v>
      </c>
      <c r="J1221">
        <f>_xlfn.XLOOKUP(sales_Data[[#This Row],[product_id]],sales_Data[product_id],sales_Data[unit_price])</f>
        <v>25</v>
      </c>
    </row>
    <row r="1222" spans="1:10" x14ac:dyDescent="0.3">
      <c r="A1222" t="s">
        <v>1238</v>
      </c>
      <c r="B1222" s="1">
        <v>45902</v>
      </c>
      <c r="C1222" t="s">
        <v>9</v>
      </c>
      <c r="D1222" t="s">
        <v>10</v>
      </c>
      <c r="E1222">
        <v>45</v>
      </c>
      <c r="F1222">
        <v>16</v>
      </c>
      <c r="G1222">
        <v>0</v>
      </c>
      <c r="H1222">
        <v>720</v>
      </c>
      <c r="I1222">
        <f>AVERAGEIFS(sales_Data[units_sold], sales_Data[product_id],sales_Data[[#This Row],[product_id]])</f>
        <v>31.479452054794521</v>
      </c>
      <c r="J1222">
        <f>_xlfn.XLOOKUP(sales_Data[[#This Row],[product_id]],sales_Data[product_id],sales_Data[unit_price])</f>
        <v>45</v>
      </c>
    </row>
    <row r="1223" spans="1:10" x14ac:dyDescent="0.3">
      <c r="A1223" t="s">
        <v>1239</v>
      </c>
      <c r="B1223" s="1">
        <v>45902</v>
      </c>
      <c r="C1223" t="s">
        <v>12</v>
      </c>
      <c r="D1223" t="s">
        <v>13</v>
      </c>
      <c r="E1223">
        <v>12.5</v>
      </c>
      <c r="F1223">
        <v>9</v>
      </c>
      <c r="G1223">
        <v>0</v>
      </c>
      <c r="H1223">
        <v>112.5</v>
      </c>
      <c r="I1223">
        <f>AVERAGEIFS(sales_Data[units_sold], sales_Data[product_id],sales_Data[[#This Row],[product_id]])</f>
        <v>31.794520547945204</v>
      </c>
      <c r="J1223">
        <f>_xlfn.XLOOKUP(sales_Data[[#This Row],[product_id]],sales_Data[product_id],sales_Data[unit_price])</f>
        <v>12.5</v>
      </c>
    </row>
    <row r="1224" spans="1:10" x14ac:dyDescent="0.3">
      <c r="A1224" t="s">
        <v>1240</v>
      </c>
      <c r="B1224" s="1">
        <v>45902</v>
      </c>
      <c r="C1224" t="s">
        <v>15</v>
      </c>
      <c r="D1224" t="s">
        <v>16</v>
      </c>
      <c r="E1224">
        <v>35</v>
      </c>
      <c r="F1224">
        <v>8</v>
      </c>
      <c r="G1224">
        <v>0</v>
      </c>
      <c r="H1224">
        <v>280</v>
      </c>
      <c r="I1224">
        <f>AVERAGEIFS(sales_Data[units_sold], sales_Data[product_id],sales_Data[[#This Row],[product_id]])</f>
        <v>30.438356164383563</v>
      </c>
      <c r="J1224">
        <f>_xlfn.XLOOKUP(sales_Data[[#This Row],[product_id]],sales_Data[product_id],sales_Data[unit_price])</f>
        <v>35</v>
      </c>
    </row>
    <row r="1225" spans="1:10" x14ac:dyDescent="0.3">
      <c r="A1225" t="s">
        <v>1241</v>
      </c>
      <c r="B1225" s="1">
        <v>45902</v>
      </c>
      <c r="C1225" t="s">
        <v>18</v>
      </c>
      <c r="D1225" t="s">
        <v>19</v>
      </c>
      <c r="E1225">
        <v>120</v>
      </c>
      <c r="F1225">
        <v>29</v>
      </c>
      <c r="G1225">
        <v>0</v>
      </c>
      <c r="H1225">
        <v>3480</v>
      </c>
      <c r="I1225">
        <f>AVERAGEIFS(sales_Data[units_sold], sales_Data[product_id],sales_Data[[#This Row],[product_id]])</f>
        <v>30.473972602739725</v>
      </c>
      <c r="J1225">
        <f>_xlfn.XLOOKUP(sales_Data[[#This Row],[product_id]],sales_Data[product_id],sales_Data[unit_price])</f>
        <v>120</v>
      </c>
    </row>
    <row r="1226" spans="1:10" x14ac:dyDescent="0.3">
      <c r="A1226" t="s">
        <v>1242</v>
      </c>
      <c r="B1226" s="1">
        <v>45902</v>
      </c>
      <c r="C1226" t="s">
        <v>21</v>
      </c>
      <c r="D1226" t="s">
        <v>22</v>
      </c>
      <c r="E1226">
        <v>25</v>
      </c>
      <c r="F1226">
        <v>10</v>
      </c>
      <c r="G1226">
        <v>0</v>
      </c>
      <c r="H1226">
        <v>250</v>
      </c>
      <c r="I1226">
        <f>AVERAGEIFS(sales_Data[units_sold], sales_Data[product_id],sales_Data[[#This Row],[product_id]])</f>
        <v>29.463013698630139</v>
      </c>
      <c r="J1226">
        <f>_xlfn.XLOOKUP(sales_Data[[#This Row],[product_id]],sales_Data[product_id],sales_Data[unit_price])</f>
        <v>25</v>
      </c>
    </row>
    <row r="1227" spans="1:10" x14ac:dyDescent="0.3">
      <c r="A1227" t="s">
        <v>1243</v>
      </c>
      <c r="B1227" s="1">
        <v>45903</v>
      </c>
      <c r="C1227" t="s">
        <v>9</v>
      </c>
      <c r="D1227" t="s">
        <v>10</v>
      </c>
      <c r="E1227">
        <v>45</v>
      </c>
      <c r="F1227">
        <v>41</v>
      </c>
      <c r="G1227">
        <v>0</v>
      </c>
      <c r="H1227">
        <v>1845</v>
      </c>
      <c r="I1227">
        <f>AVERAGEIFS(sales_Data[units_sold], sales_Data[product_id],sales_Data[[#This Row],[product_id]])</f>
        <v>31.479452054794521</v>
      </c>
      <c r="J1227">
        <f>_xlfn.XLOOKUP(sales_Data[[#This Row],[product_id]],sales_Data[product_id],sales_Data[unit_price])</f>
        <v>45</v>
      </c>
    </row>
    <row r="1228" spans="1:10" x14ac:dyDescent="0.3">
      <c r="A1228" t="s">
        <v>1244</v>
      </c>
      <c r="B1228" s="1">
        <v>45903</v>
      </c>
      <c r="C1228" t="s">
        <v>12</v>
      </c>
      <c r="D1228" t="s">
        <v>13</v>
      </c>
      <c r="E1228">
        <v>12.5</v>
      </c>
      <c r="F1228">
        <v>7</v>
      </c>
      <c r="G1228">
        <v>0</v>
      </c>
      <c r="H1228">
        <v>87.5</v>
      </c>
      <c r="I1228">
        <f>AVERAGEIFS(sales_Data[units_sold], sales_Data[product_id],sales_Data[[#This Row],[product_id]])</f>
        <v>31.794520547945204</v>
      </c>
      <c r="J1228">
        <f>_xlfn.XLOOKUP(sales_Data[[#This Row],[product_id]],sales_Data[product_id],sales_Data[unit_price])</f>
        <v>12.5</v>
      </c>
    </row>
    <row r="1229" spans="1:10" x14ac:dyDescent="0.3">
      <c r="A1229" t="s">
        <v>1245</v>
      </c>
      <c r="B1229" s="1">
        <v>45903</v>
      </c>
      <c r="C1229" t="s">
        <v>15</v>
      </c>
      <c r="D1229" t="s">
        <v>16</v>
      </c>
      <c r="E1229">
        <v>35</v>
      </c>
      <c r="F1229">
        <v>9</v>
      </c>
      <c r="G1229">
        <v>0</v>
      </c>
      <c r="H1229">
        <v>315</v>
      </c>
      <c r="I1229">
        <f>AVERAGEIFS(sales_Data[units_sold], sales_Data[product_id],sales_Data[[#This Row],[product_id]])</f>
        <v>30.438356164383563</v>
      </c>
      <c r="J1229">
        <f>_xlfn.XLOOKUP(sales_Data[[#This Row],[product_id]],sales_Data[product_id],sales_Data[unit_price])</f>
        <v>35</v>
      </c>
    </row>
    <row r="1230" spans="1:10" x14ac:dyDescent="0.3">
      <c r="A1230" t="s">
        <v>1246</v>
      </c>
      <c r="B1230" s="1">
        <v>45903</v>
      </c>
      <c r="C1230" t="s">
        <v>18</v>
      </c>
      <c r="D1230" t="s">
        <v>19</v>
      </c>
      <c r="E1230">
        <v>120</v>
      </c>
      <c r="F1230">
        <v>32</v>
      </c>
      <c r="G1230">
        <v>0</v>
      </c>
      <c r="H1230">
        <v>3840</v>
      </c>
      <c r="I1230">
        <f>AVERAGEIFS(sales_Data[units_sold], sales_Data[product_id],sales_Data[[#This Row],[product_id]])</f>
        <v>30.473972602739725</v>
      </c>
      <c r="J1230">
        <f>_xlfn.XLOOKUP(sales_Data[[#This Row],[product_id]],sales_Data[product_id],sales_Data[unit_price])</f>
        <v>120</v>
      </c>
    </row>
    <row r="1231" spans="1:10" x14ac:dyDescent="0.3">
      <c r="A1231" t="s">
        <v>1247</v>
      </c>
      <c r="B1231" s="1">
        <v>45903</v>
      </c>
      <c r="C1231" t="s">
        <v>21</v>
      </c>
      <c r="D1231" t="s">
        <v>22</v>
      </c>
      <c r="E1231">
        <v>25</v>
      </c>
      <c r="F1231">
        <v>25</v>
      </c>
      <c r="G1231">
        <v>0</v>
      </c>
      <c r="H1231">
        <v>625</v>
      </c>
      <c r="I1231">
        <f>AVERAGEIFS(sales_Data[units_sold], sales_Data[product_id],sales_Data[[#This Row],[product_id]])</f>
        <v>29.463013698630139</v>
      </c>
      <c r="J1231">
        <f>_xlfn.XLOOKUP(sales_Data[[#This Row],[product_id]],sales_Data[product_id],sales_Data[unit_price])</f>
        <v>25</v>
      </c>
    </row>
    <row r="1232" spans="1:10" x14ac:dyDescent="0.3">
      <c r="A1232" t="s">
        <v>1248</v>
      </c>
      <c r="B1232" s="1">
        <v>45904</v>
      </c>
      <c r="C1232" t="s">
        <v>9</v>
      </c>
      <c r="D1232" t="s">
        <v>10</v>
      </c>
      <c r="E1232">
        <v>45</v>
      </c>
      <c r="F1232">
        <v>30</v>
      </c>
      <c r="G1232">
        <v>0.1</v>
      </c>
      <c r="H1232">
        <v>1215</v>
      </c>
      <c r="I1232">
        <f>AVERAGEIFS(sales_Data[units_sold], sales_Data[product_id],sales_Data[[#This Row],[product_id]])</f>
        <v>31.479452054794521</v>
      </c>
      <c r="J1232">
        <f>_xlfn.XLOOKUP(sales_Data[[#This Row],[product_id]],sales_Data[product_id],sales_Data[unit_price])</f>
        <v>45</v>
      </c>
    </row>
    <row r="1233" spans="1:10" x14ac:dyDescent="0.3">
      <c r="A1233" t="s">
        <v>1249</v>
      </c>
      <c r="B1233" s="1">
        <v>45904</v>
      </c>
      <c r="C1233" t="s">
        <v>12</v>
      </c>
      <c r="D1233" t="s">
        <v>13</v>
      </c>
      <c r="E1233">
        <v>12.5</v>
      </c>
      <c r="F1233">
        <v>27</v>
      </c>
      <c r="G1233">
        <v>0.2</v>
      </c>
      <c r="H1233">
        <v>270</v>
      </c>
      <c r="I1233">
        <f>AVERAGEIFS(sales_Data[units_sold], sales_Data[product_id],sales_Data[[#This Row],[product_id]])</f>
        <v>31.794520547945204</v>
      </c>
      <c r="J1233">
        <f>_xlfn.XLOOKUP(sales_Data[[#This Row],[product_id]],sales_Data[product_id],sales_Data[unit_price])</f>
        <v>12.5</v>
      </c>
    </row>
    <row r="1234" spans="1:10" x14ac:dyDescent="0.3">
      <c r="A1234" t="s">
        <v>1250</v>
      </c>
      <c r="B1234" s="1">
        <v>45904</v>
      </c>
      <c r="C1234" t="s">
        <v>15</v>
      </c>
      <c r="D1234" t="s">
        <v>16</v>
      </c>
      <c r="E1234">
        <v>35</v>
      </c>
      <c r="F1234">
        <v>15</v>
      </c>
      <c r="G1234">
        <v>0.2</v>
      </c>
      <c r="H1234">
        <v>420</v>
      </c>
      <c r="I1234">
        <f>AVERAGEIFS(sales_Data[units_sold], sales_Data[product_id],sales_Data[[#This Row],[product_id]])</f>
        <v>30.438356164383563</v>
      </c>
      <c r="J1234">
        <f>_xlfn.XLOOKUP(sales_Data[[#This Row],[product_id]],sales_Data[product_id],sales_Data[unit_price])</f>
        <v>35</v>
      </c>
    </row>
    <row r="1235" spans="1:10" x14ac:dyDescent="0.3">
      <c r="A1235" t="s">
        <v>1251</v>
      </c>
      <c r="B1235" s="1">
        <v>45904</v>
      </c>
      <c r="C1235" t="s">
        <v>18</v>
      </c>
      <c r="D1235" t="s">
        <v>19</v>
      </c>
      <c r="E1235">
        <v>120</v>
      </c>
      <c r="F1235">
        <v>29</v>
      </c>
      <c r="G1235">
        <v>0</v>
      </c>
      <c r="H1235">
        <v>3480</v>
      </c>
      <c r="I1235">
        <f>AVERAGEIFS(sales_Data[units_sold], sales_Data[product_id],sales_Data[[#This Row],[product_id]])</f>
        <v>30.473972602739725</v>
      </c>
      <c r="J1235">
        <f>_xlfn.XLOOKUP(sales_Data[[#This Row],[product_id]],sales_Data[product_id],sales_Data[unit_price])</f>
        <v>120</v>
      </c>
    </row>
    <row r="1236" spans="1:10" x14ac:dyDescent="0.3">
      <c r="A1236" t="s">
        <v>1252</v>
      </c>
      <c r="B1236" s="1">
        <v>45904</v>
      </c>
      <c r="C1236" t="s">
        <v>21</v>
      </c>
      <c r="D1236" t="s">
        <v>22</v>
      </c>
      <c r="E1236">
        <v>25</v>
      </c>
      <c r="F1236">
        <v>36</v>
      </c>
      <c r="G1236">
        <v>0</v>
      </c>
      <c r="H1236">
        <v>900</v>
      </c>
      <c r="I1236">
        <f>AVERAGEIFS(sales_Data[units_sold], sales_Data[product_id],sales_Data[[#This Row],[product_id]])</f>
        <v>29.463013698630139</v>
      </c>
      <c r="J1236">
        <f>_xlfn.XLOOKUP(sales_Data[[#This Row],[product_id]],sales_Data[product_id],sales_Data[unit_price])</f>
        <v>25</v>
      </c>
    </row>
    <row r="1237" spans="1:10" x14ac:dyDescent="0.3">
      <c r="A1237" t="s">
        <v>1253</v>
      </c>
      <c r="B1237" s="1">
        <v>45905</v>
      </c>
      <c r="C1237" t="s">
        <v>9</v>
      </c>
      <c r="D1237" t="s">
        <v>10</v>
      </c>
      <c r="E1237">
        <v>45</v>
      </c>
      <c r="F1237">
        <v>26</v>
      </c>
      <c r="G1237">
        <v>0</v>
      </c>
      <c r="H1237">
        <v>1170</v>
      </c>
      <c r="I1237">
        <f>AVERAGEIFS(sales_Data[units_sold], sales_Data[product_id],sales_Data[[#This Row],[product_id]])</f>
        <v>31.479452054794521</v>
      </c>
      <c r="J1237">
        <f>_xlfn.XLOOKUP(sales_Data[[#This Row],[product_id]],sales_Data[product_id],sales_Data[unit_price])</f>
        <v>45</v>
      </c>
    </row>
    <row r="1238" spans="1:10" x14ac:dyDescent="0.3">
      <c r="A1238" t="s">
        <v>1254</v>
      </c>
      <c r="B1238" s="1">
        <v>45905</v>
      </c>
      <c r="C1238" t="s">
        <v>12</v>
      </c>
      <c r="D1238" t="s">
        <v>13</v>
      </c>
      <c r="E1238">
        <v>12.5</v>
      </c>
      <c r="F1238">
        <v>21</v>
      </c>
      <c r="G1238">
        <v>0.1</v>
      </c>
      <c r="H1238">
        <v>236.25</v>
      </c>
      <c r="I1238">
        <f>AVERAGEIFS(sales_Data[units_sold], sales_Data[product_id],sales_Data[[#This Row],[product_id]])</f>
        <v>31.794520547945204</v>
      </c>
      <c r="J1238">
        <f>_xlfn.XLOOKUP(sales_Data[[#This Row],[product_id]],sales_Data[product_id],sales_Data[unit_price])</f>
        <v>12.5</v>
      </c>
    </row>
    <row r="1239" spans="1:10" x14ac:dyDescent="0.3">
      <c r="A1239" t="s">
        <v>1255</v>
      </c>
      <c r="B1239" s="1">
        <v>45905</v>
      </c>
      <c r="C1239" t="s">
        <v>15</v>
      </c>
      <c r="D1239" t="s">
        <v>16</v>
      </c>
      <c r="E1239">
        <v>35</v>
      </c>
      <c r="F1239">
        <v>6</v>
      </c>
      <c r="G1239">
        <v>0</v>
      </c>
      <c r="H1239">
        <v>210</v>
      </c>
      <c r="I1239">
        <f>AVERAGEIFS(sales_Data[units_sold], sales_Data[product_id],sales_Data[[#This Row],[product_id]])</f>
        <v>30.438356164383563</v>
      </c>
      <c r="J1239">
        <f>_xlfn.XLOOKUP(sales_Data[[#This Row],[product_id]],sales_Data[product_id],sales_Data[unit_price])</f>
        <v>35</v>
      </c>
    </row>
    <row r="1240" spans="1:10" x14ac:dyDescent="0.3">
      <c r="A1240" t="s">
        <v>1256</v>
      </c>
      <c r="B1240" s="1">
        <v>45905</v>
      </c>
      <c r="C1240" t="s">
        <v>18</v>
      </c>
      <c r="D1240" t="s">
        <v>19</v>
      </c>
      <c r="E1240">
        <v>120</v>
      </c>
      <c r="F1240">
        <v>8</v>
      </c>
      <c r="G1240">
        <v>0</v>
      </c>
      <c r="H1240">
        <v>960</v>
      </c>
      <c r="I1240">
        <f>AVERAGEIFS(sales_Data[units_sold], sales_Data[product_id],sales_Data[[#This Row],[product_id]])</f>
        <v>30.473972602739725</v>
      </c>
      <c r="J1240">
        <f>_xlfn.XLOOKUP(sales_Data[[#This Row],[product_id]],sales_Data[product_id],sales_Data[unit_price])</f>
        <v>120</v>
      </c>
    </row>
    <row r="1241" spans="1:10" x14ac:dyDescent="0.3">
      <c r="A1241" t="s">
        <v>1257</v>
      </c>
      <c r="B1241" s="1">
        <v>45905</v>
      </c>
      <c r="C1241" t="s">
        <v>21</v>
      </c>
      <c r="D1241" t="s">
        <v>22</v>
      </c>
      <c r="E1241">
        <v>25</v>
      </c>
      <c r="F1241">
        <v>7</v>
      </c>
      <c r="G1241">
        <v>0</v>
      </c>
      <c r="H1241">
        <v>175</v>
      </c>
      <c r="I1241">
        <f>AVERAGEIFS(sales_Data[units_sold], sales_Data[product_id],sales_Data[[#This Row],[product_id]])</f>
        <v>29.463013698630139</v>
      </c>
      <c r="J1241">
        <f>_xlfn.XLOOKUP(sales_Data[[#This Row],[product_id]],sales_Data[product_id],sales_Data[unit_price])</f>
        <v>25</v>
      </c>
    </row>
    <row r="1242" spans="1:10" x14ac:dyDescent="0.3">
      <c r="A1242" t="s">
        <v>1258</v>
      </c>
      <c r="B1242" s="1">
        <v>45906</v>
      </c>
      <c r="C1242" t="s">
        <v>9</v>
      </c>
      <c r="D1242" t="s">
        <v>10</v>
      </c>
      <c r="E1242">
        <v>45</v>
      </c>
      <c r="F1242">
        <v>55</v>
      </c>
      <c r="G1242">
        <v>0</v>
      </c>
      <c r="H1242">
        <v>2475</v>
      </c>
      <c r="I1242">
        <f>AVERAGEIFS(sales_Data[units_sold], sales_Data[product_id],sales_Data[[#This Row],[product_id]])</f>
        <v>31.479452054794521</v>
      </c>
      <c r="J1242">
        <f>_xlfn.XLOOKUP(sales_Data[[#This Row],[product_id]],sales_Data[product_id],sales_Data[unit_price])</f>
        <v>45</v>
      </c>
    </row>
    <row r="1243" spans="1:10" x14ac:dyDescent="0.3">
      <c r="A1243" t="s">
        <v>1259</v>
      </c>
      <c r="B1243" s="1">
        <v>45906</v>
      </c>
      <c r="C1243" t="s">
        <v>12</v>
      </c>
      <c r="D1243" t="s">
        <v>13</v>
      </c>
      <c r="E1243">
        <v>12.5</v>
      </c>
      <c r="F1243">
        <v>70</v>
      </c>
      <c r="G1243">
        <v>0</v>
      </c>
      <c r="H1243">
        <v>875</v>
      </c>
      <c r="I1243">
        <f>AVERAGEIFS(sales_Data[units_sold], sales_Data[product_id],sales_Data[[#This Row],[product_id]])</f>
        <v>31.794520547945204</v>
      </c>
      <c r="J1243">
        <f>_xlfn.XLOOKUP(sales_Data[[#This Row],[product_id]],sales_Data[product_id],sales_Data[unit_price])</f>
        <v>12.5</v>
      </c>
    </row>
    <row r="1244" spans="1:10" x14ac:dyDescent="0.3">
      <c r="A1244" t="s">
        <v>1260</v>
      </c>
      <c r="B1244" s="1">
        <v>45906</v>
      </c>
      <c r="C1244" t="s">
        <v>15</v>
      </c>
      <c r="D1244" t="s">
        <v>16</v>
      </c>
      <c r="E1244">
        <v>35</v>
      </c>
      <c r="F1244">
        <v>42</v>
      </c>
      <c r="G1244">
        <v>0.2</v>
      </c>
      <c r="H1244">
        <v>1176</v>
      </c>
      <c r="I1244">
        <f>AVERAGEIFS(sales_Data[units_sold], sales_Data[product_id],sales_Data[[#This Row],[product_id]])</f>
        <v>30.438356164383563</v>
      </c>
      <c r="J1244">
        <f>_xlfn.XLOOKUP(sales_Data[[#This Row],[product_id]],sales_Data[product_id],sales_Data[unit_price])</f>
        <v>35</v>
      </c>
    </row>
    <row r="1245" spans="1:10" x14ac:dyDescent="0.3">
      <c r="A1245" t="s">
        <v>1261</v>
      </c>
      <c r="B1245" s="1">
        <v>45906</v>
      </c>
      <c r="C1245" t="s">
        <v>18</v>
      </c>
      <c r="D1245" t="s">
        <v>19</v>
      </c>
      <c r="E1245">
        <v>120</v>
      </c>
      <c r="F1245">
        <v>19</v>
      </c>
      <c r="G1245">
        <v>0.1</v>
      </c>
      <c r="H1245">
        <v>2052</v>
      </c>
      <c r="I1245">
        <f>AVERAGEIFS(sales_Data[units_sold], sales_Data[product_id],sales_Data[[#This Row],[product_id]])</f>
        <v>30.473972602739725</v>
      </c>
      <c r="J1245">
        <f>_xlfn.XLOOKUP(sales_Data[[#This Row],[product_id]],sales_Data[product_id],sales_Data[unit_price])</f>
        <v>120</v>
      </c>
    </row>
    <row r="1246" spans="1:10" x14ac:dyDescent="0.3">
      <c r="A1246" t="s">
        <v>1262</v>
      </c>
      <c r="B1246" s="1">
        <v>45906</v>
      </c>
      <c r="C1246" t="s">
        <v>21</v>
      </c>
      <c r="D1246" t="s">
        <v>22</v>
      </c>
      <c r="E1246">
        <v>25</v>
      </c>
      <c r="F1246">
        <v>15</v>
      </c>
      <c r="G1246">
        <v>0</v>
      </c>
      <c r="H1246">
        <v>375</v>
      </c>
      <c r="I1246">
        <f>AVERAGEIFS(sales_Data[units_sold], sales_Data[product_id],sales_Data[[#This Row],[product_id]])</f>
        <v>29.463013698630139</v>
      </c>
      <c r="J1246">
        <f>_xlfn.XLOOKUP(sales_Data[[#This Row],[product_id]],sales_Data[product_id],sales_Data[unit_price])</f>
        <v>25</v>
      </c>
    </row>
    <row r="1247" spans="1:10" x14ac:dyDescent="0.3">
      <c r="A1247" t="s">
        <v>1263</v>
      </c>
      <c r="B1247" s="1">
        <v>45907</v>
      </c>
      <c r="C1247" t="s">
        <v>9</v>
      </c>
      <c r="D1247" t="s">
        <v>10</v>
      </c>
      <c r="E1247">
        <v>45</v>
      </c>
      <c r="F1247">
        <v>63</v>
      </c>
      <c r="G1247">
        <v>0</v>
      </c>
      <c r="H1247">
        <v>2835</v>
      </c>
      <c r="I1247">
        <f>AVERAGEIFS(sales_Data[units_sold], sales_Data[product_id],sales_Data[[#This Row],[product_id]])</f>
        <v>31.479452054794521</v>
      </c>
      <c r="J1247">
        <f>_xlfn.XLOOKUP(sales_Data[[#This Row],[product_id]],sales_Data[product_id],sales_Data[unit_price])</f>
        <v>45</v>
      </c>
    </row>
    <row r="1248" spans="1:10" x14ac:dyDescent="0.3">
      <c r="A1248" t="s">
        <v>1264</v>
      </c>
      <c r="B1248" s="1">
        <v>45907</v>
      </c>
      <c r="C1248" t="s">
        <v>12</v>
      </c>
      <c r="D1248" t="s">
        <v>13</v>
      </c>
      <c r="E1248">
        <v>12.5</v>
      </c>
      <c r="F1248">
        <v>25</v>
      </c>
      <c r="G1248">
        <v>0</v>
      </c>
      <c r="H1248">
        <v>312.5</v>
      </c>
      <c r="I1248">
        <f>AVERAGEIFS(sales_Data[units_sold], sales_Data[product_id],sales_Data[[#This Row],[product_id]])</f>
        <v>31.794520547945204</v>
      </c>
      <c r="J1248">
        <f>_xlfn.XLOOKUP(sales_Data[[#This Row],[product_id]],sales_Data[product_id],sales_Data[unit_price])</f>
        <v>12.5</v>
      </c>
    </row>
    <row r="1249" spans="1:10" x14ac:dyDescent="0.3">
      <c r="A1249" t="s">
        <v>1265</v>
      </c>
      <c r="B1249" s="1">
        <v>45907</v>
      </c>
      <c r="C1249" t="s">
        <v>15</v>
      </c>
      <c r="D1249" t="s">
        <v>16</v>
      </c>
      <c r="E1249">
        <v>35</v>
      </c>
      <c r="F1249">
        <v>52</v>
      </c>
      <c r="G1249">
        <v>0</v>
      </c>
      <c r="H1249">
        <v>1820</v>
      </c>
      <c r="I1249">
        <f>AVERAGEIFS(sales_Data[units_sold], sales_Data[product_id],sales_Data[[#This Row],[product_id]])</f>
        <v>30.438356164383563</v>
      </c>
      <c r="J1249">
        <f>_xlfn.XLOOKUP(sales_Data[[#This Row],[product_id]],sales_Data[product_id],sales_Data[unit_price])</f>
        <v>35</v>
      </c>
    </row>
    <row r="1250" spans="1:10" x14ac:dyDescent="0.3">
      <c r="A1250" t="s">
        <v>1266</v>
      </c>
      <c r="B1250" s="1">
        <v>45907</v>
      </c>
      <c r="C1250" t="s">
        <v>18</v>
      </c>
      <c r="D1250" t="s">
        <v>19</v>
      </c>
      <c r="E1250">
        <v>120</v>
      </c>
      <c r="F1250">
        <v>42</v>
      </c>
      <c r="G1250">
        <v>0</v>
      </c>
      <c r="H1250">
        <v>5040</v>
      </c>
      <c r="I1250">
        <f>AVERAGEIFS(sales_Data[units_sold], sales_Data[product_id],sales_Data[[#This Row],[product_id]])</f>
        <v>30.473972602739725</v>
      </c>
      <c r="J1250">
        <f>_xlfn.XLOOKUP(sales_Data[[#This Row],[product_id]],sales_Data[product_id],sales_Data[unit_price])</f>
        <v>120</v>
      </c>
    </row>
    <row r="1251" spans="1:10" x14ac:dyDescent="0.3">
      <c r="A1251" t="s">
        <v>1267</v>
      </c>
      <c r="B1251" s="1">
        <v>45907</v>
      </c>
      <c r="C1251" t="s">
        <v>21</v>
      </c>
      <c r="D1251" t="s">
        <v>22</v>
      </c>
      <c r="E1251">
        <v>25</v>
      </c>
      <c r="F1251">
        <v>36</v>
      </c>
      <c r="G1251">
        <v>0</v>
      </c>
      <c r="H1251">
        <v>900</v>
      </c>
      <c r="I1251">
        <f>AVERAGEIFS(sales_Data[units_sold], sales_Data[product_id],sales_Data[[#This Row],[product_id]])</f>
        <v>29.463013698630139</v>
      </c>
      <c r="J1251">
        <f>_xlfn.XLOOKUP(sales_Data[[#This Row],[product_id]],sales_Data[product_id],sales_Data[unit_price])</f>
        <v>25</v>
      </c>
    </row>
    <row r="1252" spans="1:10" x14ac:dyDescent="0.3">
      <c r="A1252" t="s">
        <v>1268</v>
      </c>
      <c r="B1252" s="1">
        <v>45908</v>
      </c>
      <c r="C1252" t="s">
        <v>9</v>
      </c>
      <c r="D1252" t="s">
        <v>10</v>
      </c>
      <c r="E1252">
        <v>45</v>
      </c>
      <c r="F1252">
        <v>35</v>
      </c>
      <c r="G1252">
        <v>0</v>
      </c>
      <c r="H1252">
        <v>1575</v>
      </c>
      <c r="I1252">
        <f>AVERAGEIFS(sales_Data[units_sold], sales_Data[product_id],sales_Data[[#This Row],[product_id]])</f>
        <v>31.479452054794521</v>
      </c>
      <c r="J1252">
        <f>_xlfn.XLOOKUP(sales_Data[[#This Row],[product_id]],sales_Data[product_id],sales_Data[unit_price])</f>
        <v>45</v>
      </c>
    </row>
    <row r="1253" spans="1:10" x14ac:dyDescent="0.3">
      <c r="A1253" t="s">
        <v>1269</v>
      </c>
      <c r="B1253" s="1">
        <v>45908</v>
      </c>
      <c r="C1253" t="s">
        <v>12</v>
      </c>
      <c r="D1253" t="s">
        <v>13</v>
      </c>
      <c r="E1253">
        <v>12.5</v>
      </c>
      <c r="F1253">
        <v>26</v>
      </c>
      <c r="G1253">
        <v>0</v>
      </c>
      <c r="H1253">
        <v>325</v>
      </c>
      <c r="I1253">
        <f>AVERAGEIFS(sales_Data[units_sold], sales_Data[product_id],sales_Data[[#This Row],[product_id]])</f>
        <v>31.794520547945204</v>
      </c>
      <c r="J1253">
        <f>_xlfn.XLOOKUP(sales_Data[[#This Row],[product_id]],sales_Data[product_id],sales_Data[unit_price])</f>
        <v>12.5</v>
      </c>
    </row>
    <row r="1254" spans="1:10" x14ac:dyDescent="0.3">
      <c r="A1254" t="s">
        <v>1270</v>
      </c>
      <c r="B1254" s="1">
        <v>45908</v>
      </c>
      <c r="C1254" t="s">
        <v>15</v>
      </c>
      <c r="D1254" t="s">
        <v>16</v>
      </c>
      <c r="E1254">
        <v>35</v>
      </c>
      <c r="F1254">
        <v>23</v>
      </c>
      <c r="G1254">
        <v>0</v>
      </c>
      <c r="H1254">
        <v>805</v>
      </c>
      <c r="I1254">
        <f>AVERAGEIFS(sales_Data[units_sold], sales_Data[product_id],sales_Data[[#This Row],[product_id]])</f>
        <v>30.438356164383563</v>
      </c>
      <c r="J1254">
        <f>_xlfn.XLOOKUP(sales_Data[[#This Row],[product_id]],sales_Data[product_id],sales_Data[unit_price])</f>
        <v>35</v>
      </c>
    </row>
    <row r="1255" spans="1:10" x14ac:dyDescent="0.3">
      <c r="A1255" t="s">
        <v>1271</v>
      </c>
      <c r="B1255" s="1">
        <v>45908</v>
      </c>
      <c r="C1255" t="s">
        <v>18</v>
      </c>
      <c r="D1255" t="s">
        <v>19</v>
      </c>
      <c r="E1255">
        <v>120</v>
      </c>
      <c r="F1255">
        <v>10</v>
      </c>
      <c r="G1255">
        <v>0</v>
      </c>
      <c r="H1255">
        <v>1200</v>
      </c>
      <c r="I1255">
        <f>AVERAGEIFS(sales_Data[units_sold], sales_Data[product_id],sales_Data[[#This Row],[product_id]])</f>
        <v>30.473972602739725</v>
      </c>
      <c r="J1255">
        <f>_xlfn.XLOOKUP(sales_Data[[#This Row],[product_id]],sales_Data[product_id],sales_Data[unit_price])</f>
        <v>120</v>
      </c>
    </row>
    <row r="1256" spans="1:10" x14ac:dyDescent="0.3">
      <c r="A1256" t="s">
        <v>1272</v>
      </c>
      <c r="B1256" s="1">
        <v>45908</v>
      </c>
      <c r="C1256" t="s">
        <v>21</v>
      </c>
      <c r="D1256" t="s">
        <v>22</v>
      </c>
      <c r="E1256">
        <v>25</v>
      </c>
      <c r="F1256">
        <v>16</v>
      </c>
      <c r="G1256">
        <v>0</v>
      </c>
      <c r="H1256">
        <v>400</v>
      </c>
      <c r="I1256">
        <f>AVERAGEIFS(sales_Data[units_sold], sales_Data[product_id],sales_Data[[#This Row],[product_id]])</f>
        <v>29.463013698630139</v>
      </c>
      <c r="J1256">
        <f>_xlfn.XLOOKUP(sales_Data[[#This Row],[product_id]],sales_Data[product_id],sales_Data[unit_price])</f>
        <v>25</v>
      </c>
    </row>
    <row r="1257" spans="1:10" x14ac:dyDescent="0.3">
      <c r="A1257" t="s">
        <v>1273</v>
      </c>
      <c r="B1257" s="1">
        <v>45909</v>
      </c>
      <c r="C1257" t="s">
        <v>9</v>
      </c>
      <c r="D1257" t="s">
        <v>10</v>
      </c>
      <c r="E1257">
        <v>45</v>
      </c>
      <c r="F1257">
        <v>37</v>
      </c>
      <c r="G1257">
        <v>0</v>
      </c>
      <c r="H1257">
        <v>1665</v>
      </c>
      <c r="I1257">
        <f>AVERAGEIFS(sales_Data[units_sold], sales_Data[product_id],sales_Data[[#This Row],[product_id]])</f>
        <v>31.479452054794521</v>
      </c>
      <c r="J1257">
        <f>_xlfn.XLOOKUP(sales_Data[[#This Row],[product_id]],sales_Data[product_id],sales_Data[unit_price])</f>
        <v>45</v>
      </c>
    </row>
    <row r="1258" spans="1:10" x14ac:dyDescent="0.3">
      <c r="A1258" t="s">
        <v>1274</v>
      </c>
      <c r="B1258" s="1">
        <v>45909</v>
      </c>
      <c r="C1258" t="s">
        <v>12</v>
      </c>
      <c r="D1258" t="s">
        <v>13</v>
      </c>
      <c r="E1258">
        <v>12.5</v>
      </c>
      <c r="F1258">
        <v>5</v>
      </c>
      <c r="G1258">
        <v>0</v>
      </c>
      <c r="H1258">
        <v>62.5</v>
      </c>
      <c r="I1258">
        <f>AVERAGEIFS(sales_Data[units_sold], sales_Data[product_id],sales_Data[[#This Row],[product_id]])</f>
        <v>31.794520547945204</v>
      </c>
      <c r="J1258">
        <f>_xlfn.XLOOKUP(sales_Data[[#This Row],[product_id]],sales_Data[product_id],sales_Data[unit_price])</f>
        <v>12.5</v>
      </c>
    </row>
    <row r="1259" spans="1:10" x14ac:dyDescent="0.3">
      <c r="A1259" t="s">
        <v>1275</v>
      </c>
      <c r="B1259" s="1">
        <v>45909</v>
      </c>
      <c r="C1259" t="s">
        <v>15</v>
      </c>
      <c r="D1259" t="s">
        <v>16</v>
      </c>
      <c r="E1259">
        <v>35</v>
      </c>
      <c r="F1259">
        <v>6</v>
      </c>
      <c r="G1259">
        <v>0</v>
      </c>
      <c r="H1259">
        <v>210</v>
      </c>
      <c r="I1259">
        <f>AVERAGEIFS(sales_Data[units_sold], sales_Data[product_id],sales_Data[[#This Row],[product_id]])</f>
        <v>30.438356164383563</v>
      </c>
      <c r="J1259">
        <f>_xlfn.XLOOKUP(sales_Data[[#This Row],[product_id]],sales_Data[product_id],sales_Data[unit_price])</f>
        <v>35</v>
      </c>
    </row>
    <row r="1260" spans="1:10" x14ac:dyDescent="0.3">
      <c r="A1260" t="s">
        <v>1276</v>
      </c>
      <c r="B1260" s="1">
        <v>45909</v>
      </c>
      <c r="C1260" t="s">
        <v>18</v>
      </c>
      <c r="D1260" t="s">
        <v>19</v>
      </c>
      <c r="E1260">
        <v>120</v>
      </c>
      <c r="F1260">
        <v>36</v>
      </c>
      <c r="G1260">
        <v>0</v>
      </c>
      <c r="H1260">
        <v>4320</v>
      </c>
      <c r="I1260">
        <f>AVERAGEIFS(sales_Data[units_sold], sales_Data[product_id],sales_Data[[#This Row],[product_id]])</f>
        <v>30.473972602739725</v>
      </c>
      <c r="J1260">
        <f>_xlfn.XLOOKUP(sales_Data[[#This Row],[product_id]],sales_Data[product_id],sales_Data[unit_price])</f>
        <v>120</v>
      </c>
    </row>
    <row r="1261" spans="1:10" x14ac:dyDescent="0.3">
      <c r="A1261" t="s">
        <v>1277</v>
      </c>
      <c r="B1261" s="1">
        <v>45909</v>
      </c>
      <c r="C1261" t="s">
        <v>21</v>
      </c>
      <c r="D1261" t="s">
        <v>22</v>
      </c>
      <c r="E1261">
        <v>25</v>
      </c>
      <c r="F1261">
        <v>25</v>
      </c>
      <c r="G1261">
        <v>0</v>
      </c>
      <c r="H1261">
        <v>625</v>
      </c>
      <c r="I1261">
        <f>AVERAGEIFS(sales_Data[units_sold], sales_Data[product_id],sales_Data[[#This Row],[product_id]])</f>
        <v>29.463013698630139</v>
      </c>
      <c r="J1261">
        <f>_xlfn.XLOOKUP(sales_Data[[#This Row],[product_id]],sales_Data[product_id],sales_Data[unit_price])</f>
        <v>25</v>
      </c>
    </row>
    <row r="1262" spans="1:10" x14ac:dyDescent="0.3">
      <c r="A1262" t="s">
        <v>1278</v>
      </c>
      <c r="B1262" s="1">
        <v>45910</v>
      </c>
      <c r="C1262" t="s">
        <v>9</v>
      </c>
      <c r="D1262" t="s">
        <v>10</v>
      </c>
      <c r="E1262">
        <v>45</v>
      </c>
      <c r="F1262">
        <v>7</v>
      </c>
      <c r="G1262">
        <v>0</v>
      </c>
      <c r="H1262">
        <v>315</v>
      </c>
      <c r="I1262">
        <f>AVERAGEIFS(sales_Data[units_sold], sales_Data[product_id],sales_Data[[#This Row],[product_id]])</f>
        <v>31.479452054794521</v>
      </c>
      <c r="J1262">
        <f>_xlfn.XLOOKUP(sales_Data[[#This Row],[product_id]],sales_Data[product_id],sales_Data[unit_price])</f>
        <v>45</v>
      </c>
    </row>
    <row r="1263" spans="1:10" x14ac:dyDescent="0.3">
      <c r="A1263" t="s">
        <v>1279</v>
      </c>
      <c r="B1263" s="1">
        <v>45910</v>
      </c>
      <c r="C1263" t="s">
        <v>12</v>
      </c>
      <c r="D1263" t="s">
        <v>13</v>
      </c>
      <c r="E1263">
        <v>12.5</v>
      </c>
      <c r="F1263">
        <v>15</v>
      </c>
      <c r="G1263">
        <v>0.1</v>
      </c>
      <c r="H1263">
        <v>168.75</v>
      </c>
      <c r="I1263">
        <f>AVERAGEIFS(sales_Data[units_sold], sales_Data[product_id],sales_Data[[#This Row],[product_id]])</f>
        <v>31.794520547945204</v>
      </c>
      <c r="J1263">
        <f>_xlfn.XLOOKUP(sales_Data[[#This Row],[product_id]],sales_Data[product_id],sales_Data[unit_price])</f>
        <v>12.5</v>
      </c>
    </row>
    <row r="1264" spans="1:10" x14ac:dyDescent="0.3">
      <c r="A1264" t="s">
        <v>1280</v>
      </c>
      <c r="B1264" s="1">
        <v>45910</v>
      </c>
      <c r="C1264" t="s">
        <v>15</v>
      </c>
      <c r="D1264" t="s">
        <v>16</v>
      </c>
      <c r="E1264">
        <v>35</v>
      </c>
      <c r="F1264">
        <v>42</v>
      </c>
      <c r="G1264">
        <v>0.2</v>
      </c>
      <c r="H1264">
        <v>1176</v>
      </c>
      <c r="I1264">
        <f>AVERAGEIFS(sales_Data[units_sold], sales_Data[product_id],sales_Data[[#This Row],[product_id]])</f>
        <v>30.438356164383563</v>
      </c>
      <c r="J1264">
        <f>_xlfn.XLOOKUP(sales_Data[[#This Row],[product_id]],sales_Data[product_id],sales_Data[unit_price])</f>
        <v>35</v>
      </c>
    </row>
    <row r="1265" spans="1:10" x14ac:dyDescent="0.3">
      <c r="A1265" t="s">
        <v>1281</v>
      </c>
      <c r="B1265" s="1">
        <v>45910</v>
      </c>
      <c r="C1265" t="s">
        <v>18</v>
      </c>
      <c r="D1265" t="s">
        <v>19</v>
      </c>
      <c r="E1265">
        <v>120</v>
      </c>
      <c r="F1265">
        <v>24</v>
      </c>
      <c r="G1265">
        <v>0</v>
      </c>
      <c r="H1265">
        <v>2880</v>
      </c>
      <c r="I1265">
        <f>AVERAGEIFS(sales_Data[units_sold], sales_Data[product_id],sales_Data[[#This Row],[product_id]])</f>
        <v>30.473972602739725</v>
      </c>
      <c r="J1265">
        <f>_xlfn.XLOOKUP(sales_Data[[#This Row],[product_id]],sales_Data[product_id],sales_Data[unit_price])</f>
        <v>120</v>
      </c>
    </row>
    <row r="1266" spans="1:10" x14ac:dyDescent="0.3">
      <c r="A1266" t="s">
        <v>1282</v>
      </c>
      <c r="B1266" s="1">
        <v>45910</v>
      </c>
      <c r="C1266" t="s">
        <v>21</v>
      </c>
      <c r="D1266" t="s">
        <v>22</v>
      </c>
      <c r="E1266">
        <v>25</v>
      </c>
      <c r="F1266">
        <v>23</v>
      </c>
      <c r="G1266">
        <v>0</v>
      </c>
      <c r="H1266">
        <v>575</v>
      </c>
      <c r="I1266">
        <f>AVERAGEIFS(sales_Data[units_sold], sales_Data[product_id],sales_Data[[#This Row],[product_id]])</f>
        <v>29.463013698630139</v>
      </c>
      <c r="J1266">
        <f>_xlfn.XLOOKUP(sales_Data[[#This Row],[product_id]],sales_Data[product_id],sales_Data[unit_price])</f>
        <v>25</v>
      </c>
    </row>
    <row r="1267" spans="1:10" x14ac:dyDescent="0.3">
      <c r="A1267" t="s">
        <v>1283</v>
      </c>
      <c r="B1267" s="1">
        <v>45911</v>
      </c>
      <c r="C1267" t="s">
        <v>9</v>
      </c>
      <c r="D1267" t="s">
        <v>10</v>
      </c>
      <c r="E1267">
        <v>45</v>
      </c>
      <c r="F1267">
        <v>44</v>
      </c>
      <c r="G1267">
        <v>0</v>
      </c>
      <c r="H1267">
        <v>1980</v>
      </c>
      <c r="I1267">
        <f>AVERAGEIFS(sales_Data[units_sold], sales_Data[product_id],sales_Data[[#This Row],[product_id]])</f>
        <v>31.479452054794521</v>
      </c>
      <c r="J1267">
        <f>_xlfn.XLOOKUP(sales_Data[[#This Row],[product_id]],sales_Data[product_id],sales_Data[unit_price])</f>
        <v>45</v>
      </c>
    </row>
    <row r="1268" spans="1:10" x14ac:dyDescent="0.3">
      <c r="A1268" t="s">
        <v>1284</v>
      </c>
      <c r="B1268" s="1">
        <v>45911</v>
      </c>
      <c r="C1268" t="s">
        <v>12</v>
      </c>
      <c r="D1268" t="s">
        <v>13</v>
      </c>
      <c r="E1268">
        <v>12.5</v>
      </c>
      <c r="F1268">
        <v>36</v>
      </c>
      <c r="G1268">
        <v>0.2</v>
      </c>
      <c r="H1268">
        <v>360</v>
      </c>
      <c r="I1268">
        <f>AVERAGEIFS(sales_Data[units_sold], sales_Data[product_id],sales_Data[[#This Row],[product_id]])</f>
        <v>31.794520547945204</v>
      </c>
      <c r="J1268">
        <f>_xlfn.XLOOKUP(sales_Data[[#This Row],[product_id]],sales_Data[product_id],sales_Data[unit_price])</f>
        <v>12.5</v>
      </c>
    </row>
    <row r="1269" spans="1:10" x14ac:dyDescent="0.3">
      <c r="A1269" t="s">
        <v>1285</v>
      </c>
      <c r="B1269" s="1">
        <v>45911</v>
      </c>
      <c r="C1269" t="s">
        <v>15</v>
      </c>
      <c r="D1269" t="s">
        <v>16</v>
      </c>
      <c r="E1269">
        <v>35</v>
      </c>
      <c r="F1269">
        <v>41</v>
      </c>
      <c r="G1269">
        <v>0</v>
      </c>
      <c r="H1269">
        <v>1435</v>
      </c>
      <c r="I1269">
        <f>AVERAGEIFS(sales_Data[units_sold], sales_Data[product_id],sales_Data[[#This Row],[product_id]])</f>
        <v>30.438356164383563</v>
      </c>
      <c r="J1269">
        <f>_xlfn.XLOOKUP(sales_Data[[#This Row],[product_id]],sales_Data[product_id],sales_Data[unit_price])</f>
        <v>35</v>
      </c>
    </row>
    <row r="1270" spans="1:10" x14ac:dyDescent="0.3">
      <c r="A1270" t="s">
        <v>1286</v>
      </c>
      <c r="B1270" s="1">
        <v>45911</v>
      </c>
      <c r="C1270" t="s">
        <v>18</v>
      </c>
      <c r="D1270" t="s">
        <v>19</v>
      </c>
      <c r="E1270">
        <v>120</v>
      </c>
      <c r="F1270">
        <v>12</v>
      </c>
      <c r="G1270">
        <v>0.1</v>
      </c>
      <c r="H1270">
        <v>1296</v>
      </c>
      <c r="I1270">
        <f>AVERAGEIFS(sales_Data[units_sold], sales_Data[product_id],sales_Data[[#This Row],[product_id]])</f>
        <v>30.473972602739725</v>
      </c>
      <c r="J1270">
        <f>_xlfn.XLOOKUP(sales_Data[[#This Row],[product_id]],sales_Data[product_id],sales_Data[unit_price])</f>
        <v>120</v>
      </c>
    </row>
    <row r="1271" spans="1:10" x14ac:dyDescent="0.3">
      <c r="A1271" t="s">
        <v>1287</v>
      </c>
      <c r="B1271" s="1">
        <v>45911</v>
      </c>
      <c r="C1271" t="s">
        <v>21</v>
      </c>
      <c r="D1271" t="s">
        <v>22</v>
      </c>
      <c r="E1271">
        <v>25</v>
      </c>
      <c r="F1271">
        <v>22</v>
      </c>
      <c r="G1271">
        <v>0</v>
      </c>
      <c r="H1271">
        <v>550</v>
      </c>
      <c r="I1271">
        <f>AVERAGEIFS(sales_Data[units_sold], sales_Data[product_id],sales_Data[[#This Row],[product_id]])</f>
        <v>29.463013698630139</v>
      </c>
      <c r="J1271">
        <f>_xlfn.XLOOKUP(sales_Data[[#This Row],[product_id]],sales_Data[product_id],sales_Data[unit_price])</f>
        <v>25</v>
      </c>
    </row>
    <row r="1272" spans="1:10" x14ac:dyDescent="0.3">
      <c r="A1272" t="s">
        <v>1288</v>
      </c>
      <c r="B1272" s="1">
        <v>45912</v>
      </c>
      <c r="C1272" t="s">
        <v>9</v>
      </c>
      <c r="D1272" t="s">
        <v>10</v>
      </c>
      <c r="E1272">
        <v>45</v>
      </c>
      <c r="F1272">
        <v>20</v>
      </c>
      <c r="G1272">
        <v>0</v>
      </c>
      <c r="H1272">
        <v>900</v>
      </c>
      <c r="I1272">
        <f>AVERAGEIFS(sales_Data[units_sold], sales_Data[product_id],sales_Data[[#This Row],[product_id]])</f>
        <v>31.479452054794521</v>
      </c>
      <c r="J1272">
        <f>_xlfn.XLOOKUP(sales_Data[[#This Row],[product_id]],sales_Data[product_id],sales_Data[unit_price])</f>
        <v>45</v>
      </c>
    </row>
    <row r="1273" spans="1:10" x14ac:dyDescent="0.3">
      <c r="A1273" t="s">
        <v>1289</v>
      </c>
      <c r="B1273" s="1">
        <v>45912</v>
      </c>
      <c r="C1273" t="s">
        <v>12</v>
      </c>
      <c r="D1273" t="s">
        <v>13</v>
      </c>
      <c r="E1273">
        <v>12.5</v>
      </c>
      <c r="F1273">
        <v>15</v>
      </c>
      <c r="G1273">
        <v>0.1</v>
      </c>
      <c r="H1273">
        <v>168.75</v>
      </c>
      <c r="I1273">
        <f>AVERAGEIFS(sales_Data[units_sold], sales_Data[product_id],sales_Data[[#This Row],[product_id]])</f>
        <v>31.794520547945204</v>
      </c>
      <c r="J1273">
        <f>_xlfn.XLOOKUP(sales_Data[[#This Row],[product_id]],sales_Data[product_id],sales_Data[unit_price])</f>
        <v>12.5</v>
      </c>
    </row>
    <row r="1274" spans="1:10" x14ac:dyDescent="0.3">
      <c r="A1274" t="s">
        <v>1290</v>
      </c>
      <c r="B1274" s="1">
        <v>45912</v>
      </c>
      <c r="C1274" t="s">
        <v>15</v>
      </c>
      <c r="D1274" t="s">
        <v>16</v>
      </c>
      <c r="E1274">
        <v>35</v>
      </c>
      <c r="F1274">
        <v>7</v>
      </c>
      <c r="G1274">
        <v>0.1</v>
      </c>
      <c r="H1274">
        <v>220.5</v>
      </c>
      <c r="I1274">
        <f>AVERAGEIFS(sales_Data[units_sold], sales_Data[product_id],sales_Data[[#This Row],[product_id]])</f>
        <v>30.438356164383563</v>
      </c>
      <c r="J1274">
        <f>_xlfn.XLOOKUP(sales_Data[[#This Row],[product_id]],sales_Data[product_id],sales_Data[unit_price])</f>
        <v>35</v>
      </c>
    </row>
    <row r="1275" spans="1:10" x14ac:dyDescent="0.3">
      <c r="A1275" t="s">
        <v>1291</v>
      </c>
      <c r="B1275" s="1">
        <v>45912</v>
      </c>
      <c r="C1275" t="s">
        <v>18</v>
      </c>
      <c r="D1275" t="s">
        <v>19</v>
      </c>
      <c r="E1275">
        <v>120</v>
      </c>
      <c r="F1275">
        <v>39</v>
      </c>
      <c r="G1275">
        <v>0.2</v>
      </c>
      <c r="H1275">
        <v>3744</v>
      </c>
      <c r="I1275">
        <f>AVERAGEIFS(sales_Data[units_sold], sales_Data[product_id],sales_Data[[#This Row],[product_id]])</f>
        <v>30.473972602739725</v>
      </c>
      <c r="J1275">
        <f>_xlfn.XLOOKUP(sales_Data[[#This Row],[product_id]],sales_Data[product_id],sales_Data[unit_price])</f>
        <v>120</v>
      </c>
    </row>
    <row r="1276" spans="1:10" x14ac:dyDescent="0.3">
      <c r="A1276" t="s">
        <v>1292</v>
      </c>
      <c r="B1276" s="1">
        <v>45912</v>
      </c>
      <c r="C1276" t="s">
        <v>21</v>
      </c>
      <c r="D1276" t="s">
        <v>22</v>
      </c>
      <c r="E1276">
        <v>25</v>
      </c>
      <c r="F1276">
        <v>41</v>
      </c>
      <c r="G1276">
        <v>0.2</v>
      </c>
      <c r="H1276">
        <v>820</v>
      </c>
      <c r="I1276">
        <f>AVERAGEIFS(sales_Data[units_sold], sales_Data[product_id],sales_Data[[#This Row],[product_id]])</f>
        <v>29.463013698630139</v>
      </c>
      <c r="J1276">
        <f>_xlfn.XLOOKUP(sales_Data[[#This Row],[product_id]],sales_Data[product_id],sales_Data[unit_price])</f>
        <v>25</v>
      </c>
    </row>
    <row r="1277" spans="1:10" x14ac:dyDescent="0.3">
      <c r="A1277" t="s">
        <v>1293</v>
      </c>
      <c r="B1277" s="1">
        <v>45913</v>
      </c>
      <c r="C1277" t="s">
        <v>9</v>
      </c>
      <c r="D1277" t="s">
        <v>10</v>
      </c>
      <c r="E1277">
        <v>45</v>
      </c>
      <c r="F1277">
        <v>42</v>
      </c>
      <c r="G1277">
        <v>0</v>
      </c>
      <c r="H1277">
        <v>1890</v>
      </c>
      <c r="I1277">
        <f>AVERAGEIFS(sales_Data[units_sold], sales_Data[product_id],sales_Data[[#This Row],[product_id]])</f>
        <v>31.479452054794521</v>
      </c>
      <c r="J1277">
        <f>_xlfn.XLOOKUP(sales_Data[[#This Row],[product_id]],sales_Data[product_id],sales_Data[unit_price])</f>
        <v>45</v>
      </c>
    </row>
    <row r="1278" spans="1:10" x14ac:dyDescent="0.3">
      <c r="A1278" t="s">
        <v>1294</v>
      </c>
      <c r="B1278" s="1">
        <v>45913</v>
      </c>
      <c r="C1278" t="s">
        <v>12</v>
      </c>
      <c r="D1278" t="s">
        <v>13</v>
      </c>
      <c r="E1278">
        <v>12.5</v>
      </c>
      <c r="F1278">
        <v>64</v>
      </c>
      <c r="G1278">
        <v>0</v>
      </c>
      <c r="H1278">
        <v>800</v>
      </c>
      <c r="I1278">
        <f>AVERAGEIFS(sales_Data[units_sold], sales_Data[product_id],sales_Data[[#This Row],[product_id]])</f>
        <v>31.794520547945204</v>
      </c>
      <c r="J1278">
        <f>_xlfn.XLOOKUP(sales_Data[[#This Row],[product_id]],sales_Data[product_id],sales_Data[unit_price])</f>
        <v>12.5</v>
      </c>
    </row>
    <row r="1279" spans="1:10" x14ac:dyDescent="0.3">
      <c r="A1279" t="s">
        <v>1295</v>
      </c>
      <c r="B1279" s="1">
        <v>45913</v>
      </c>
      <c r="C1279" t="s">
        <v>15</v>
      </c>
      <c r="D1279" t="s">
        <v>16</v>
      </c>
      <c r="E1279">
        <v>35</v>
      </c>
      <c r="F1279">
        <v>12</v>
      </c>
      <c r="G1279">
        <v>0.2</v>
      </c>
      <c r="H1279">
        <v>336</v>
      </c>
      <c r="I1279">
        <f>AVERAGEIFS(sales_Data[units_sold], sales_Data[product_id],sales_Data[[#This Row],[product_id]])</f>
        <v>30.438356164383563</v>
      </c>
      <c r="J1279">
        <f>_xlfn.XLOOKUP(sales_Data[[#This Row],[product_id]],sales_Data[product_id],sales_Data[unit_price])</f>
        <v>35</v>
      </c>
    </row>
    <row r="1280" spans="1:10" x14ac:dyDescent="0.3">
      <c r="A1280" t="s">
        <v>1296</v>
      </c>
      <c r="B1280" s="1">
        <v>45913</v>
      </c>
      <c r="C1280" t="s">
        <v>18</v>
      </c>
      <c r="D1280" t="s">
        <v>19</v>
      </c>
      <c r="E1280">
        <v>120</v>
      </c>
      <c r="F1280">
        <v>9</v>
      </c>
      <c r="G1280">
        <v>0</v>
      </c>
      <c r="H1280">
        <v>1080</v>
      </c>
      <c r="I1280">
        <f>AVERAGEIFS(sales_Data[units_sold], sales_Data[product_id],sales_Data[[#This Row],[product_id]])</f>
        <v>30.473972602739725</v>
      </c>
      <c r="J1280">
        <f>_xlfn.XLOOKUP(sales_Data[[#This Row],[product_id]],sales_Data[product_id],sales_Data[unit_price])</f>
        <v>120</v>
      </c>
    </row>
    <row r="1281" spans="1:10" x14ac:dyDescent="0.3">
      <c r="A1281" t="s">
        <v>1297</v>
      </c>
      <c r="B1281" s="1">
        <v>45913</v>
      </c>
      <c r="C1281" t="s">
        <v>21</v>
      </c>
      <c r="D1281" t="s">
        <v>22</v>
      </c>
      <c r="E1281">
        <v>25</v>
      </c>
      <c r="F1281">
        <v>69</v>
      </c>
      <c r="G1281">
        <v>0</v>
      </c>
      <c r="H1281">
        <v>1725</v>
      </c>
      <c r="I1281">
        <f>AVERAGEIFS(sales_Data[units_sold], sales_Data[product_id],sales_Data[[#This Row],[product_id]])</f>
        <v>29.463013698630139</v>
      </c>
      <c r="J1281">
        <f>_xlfn.XLOOKUP(sales_Data[[#This Row],[product_id]],sales_Data[product_id],sales_Data[unit_price])</f>
        <v>25</v>
      </c>
    </row>
    <row r="1282" spans="1:10" x14ac:dyDescent="0.3">
      <c r="A1282" t="s">
        <v>1298</v>
      </c>
      <c r="B1282" s="1">
        <v>45914</v>
      </c>
      <c r="C1282" t="s">
        <v>9</v>
      </c>
      <c r="D1282" t="s">
        <v>10</v>
      </c>
      <c r="E1282">
        <v>45</v>
      </c>
      <c r="F1282">
        <v>43</v>
      </c>
      <c r="G1282">
        <v>0</v>
      </c>
      <c r="H1282">
        <v>1935</v>
      </c>
      <c r="I1282">
        <f>AVERAGEIFS(sales_Data[units_sold], sales_Data[product_id],sales_Data[[#This Row],[product_id]])</f>
        <v>31.479452054794521</v>
      </c>
      <c r="J1282">
        <f>_xlfn.XLOOKUP(sales_Data[[#This Row],[product_id]],sales_Data[product_id],sales_Data[unit_price])</f>
        <v>45</v>
      </c>
    </row>
    <row r="1283" spans="1:10" x14ac:dyDescent="0.3">
      <c r="A1283" t="s">
        <v>1299</v>
      </c>
      <c r="B1283" s="1">
        <v>45914</v>
      </c>
      <c r="C1283" t="s">
        <v>12</v>
      </c>
      <c r="D1283" t="s">
        <v>13</v>
      </c>
      <c r="E1283">
        <v>12.5</v>
      </c>
      <c r="F1283">
        <v>70</v>
      </c>
      <c r="G1283">
        <v>0</v>
      </c>
      <c r="H1283">
        <v>875</v>
      </c>
      <c r="I1283">
        <f>AVERAGEIFS(sales_Data[units_sold], sales_Data[product_id],sales_Data[[#This Row],[product_id]])</f>
        <v>31.794520547945204</v>
      </c>
      <c r="J1283">
        <f>_xlfn.XLOOKUP(sales_Data[[#This Row],[product_id]],sales_Data[product_id],sales_Data[unit_price])</f>
        <v>12.5</v>
      </c>
    </row>
    <row r="1284" spans="1:10" x14ac:dyDescent="0.3">
      <c r="A1284" t="s">
        <v>1300</v>
      </c>
      <c r="B1284" s="1">
        <v>45914</v>
      </c>
      <c r="C1284" t="s">
        <v>15</v>
      </c>
      <c r="D1284" t="s">
        <v>16</v>
      </c>
      <c r="E1284">
        <v>35</v>
      </c>
      <c r="F1284">
        <v>48</v>
      </c>
      <c r="G1284">
        <v>0</v>
      </c>
      <c r="H1284">
        <v>1680</v>
      </c>
      <c r="I1284">
        <f>AVERAGEIFS(sales_Data[units_sold], sales_Data[product_id],sales_Data[[#This Row],[product_id]])</f>
        <v>30.438356164383563</v>
      </c>
      <c r="J1284">
        <f>_xlfn.XLOOKUP(sales_Data[[#This Row],[product_id]],sales_Data[product_id],sales_Data[unit_price])</f>
        <v>35</v>
      </c>
    </row>
    <row r="1285" spans="1:10" x14ac:dyDescent="0.3">
      <c r="A1285" t="s">
        <v>1301</v>
      </c>
      <c r="B1285" s="1">
        <v>45914</v>
      </c>
      <c r="C1285" t="s">
        <v>18</v>
      </c>
      <c r="D1285" t="s">
        <v>19</v>
      </c>
      <c r="E1285">
        <v>120</v>
      </c>
      <c r="F1285">
        <v>70</v>
      </c>
      <c r="G1285">
        <v>0</v>
      </c>
      <c r="H1285">
        <v>8400</v>
      </c>
      <c r="I1285">
        <f>AVERAGEIFS(sales_Data[units_sold], sales_Data[product_id],sales_Data[[#This Row],[product_id]])</f>
        <v>30.473972602739725</v>
      </c>
      <c r="J1285">
        <f>_xlfn.XLOOKUP(sales_Data[[#This Row],[product_id]],sales_Data[product_id],sales_Data[unit_price])</f>
        <v>120</v>
      </c>
    </row>
    <row r="1286" spans="1:10" x14ac:dyDescent="0.3">
      <c r="A1286" t="s">
        <v>1302</v>
      </c>
      <c r="B1286" s="1">
        <v>45914</v>
      </c>
      <c r="C1286" t="s">
        <v>21</v>
      </c>
      <c r="D1286" t="s">
        <v>22</v>
      </c>
      <c r="E1286">
        <v>25</v>
      </c>
      <c r="F1286">
        <v>21</v>
      </c>
      <c r="G1286">
        <v>0.2</v>
      </c>
      <c r="H1286">
        <v>420</v>
      </c>
      <c r="I1286">
        <f>AVERAGEIFS(sales_Data[units_sold], sales_Data[product_id],sales_Data[[#This Row],[product_id]])</f>
        <v>29.463013698630139</v>
      </c>
      <c r="J1286">
        <f>_xlfn.XLOOKUP(sales_Data[[#This Row],[product_id]],sales_Data[product_id],sales_Data[unit_price])</f>
        <v>25</v>
      </c>
    </row>
    <row r="1287" spans="1:10" x14ac:dyDescent="0.3">
      <c r="A1287" t="s">
        <v>1303</v>
      </c>
      <c r="B1287" s="1">
        <v>45915</v>
      </c>
      <c r="C1287" t="s">
        <v>9</v>
      </c>
      <c r="D1287" t="s">
        <v>10</v>
      </c>
      <c r="E1287">
        <v>45</v>
      </c>
      <c r="F1287">
        <v>36</v>
      </c>
      <c r="G1287">
        <v>0</v>
      </c>
      <c r="H1287">
        <v>1620</v>
      </c>
      <c r="I1287">
        <f>AVERAGEIFS(sales_Data[units_sold], sales_Data[product_id],sales_Data[[#This Row],[product_id]])</f>
        <v>31.479452054794521</v>
      </c>
      <c r="J1287">
        <f>_xlfn.XLOOKUP(sales_Data[[#This Row],[product_id]],sales_Data[product_id],sales_Data[unit_price])</f>
        <v>45</v>
      </c>
    </row>
    <row r="1288" spans="1:10" x14ac:dyDescent="0.3">
      <c r="A1288" t="s">
        <v>1304</v>
      </c>
      <c r="B1288" s="1">
        <v>45915</v>
      </c>
      <c r="C1288" t="s">
        <v>12</v>
      </c>
      <c r="D1288" t="s">
        <v>13</v>
      </c>
      <c r="E1288">
        <v>12.5</v>
      </c>
      <c r="F1288">
        <v>25</v>
      </c>
      <c r="G1288">
        <v>0</v>
      </c>
      <c r="H1288">
        <v>312.5</v>
      </c>
      <c r="I1288">
        <f>AVERAGEIFS(sales_Data[units_sold], sales_Data[product_id],sales_Data[[#This Row],[product_id]])</f>
        <v>31.794520547945204</v>
      </c>
      <c r="J1288">
        <f>_xlfn.XLOOKUP(sales_Data[[#This Row],[product_id]],sales_Data[product_id],sales_Data[unit_price])</f>
        <v>12.5</v>
      </c>
    </row>
    <row r="1289" spans="1:10" x14ac:dyDescent="0.3">
      <c r="A1289" t="s">
        <v>1305</v>
      </c>
      <c r="B1289" s="1">
        <v>45915</v>
      </c>
      <c r="C1289" t="s">
        <v>15</v>
      </c>
      <c r="D1289" t="s">
        <v>16</v>
      </c>
      <c r="E1289">
        <v>35</v>
      </c>
      <c r="F1289">
        <v>35</v>
      </c>
      <c r="G1289">
        <v>0.2</v>
      </c>
      <c r="H1289">
        <v>980</v>
      </c>
      <c r="I1289">
        <f>AVERAGEIFS(sales_Data[units_sold], sales_Data[product_id],sales_Data[[#This Row],[product_id]])</f>
        <v>30.438356164383563</v>
      </c>
      <c r="J1289">
        <f>_xlfn.XLOOKUP(sales_Data[[#This Row],[product_id]],sales_Data[product_id],sales_Data[unit_price])</f>
        <v>35</v>
      </c>
    </row>
    <row r="1290" spans="1:10" x14ac:dyDescent="0.3">
      <c r="A1290" t="s">
        <v>1306</v>
      </c>
      <c r="B1290" s="1">
        <v>45915</v>
      </c>
      <c r="C1290" t="s">
        <v>18</v>
      </c>
      <c r="D1290" t="s">
        <v>19</v>
      </c>
      <c r="E1290">
        <v>120</v>
      </c>
      <c r="F1290">
        <v>15</v>
      </c>
      <c r="G1290">
        <v>0</v>
      </c>
      <c r="H1290">
        <v>1800</v>
      </c>
      <c r="I1290">
        <f>AVERAGEIFS(sales_Data[units_sold], sales_Data[product_id],sales_Data[[#This Row],[product_id]])</f>
        <v>30.473972602739725</v>
      </c>
      <c r="J1290">
        <f>_xlfn.XLOOKUP(sales_Data[[#This Row],[product_id]],sales_Data[product_id],sales_Data[unit_price])</f>
        <v>120</v>
      </c>
    </row>
    <row r="1291" spans="1:10" x14ac:dyDescent="0.3">
      <c r="A1291" t="s">
        <v>1307</v>
      </c>
      <c r="B1291" s="1">
        <v>45915</v>
      </c>
      <c r="C1291" t="s">
        <v>21</v>
      </c>
      <c r="D1291" t="s">
        <v>22</v>
      </c>
      <c r="E1291">
        <v>25</v>
      </c>
      <c r="F1291">
        <v>34</v>
      </c>
      <c r="G1291">
        <v>0</v>
      </c>
      <c r="H1291">
        <v>850</v>
      </c>
      <c r="I1291">
        <f>AVERAGEIFS(sales_Data[units_sold], sales_Data[product_id],sales_Data[[#This Row],[product_id]])</f>
        <v>29.463013698630139</v>
      </c>
      <c r="J1291">
        <f>_xlfn.XLOOKUP(sales_Data[[#This Row],[product_id]],sales_Data[product_id],sales_Data[unit_price])</f>
        <v>25</v>
      </c>
    </row>
    <row r="1292" spans="1:10" x14ac:dyDescent="0.3">
      <c r="A1292" t="s">
        <v>1308</v>
      </c>
      <c r="B1292" s="1">
        <v>45916</v>
      </c>
      <c r="C1292" t="s">
        <v>9</v>
      </c>
      <c r="D1292" t="s">
        <v>10</v>
      </c>
      <c r="E1292">
        <v>45</v>
      </c>
      <c r="F1292">
        <v>44</v>
      </c>
      <c r="G1292">
        <v>0.1</v>
      </c>
      <c r="H1292">
        <v>1782</v>
      </c>
      <c r="I1292">
        <f>AVERAGEIFS(sales_Data[units_sold], sales_Data[product_id],sales_Data[[#This Row],[product_id]])</f>
        <v>31.479452054794521</v>
      </c>
      <c r="J1292">
        <f>_xlfn.XLOOKUP(sales_Data[[#This Row],[product_id]],sales_Data[product_id],sales_Data[unit_price])</f>
        <v>45</v>
      </c>
    </row>
    <row r="1293" spans="1:10" x14ac:dyDescent="0.3">
      <c r="A1293" t="s">
        <v>1309</v>
      </c>
      <c r="B1293" s="1">
        <v>45916</v>
      </c>
      <c r="C1293" t="s">
        <v>12</v>
      </c>
      <c r="D1293" t="s">
        <v>13</v>
      </c>
      <c r="E1293">
        <v>12.5</v>
      </c>
      <c r="F1293">
        <v>14</v>
      </c>
      <c r="G1293">
        <v>0.2</v>
      </c>
      <c r="H1293">
        <v>140</v>
      </c>
      <c r="I1293">
        <f>AVERAGEIFS(sales_Data[units_sold], sales_Data[product_id],sales_Data[[#This Row],[product_id]])</f>
        <v>31.794520547945204</v>
      </c>
      <c r="J1293">
        <f>_xlfn.XLOOKUP(sales_Data[[#This Row],[product_id]],sales_Data[product_id],sales_Data[unit_price])</f>
        <v>12.5</v>
      </c>
    </row>
    <row r="1294" spans="1:10" x14ac:dyDescent="0.3">
      <c r="A1294" t="s">
        <v>1310</v>
      </c>
      <c r="B1294" s="1">
        <v>45916</v>
      </c>
      <c r="C1294" t="s">
        <v>15</v>
      </c>
      <c r="D1294" t="s">
        <v>16</v>
      </c>
      <c r="E1294">
        <v>35</v>
      </c>
      <c r="F1294">
        <v>14</v>
      </c>
      <c r="G1294">
        <v>0</v>
      </c>
      <c r="H1294">
        <v>490</v>
      </c>
      <c r="I1294">
        <f>AVERAGEIFS(sales_Data[units_sold], sales_Data[product_id],sales_Data[[#This Row],[product_id]])</f>
        <v>30.438356164383563</v>
      </c>
      <c r="J1294">
        <f>_xlfn.XLOOKUP(sales_Data[[#This Row],[product_id]],sales_Data[product_id],sales_Data[unit_price])</f>
        <v>35</v>
      </c>
    </row>
    <row r="1295" spans="1:10" x14ac:dyDescent="0.3">
      <c r="A1295" t="s">
        <v>1311</v>
      </c>
      <c r="B1295" s="1">
        <v>45916</v>
      </c>
      <c r="C1295" t="s">
        <v>18</v>
      </c>
      <c r="D1295" t="s">
        <v>19</v>
      </c>
      <c r="E1295">
        <v>120</v>
      </c>
      <c r="F1295">
        <v>15</v>
      </c>
      <c r="G1295">
        <v>0</v>
      </c>
      <c r="H1295">
        <v>1800</v>
      </c>
      <c r="I1295">
        <f>AVERAGEIFS(sales_Data[units_sold], sales_Data[product_id],sales_Data[[#This Row],[product_id]])</f>
        <v>30.473972602739725</v>
      </c>
      <c r="J1295">
        <f>_xlfn.XLOOKUP(sales_Data[[#This Row],[product_id]],sales_Data[product_id],sales_Data[unit_price])</f>
        <v>120</v>
      </c>
    </row>
    <row r="1296" spans="1:10" x14ac:dyDescent="0.3">
      <c r="A1296" t="s">
        <v>1312</v>
      </c>
      <c r="B1296" s="1">
        <v>45916</v>
      </c>
      <c r="C1296" t="s">
        <v>21</v>
      </c>
      <c r="D1296" t="s">
        <v>22</v>
      </c>
      <c r="E1296">
        <v>25</v>
      </c>
      <c r="F1296">
        <v>13</v>
      </c>
      <c r="G1296">
        <v>0</v>
      </c>
      <c r="H1296">
        <v>325</v>
      </c>
      <c r="I1296">
        <f>AVERAGEIFS(sales_Data[units_sold], sales_Data[product_id],sales_Data[[#This Row],[product_id]])</f>
        <v>29.463013698630139</v>
      </c>
      <c r="J1296">
        <f>_xlfn.XLOOKUP(sales_Data[[#This Row],[product_id]],sales_Data[product_id],sales_Data[unit_price])</f>
        <v>25</v>
      </c>
    </row>
    <row r="1297" spans="1:10" x14ac:dyDescent="0.3">
      <c r="A1297" t="s">
        <v>1313</v>
      </c>
      <c r="B1297" s="1">
        <v>45917</v>
      </c>
      <c r="C1297" t="s">
        <v>9</v>
      </c>
      <c r="D1297" t="s">
        <v>10</v>
      </c>
      <c r="E1297">
        <v>45</v>
      </c>
      <c r="F1297">
        <v>16</v>
      </c>
      <c r="G1297">
        <v>0</v>
      </c>
      <c r="H1297">
        <v>720</v>
      </c>
      <c r="I1297">
        <f>AVERAGEIFS(sales_Data[units_sold], sales_Data[product_id],sales_Data[[#This Row],[product_id]])</f>
        <v>31.479452054794521</v>
      </c>
      <c r="J1297">
        <f>_xlfn.XLOOKUP(sales_Data[[#This Row],[product_id]],sales_Data[product_id],sales_Data[unit_price])</f>
        <v>45</v>
      </c>
    </row>
    <row r="1298" spans="1:10" x14ac:dyDescent="0.3">
      <c r="A1298" t="s">
        <v>1314</v>
      </c>
      <c r="B1298" s="1">
        <v>45917</v>
      </c>
      <c r="C1298" t="s">
        <v>12</v>
      </c>
      <c r="D1298" t="s">
        <v>13</v>
      </c>
      <c r="E1298">
        <v>12.5</v>
      </c>
      <c r="F1298">
        <v>48</v>
      </c>
      <c r="G1298">
        <v>0</v>
      </c>
      <c r="H1298">
        <v>600</v>
      </c>
      <c r="I1298">
        <f>AVERAGEIFS(sales_Data[units_sold], sales_Data[product_id],sales_Data[[#This Row],[product_id]])</f>
        <v>31.794520547945204</v>
      </c>
      <c r="J1298">
        <f>_xlfn.XLOOKUP(sales_Data[[#This Row],[product_id]],sales_Data[product_id],sales_Data[unit_price])</f>
        <v>12.5</v>
      </c>
    </row>
    <row r="1299" spans="1:10" x14ac:dyDescent="0.3">
      <c r="A1299" t="s">
        <v>1315</v>
      </c>
      <c r="B1299" s="1">
        <v>45917</v>
      </c>
      <c r="C1299" t="s">
        <v>15</v>
      </c>
      <c r="D1299" t="s">
        <v>16</v>
      </c>
      <c r="E1299">
        <v>35</v>
      </c>
      <c r="F1299">
        <v>26</v>
      </c>
      <c r="G1299">
        <v>0</v>
      </c>
      <c r="H1299">
        <v>910</v>
      </c>
      <c r="I1299">
        <f>AVERAGEIFS(sales_Data[units_sold], sales_Data[product_id],sales_Data[[#This Row],[product_id]])</f>
        <v>30.438356164383563</v>
      </c>
      <c r="J1299">
        <f>_xlfn.XLOOKUP(sales_Data[[#This Row],[product_id]],sales_Data[product_id],sales_Data[unit_price])</f>
        <v>35</v>
      </c>
    </row>
    <row r="1300" spans="1:10" x14ac:dyDescent="0.3">
      <c r="A1300" t="s">
        <v>1316</v>
      </c>
      <c r="B1300" s="1">
        <v>45917</v>
      </c>
      <c r="C1300" t="s">
        <v>18</v>
      </c>
      <c r="D1300" t="s">
        <v>19</v>
      </c>
      <c r="E1300">
        <v>120</v>
      </c>
      <c r="F1300">
        <v>37</v>
      </c>
      <c r="G1300">
        <v>0</v>
      </c>
      <c r="H1300">
        <v>4440</v>
      </c>
      <c r="I1300">
        <f>AVERAGEIFS(sales_Data[units_sold], sales_Data[product_id],sales_Data[[#This Row],[product_id]])</f>
        <v>30.473972602739725</v>
      </c>
      <c r="J1300">
        <f>_xlfn.XLOOKUP(sales_Data[[#This Row],[product_id]],sales_Data[product_id],sales_Data[unit_price])</f>
        <v>120</v>
      </c>
    </row>
    <row r="1301" spans="1:10" x14ac:dyDescent="0.3">
      <c r="A1301" t="s">
        <v>1317</v>
      </c>
      <c r="B1301" s="1">
        <v>45917</v>
      </c>
      <c r="C1301" t="s">
        <v>21</v>
      </c>
      <c r="D1301" t="s">
        <v>22</v>
      </c>
      <c r="E1301">
        <v>25</v>
      </c>
      <c r="F1301">
        <v>31</v>
      </c>
      <c r="G1301">
        <v>0</v>
      </c>
      <c r="H1301">
        <v>775</v>
      </c>
      <c r="I1301">
        <f>AVERAGEIFS(sales_Data[units_sold], sales_Data[product_id],sales_Data[[#This Row],[product_id]])</f>
        <v>29.463013698630139</v>
      </c>
      <c r="J1301">
        <f>_xlfn.XLOOKUP(sales_Data[[#This Row],[product_id]],sales_Data[product_id],sales_Data[unit_price])</f>
        <v>25</v>
      </c>
    </row>
    <row r="1302" spans="1:10" x14ac:dyDescent="0.3">
      <c r="A1302" t="s">
        <v>1318</v>
      </c>
      <c r="B1302" s="1">
        <v>45918</v>
      </c>
      <c r="C1302" t="s">
        <v>9</v>
      </c>
      <c r="D1302" t="s">
        <v>10</v>
      </c>
      <c r="E1302">
        <v>45</v>
      </c>
      <c r="F1302">
        <v>33</v>
      </c>
      <c r="G1302">
        <v>0.1</v>
      </c>
      <c r="H1302">
        <v>1336.5</v>
      </c>
      <c r="I1302">
        <f>AVERAGEIFS(sales_Data[units_sold], sales_Data[product_id],sales_Data[[#This Row],[product_id]])</f>
        <v>31.479452054794521</v>
      </c>
      <c r="J1302">
        <f>_xlfn.XLOOKUP(sales_Data[[#This Row],[product_id]],sales_Data[product_id],sales_Data[unit_price])</f>
        <v>45</v>
      </c>
    </row>
    <row r="1303" spans="1:10" x14ac:dyDescent="0.3">
      <c r="A1303" t="s">
        <v>1319</v>
      </c>
      <c r="B1303" s="1">
        <v>45918</v>
      </c>
      <c r="C1303" t="s">
        <v>12</v>
      </c>
      <c r="D1303" t="s">
        <v>13</v>
      </c>
      <c r="E1303">
        <v>12.5</v>
      </c>
      <c r="F1303">
        <v>36</v>
      </c>
      <c r="G1303">
        <v>0</v>
      </c>
      <c r="H1303">
        <v>450</v>
      </c>
      <c r="I1303">
        <f>AVERAGEIFS(sales_Data[units_sold], sales_Data[product_id],sales_Data[[#This Row],[product_id]])</f>
        <v>31.794520547945204</v>
      </c>
      <c r="J1303">
        <f>_xlfn.XLOOKUP(sales_Data[[#This Row],[product_id]],sales_Data[product_id],sales_Data[unit_price])</f>
        <v>12.5</v>
      </c>
    </row>
    <row r="1304" spans="1:10" x14ac:dyDescent="0.3">
      <c r="A1304" t="s">
        <v>1320</v>
      </c>
      <c r="B1304" s="1">
        <v>45918</v>
      </c>
      <c r="C1304" t="s">
        <v>15</v>
      </c>
      <c r="D1304" t="s">
        <v>16</v>
      </c>
      <c r="E1304">
        <v>35</v>
      </c>
      <c r="F1304">
        <v>25</v>
      </c>
      <c r="G1304">
        <v>0</v>
      </c>
      <c r="H1304">
        <v>875</v>
      </c>
      <c r="I1304">
        <f>AVERAGEIFS(sales_Data[units_sold], sales_Data[product_id],sales_Data[[#This Row],[product_id]])</f>
        <v>30.438356164383563</v>
      </c>
      <c r="J1304">
        <f>_xlfn.XLOOKUP(sales_Data[[#This Row],[product_id]],sales_Data[product_id],sales_Data[unit_price])</f>
        <v>35</v>
      </c>
    </row>
    <row r="1305" spans="1:10" x14ac:dyDescent="0.3">
      <c r="A1305" t="s">
        <v>1321</v>
      </c>
      <c r="B1305" s="1">
        <v>45918</v>
      </c>
      <c r="C1305" t="s">
        <v>18</v>
      </c>
      <c r="D1305" t="s">
        <v>19</v>
      </c>
      <c r="E1305">
        <v>120</v>
      </c>
      <c r="F1305">
        <v>31</v>
      </c>
      <c r="G1305">
        <v>0</v>
      </c>
      <c r="H1305">
        <v>3720</v>
      </c>
      <c r="I1305">
        <f>AVERAGEIFS(sales_Data[units_sold], sales_Data[product_id],sales_Data[[#This Row],[product_id]])</f>
        <v>30.473972602739725</v>
      </c>
      <c r="J1305">
        <f>_xlfn.XLOOKUP(sales_Data[[#This Row],[product_id]],sales_Data[product_id],sales_Data[unit_price])</f>
        <v>120</v>
      </c>
    </row>
    <row r="1306" spans="1:10" x14ac:dyDescent="0.3">
      <c r="A1306" t="s">
        <v>1322</v>
      </c>
      <c r="B1306" s="1">
        <v>45918</v>
      </c>
      <c r="C1306" t="s">
        <v>21</v>
      </c>
      <c r="D1306" t="s">
        <v>22</v>
      </c>
      <c r="E1306">
        <v>25</v>
      </c>
      <c r="F1306">
        <v>10</v>
      </c>
      <c r="G1306">
        <v>0.1</v>
      </c>
      <c r="H1306">
        <v>225</v>
      </c>
      <c r="I1306">
        <f>AVERAGEIFS(sales_Data[units_sold], sales_Data[product_id],sales_Data[[#This Row],[product_id]])</f>
        <v>29.463013698630139</v>
      </c>
      <c r="J1306">
        <f>_xlfn.XLOOKUP(sales_Data[[#This Row],[product_id]],sales_Data[product_id],sales_Data[unit_price])</f>
        <v>25</v>
      </c>
    </row>
    <row r="1307" spans="1:10" x14ac:dyDescent="0.3">
      <c r="A1307" t="s">
        <v>1323</v>
      </c>
      <c r="B1307" s="1">
        <v>45919</v>
      </c>
      <c r="C1307" t="s">
        <v>9</v>
      </c>
      <c r="D1307" t="s">
        <v>10</v>
      </c>
      <c r="E1307">
        <v>45</v>
      </c>
      <c r="F1307">
        <v>7</v>
      </c>
      <c r="G1307">
        <v>0</v>
      </c>
      <c r="H1307">
        <v>315</v>
      </c>
      <c r="I1307">
        <f>AVERAGEIFS(sales_Data[units_sold], sales_Data[product_id],sales_Data[[#This Row],[product_id]])</f>
        <v>31.479452054794521</v>
      </c>
      <c r="J1307">
        <f>_xlfn.XLOOKUP(sales_Data[[#This Row],[product_id]],sales_Data[product_id],sales_Data[unit_price])</f>
        <v>45</v>
      </c>
    </row>
    <row r="1308" spans="1:10" x14ac:dyDescent="0.3">
      <c r="A1308" t="s">
        <v>1324</v>
      </c>
      <c r="B1308" s="1">
        <v>45919</v>
      </c>
      <c r="C1308" t="s">
        <v>12</v>
      </c>
      <c r="D1308" t="s">
        <v>13</v>
      </c>
      <c r="E1308">
        <v>12.5</v>
      </c>
      <c r="F1308">
        <v>9</v>
      </c>
      <c r="G1308">
        <v>0.2</v>
      </c>
      <c r="H1308">
        <v>90</v>
      </c>
      <c r="I1308">
        <f>AVERAGEIFS(sales_Data[units_sold], sales_Data[product_id],sales_Data[[#This Row],[product_id]])</f>
        <v>31.794520547945204</v>
      </c>
      <c r="J1308">
        <f>_xlfn.XLOOKUP(sales_Data[[#This Row],[product_id]],sales_Data[product_id],sales_Data[unit_price])</f>
        <v>12.5</v>
      </c>
    </row>
    <row r="1309" spans="1:10" x14ac:dyDescent="0.3">
      <c r="A1309" t="s">
        <v>1325</v>
      </c>
      <c r="B1309" s="1">
        <v>45919</v>
      </c>
      <c r="C1309" t="s">
        <v>15</v>
      </c>
      <c r="D1309" t="s">
        <v>16</v>
      </c>
      <c r="E1309">
        <v>35</v>
      </c>
      <c r="F1309">
        <v>35</v>
      </c>
      <c r="G1309">
        <v>0</v>
      </c>
      <c r="H1309">
        <v>1225</v>
      </c>
      <c r="I1309">
        <f>AVERAGEIFS(sales_Data[units_sold], sales_Data[product_id],sales_Data[[#This Row],[product_id]])</f>
        <v>30.438356164383563</v>
      </c>
      <c r="J1309">
        <f>_xlfn.XLOOKUP(sales_Data[[#This Row],[product_id]],sales_Data[product_id],sales_Data[unit_price])</f>
        <v>35</v>
      </c>
    </row>
    <row r="1310" spans="1:10" x14ac:dyDescent="0.3">
      <c r="A1310" t="s">
        <v>1326</v>
      </c>
      <c r="B1310" s="1">
        <v>45919</v>
      </c>
      <c r="C1310" t="s">
        <v>18</v>
      </c>
      <c r="D1310" t="s">
        <v>19</v>
      </c>
      <c r="E1310">
        <v>120</v>
      </c>
      <c r="F1310">
        <v>22</v>
      </c>
      <c r="G1310">
        <v>0</v>
      </c>
      <c r="H1310">
        <v>2640</v>
      </c>
      <c r="I1310">
        <f>AVERAGEIFS(sales_Data[units_sold], sales_Data[product_id],sales_Data[[#This Row],[product_id]])</f>
        <v>30.473972602739725</v>
      </c>
      <c r="J1310">
        <f>_xlfn.XLOOKUP(sales_Data[[#This Row],[product_id]],sales_Data[product_id],sales_Data[unit_price])</f>
        <v>120</v>
      </c>
    </row>
    <row r="1311" spans="1:10" x14ac:dyDescent="0.3">
      <c r="A1311" t="s">
        <v>1327</v>
      </c>
      <c r="B1311" s="1">
        <v>45919</v>
      </c>
      <c r="C1311" t="s">
        <v>21</v>
      </c>
      <c r="D1311" t="s">
        <v>22</v>
      </c>
      <c r="E1311">
        <v>25</v>
      </c>
      <c r="F1311">
        <v>38</v>
      </c>
      <c r="G1311">
        <v>0.2</v>
      </c>
      <c r="H1311">
        <v>760</v>
      </c>
      <c r="I1311">
        <f>AVERAGEIFS(sales_Data[units_sold], sales_Data[product_id],sales_Data[[#This Row],[product_id]])</f>
        <v>29.463013698630139</v>
      </c>
      <c r="J1311">
        <f>_xlfn.XLOOKUP(sales_Data[[#This Row],[product_id]],sales_Data[product_id],sales_Data[unit_price])</f>
        <v>25</v>
      </c>
    </row>
    <row r="1312" spans="1:10" x14ac:dyDescent="0.3">
      <c r="A1312" t="s">
        <v>1328</v>
      </c>
      <c r="B1312" s="1">
        <v>45920</v>
      </c>
      <c r="C1312" t="s">
        <v>9</v>
      </c>
      <c r="D1312" t="s">
        <v>10</v>
      </c>
      <c r="E1312">
        <v>45</v>
      </c>
      <c r="F1312">
        <v>51</v>
      </c>
      <c r="G1312">
        <v>0</v>
      </c>
      <c r="H1312">
        <v>2295</v>
      </c>
      <c r="I1312">
        <f>AVERAGEIFS(sales_Data[units_sold], sales_Data[product_id],sales_Data[[#This Row],[product_id]])</f>
        <v>31.479452054794521</v>
      </c>
      <c r="J1312">
        <f>_xlfn.XLOOKUP(sales_Data[[#This Row],[product_id]],sales_Data[product_id],sales_Data[unit_price])</f>
        <v>45</v>
      </c>
    </row>
    <row r="1313" spans="1:10" x14ac:dyDescent="0.3">
      <c r="A1313" t="s">
        <v>1329</v>
      </c>
      <c r="B1313" s="1">
        <v>45920</v>
      </c>
      <c r="C1313" t="s">
        <v>12</v>
      </c>
      <c r="D1313" t="s">
        <v>13</v>
      </c>
      <c r="E1313">
        <v>12.5</v>
      </c>
      <c r="F1313">
        <v>13</v>
      </c>
      <c r="G1313">
        <v>0</v>
      </c>
      <c r="H1313">
        <v>162.5</v>
      </c>
      <c r="I1313">
        <f>AVERAGEIFS(sales_Data[units_sold], sales_Data[product_id],sales_Data[[#This Row],[product_id]])</f>
        <v>31.794520547945204</v>
      </c>
      <c r="J1313">
        <f>_xlfn.XLOOKUP(sales_Data[[#This Row],[product_id]],sales_Data[product_id],sales_Data[unit_price])</f>
        <v>12.5</v>
      </c>
    </row>
    <row r="1314" spans="1:10" x14ac:dyDescent="0.3">
      <c r="A1314" t="s">
        <v>1330</v>
      </c>
      <c r="B1314" s="1">
        <v>45920</v>
      </c>
      <c r="C1314" t="s">
        <v>15</v>
      </c>
      <c r="D1314" t="s">
        <v>16</v>
      </c>
      <c r="E1314">
        <v>35</v>
      </c>
      <c r="F1314">
        <v>51</v>
      </c>
      <c r="G1314">
        <v>0</v>
      </c>
      <c r="H1314">
        <v>1785</v>
      </c>
      <c r="I1314">
        <f>AVERAGEIFS(sales_Data[units_sold], sales_Data[product_id],sales_Data[[#This Row],[product_id]])</f>
        <v>30.438356164383563</v>
      </c>
      <c r="J1314">
        <f>_xlfn.XLOOKUP(sales_Data[[#This Row],[product_id]],sales_Data[product_id],sales_Data[unit_price])</f>
        <v>35</v>
      </c>
    </row>
    <row r="1315" spans="1:10" x14ac:dyDescent="0.3">
      <c r="A1315" t="s">
        <v>1331</v>
      </c>
      <c r="B1315" s="1">
        <v>45920</v>
      </c>
      <c r="C1315" t="s">
        <v>18</v>
      </c>
      <c r="D1315" t="s">
        <v>19</v>
      </c>
      <c r="E1315">
        <v>120</v>
      </c>
      <c r="F1315">
        <v>30</v>
      </c>
      <c r="G1315">
        <v>0</v>
      </c>
      <c r="H1315">
        <v>3600</v>
      </c>
      <c r="I1315">
        <f>AVERAGEIFS(sales_Data[units_sold], sales_Data[product_id],sales_Data[[#This Row],[product_id]])</f>
        <v>30.473972602739725</v>
      </c>
      <c r="J1315">
        <f>_xlfn.XLOOKUP(sales_Data[[#This Row],[product_id]],sales_Data[product_id],sales_Data[unit_price])</f>
        <v>120</v>
      </c>
    </row>
    <row r="1316" spans="1:10" x14ac:dyDescent="0.3">
      <c r="A1316" t="s">
        <v>1332</v>
      </c>
      <c r="B1316" s="1">
        <v>45920</v>
      </c>
      <c r="C1316" t="s">
        <v>21</v>
      </c>
      <c r="D1316" t="s">
        <v>22</v>
      </c>
      <c r="E1316">
        <v>25</v>
      </c>
      <c r="F1316">
        <v>30</v>
      </c>
      <c r="G1316">
        <v>0</v>
      </c>
      <c r="H1316">
        <v>750</v>
      </c>
      <c r="I1316">
        <f>AVERAGEIFS(sales_Data[units_sold], sales_Data[product_id],sales_Data[[#This Row],[product_id]])</f>
        <v>29.463013698630139</v>
      </c>
      <c r="J1316">
        <f>_xlfn.XLOOKUP(sales_Data[[#This Row],[product_id]],sales_Data[product_id],sales_Data[unit_price])</f>
        <v>25</v>
      </c>
    </row>
    <row r="1317" spans="1:10" x14ac:dyDescent="0.3">
      <c r="A1317" t="s">
        <v>1333</v>
      </c>
      <c r="B1317" s="1">
        <v>45921</v>
      </c>
      <c r="C1317" t="s">
        <v>9</v>
      </c>
      <c r="D1317" t="s">
        <v>10</v>
      </c>
      <c r="E1317">
        <v>45</v>
      </c>
      <c r="F1317">
        <v>64</v>
      </c>
      <c r="G1317">
        <v>0</v>
      </c>
      <c r="H1317">
        <v>2880</v>
      </c>
      <c r="I1317">
        <f>AVERAGEIFS(sales_Data[units_sold], sales_Data[product_id],sales_Data[[#This Row],[product_id]])</f>
        <v>31.479452054794521</v>
      </c>
      <c r="J1317">
        <f>_xlfn.XLOOKUP(sales_Data[[#This Row],[product_id]],sales_Data[product_id],sales_Data[unit_price])</f>
        <v>45</v>
      </c>
    </row>
    <row r="1318" spans="1:10" x14ac:dyDescent="0.3">
      <c r="A1318" t="s">
        <v>1334</v>
      </c>
      <c r="B1318" s="1">
        <v>45921</v>
      </c>
      <c r="C1318" t="s">
        <v>12</v>
      </c>
      <c r="D1318" t="s">
        <v>13</v>
      </c>
      <c r="E1318">
        <v>12.5</v>
      </c>
      <c r="F1318">
        <v>72</v>
      </c>
      <c r="G1318">
        <v>0.2</v>
      </c>
      <c r="H1318">
        <v>720</v>
      </c>
      <c r="I1318">
        <f>AVERAGEIFS(sales_Data[units_sold], sales_Data[product_id],sales_Data[[#This Row],[product_id]])</f>
        <v>31.794520547945204</v>
      </c>
      <c r="J1318">
        <f>_xlfn.XLOOKUP(sales_Data[[#This Row],[product_id]],sales_Data[product_id],sales_Data[unit_price])</f>
        <v>12.5</v>
      </c>
    </row>
    <row r="1319" spans="1:10" x14ac:dyDescent="0.3">
      <c r="A1319" t="s">
        <v>1335</v>
      </c>
      <c r="B1319" s="1">
        <v>45921</v>
      </c>
      <c r="C1319" t="s">
        <v>15</v>
      </c>
      <c r="D1319" t="s">
        <v>16</v>
      </c>
      <c r="E1319">
        <v>35</v>
      </c>
      <c r="F1319">
        <v>73</v>
      </c>
      <c r="G1319">
        <v>0.1</v>
      </c>
      <c r="H1319">
        <v>2299.5</v>
      </c>
      <c r="I1319">
        <f>AVERAGEIFS(sales_Data[units_sold], sales_Data[product_id],sales_Data[[#This Row],[product_id]])</f>
        <v>30.438356164383563</v>
      </c>
      <c r="J1319">
        <f>_xlfn.XLOOKUP(sales_Data[[#This Row],[product_id]],sales_Data[product_id],sales_Data[unit_price])</f>
        <v>35</v>
      </c>
    </row>
    <row r="1320" spans="1:10" x14ac:dyDescent="0.3">
      <c r="A1320" t="s">
        <v>1336</v>
      </c>
      <c r="B1320" s="1">
        <v>45921</v>
      </c>
      <c r="C1320" t="s">
        <v>18</v>
      </c>
      <c r="D1320" t="s">
        <v>19</v>
      </c>
      <c r="E1320">
        <v>120</v>
      </c>
      <c r="F1320">
        <v>70</v>
      </c>
      <c r="G1320">
        <v>0</v>
      </c>
      <c r="H1320">
        <v>8400</v>
      </c>
      <c r="I1320">
        <f>AVERAGEIFS(sales_Data[units_sold], sales_Data[product_id],sales_Data[[#This Row],[product_id]])</f>
        <v>30.473972602739725</v>
      </c>
      <c r="J1320">
        <f>_xlfn.XLOOKUP(sales_Data[[#This Row],[product_id]],sales_Data[product_id],sales_Data[unit_price])</f>
        <v>120</v>
      </c>
    </row>
    <row r="1321" spans="1:10" x14ac:dyDescent="0.3">
      <c r="A1321" t="s">
        <v>1337</v>
      </c>
      <c r="B1321" s="1">
        <v>45921</v>
      </c>
      <c r="C1321" t="s">
        <v>21</v>
      </c>
      <c r="D1321" t="s">
        <v>22</v>
      </c>
      <c r="E1321">
        <v>25</v>
      </c>
      <c r="F1321">
        <v>48</v>
      </c>
      <c r="G1321">
        <v>0</v>
      </c>
      <c r="H1321">
        <v>1200</v>
      </c>
      <c r="I1321">
        <f>AVERAGEIFS(sales_Data[units_sold], sales_Data[product_id],sales_Data[[#This Row],[product_id]])</f>
        <v>29.463013698630139</v>
      </c>
      <c r="J1321">
        <f>_xlfn.XLOOKUP(sales_Data[[#This Row],[product_id]],sales_Data[product_id],sales_Data[unit_price])</f>
        <v>25</v>
      </c>
    </row>
    <row r="1322" spans="1:10" x14ac:dyDescent="0.3">
      <c r="A1322" t="s">
        <v>1338</v>
      </c>
      <c r="B1322" s="1">
        <v>45922</v>
      </c>
      <c r="C1322" t="s">
        <v>9</v>
      </c>
      <c r="D1322" t="s">
        <v>10</v>
      </c>
      <c r="E1322">
        <v>45</v>
      </c>
      <c r="F1322">
        <v>22</v>
      </c>
      <c r="G1322">
        <v>0.1</v>
      </c>
      <c r="H1322">
        <v>891</v>
      </c>
      <c r="I1322">
        <f>AVERAGEIFS(sales_Data[units_sold], sales_Data[product_id],sales_Data[[#This Row],[product_id]])</f>
        <v>31.479452054794521</v>
      </c>
      <c r="J1322">
        <f>_xlfn.XLOOKUP(sales_Data[[#This Row],[product_id]],sales_Data[product_id],sales_Data[unit_price])</f>
        <v>45</v>
      </c>
    </row>
    <row r="1323" spans="1:10" x14ac:dyDescent="0.3">
      <c r="A1323" t="s">
        <v>1339</v>
      </c>
      <c r="B1323" s="1">
        <v>45922</v>
      </c>
      <c r="C1323" t="s">
        <v>12</v>
      </c>
      <c r="D1323" t="s">
        <v>13</v>
      </c>
      <c r="E1323">
        <v>12.5</v>
      </c>
      <c r="F1323">
        <v>19</v>
      </c>
      <c r="G1323">
        <v>0</v>
      </c>
      <c r="H1323">
        <v>237.5</v>
      </c>
      <c r="I1323">
        <f>AVERAGEIFS(sales_Data[units_sold], sales_Data[product_id],sales_Data[[#This Row],[product_id]])</f>
        <v>31.794520547945204</v>
      </c>
      <c r="J1323">
        <f>_xlfn.XLOOKUP(sales_Data[[#This Row],[product_id]],sales_Data[product_id],sales_Data[unit_price])</f>
        <v>12.5</v>
      </c>
    </row>
    <row r="1324" spans="1:10" x14ac:dyDescent="0.3">
      <c r="A1324" t="s">
        <v>1340</v>
      </c>
      <c r="B1324" s="1">
        <v>45922</v>
      </c>
      <c r="C1324" t="s">
        <v>15</v>
      </c>
      <c r="D1324" t="s">
        <v>16</v>
      </c>
      <c r="E1324">
        <v>35</v>
      </c>
      <c r="F1324">
        <v>13</v>
      </c>
      <c r="G1324">
        <v>0</v>
      </c>
      <c r="H1324">
        <v>455</v>
      </c>
      <c r="I1324">
        <f>AVERAGEIFS(sales_Data[units_sold], sales_Data[product_id],sales_Data[[#This Row],[product_id]])</f>
        <v>30.438356164383563</v>
      </c>
      <c r="J1324">
        <f>_xlfn.XLOOKUP(sales_Data[[#This Row],[product_id]],sales_Data[product_id],sales_Data[unit_price])</f>
        <v>35</v>
      </c>
    </row>
    <row r="1325" spans="1:10" x14ac:dyDescent="0.3">
      <c r="A1325" t="s">
        <v>1341</v>
      </c>
      <c r="B1325" s="1">
        <v>45922</v>
      </c>
      <c r="C1325" t="s">
        <v>18</v>
      </c>
      <c r="D1325" t="s">
        <v>19</v>
      </c>
      <c r="E1325">
        <v>120</v>
      </c>
      <c r="F1325">
        <v>25</v>
      </c>
      <c r="G1325">
        <v>0.1</v>
      </c>
      <c r="H1325">
        <v>2700</v>
      </c>
      <c r="I1325">
        <f>AVERAGEIFS(sales_Data[units_sold], sales_Data[product_id],sales_Data[[#This Row],[product_id]])</f>
        <v>30.473972602739725</v>
      </c>
      <c r="J1325">
        <f>_xlfn.XLOOKUP(sales_Data[[#This Row],[product_id]],sales_Data[product_id],sales_Data[unit_price])</f>
        <v>120</v>
      </c>
    </row>
    <row r="1326" spans="1:10" x14ac:dyDescent="0.3">
      <c r="A1326" t="s">
        <v>1342</v>
      </c>
      <c r="B1326" s="1">
        <v>45922</v>
      </c>
      <c r="C1326" t="s">
        <v>21</v>
      </c>
      <c r="D1326" t="s">
        <v>22</v>
      </c>
      <c r="E1326">
        <v>25</v>
      </c>
      <c r="F1326">
        <v>12</v>
      </c>
      <c r="G1326">
        <v>0.1</v>
      </c>
      <c r="H1326">
        <v>270</v>
      </c>
      <c r="I1326">
        <f>AVERAGEIFS(sales_Data[units_sold], sales_Data[product_id],sales_Data[[#This Row],[product_id]])</f>
        <v>29.463013698630139</v>
      </c>
      <c r="J1326">
        <f>_xlfn.XLOOKUP(sales_Data[[#This Row],[product_id]],sales_Data[product_id],sales_Data[unit_price])</f>
        <v>25</v>
      </c>
    </row>
    <row r="1327" spans="1:10" x14ac:dyDescent="0.3">
      <c r="A1327" t="s">
        <v>1343</v>
      </c>
      <c r="B1327" s="1">
        <v>45923</v>
      </c>
      <c r="C1327" t="s">
        <v>9</v>
      </c>
      <c r="D1327" t="s">
        <v>10</v>
      </c>
      <c r="E1327">
        <v>45</v>
      </c>
      <c r="F1327">
        <v>28</v>
      </c>
      <c r="G1327">
        <v>0.1</v>
      </c>
      <c r="H1327">
        <v>1134</v>
      </c>
      <c r="I1327">
        <f>AVERAGEIFS(sales_Data[units_sold], sales_Data[product_id],sales_Data[[#This Row],[product_id]])</f>
        <v>31.479452054794521</v>
      </c>
      <c r="J1327">
        <f>_xlfn.XLOOKUP(sales_Data[[#This Row],[product_id]],sales_Data[product_id],sales_Data[unit_price])</f>
        <v>45</v>
      </c>
    </row>
    <row r="1328" spans="1:10" x14ac:dyDescent="0.3">
      <c r="A1328" t="s">
        <v>1344</v>
      </c>
      <c r="B1328" s="1">
        <v>45923</v>
      </c>
      <c r="C1328" t="s">
        <v>12</v>
      </c>
      <c r="D1328" t="s">
        <v>13</v>
      </c>
      <c r="E1328">
        <v>12.5</v>
      </c>
      <c r="F1328">
        <v>37</v>
      </c>
      <c r="G1328">
        <v>0</v>
      </c>
      <c r="H1328">
        <v>462.5</v>
      </c>
      <c r="I1328">
        <f>AVERAGEIFS(sales_Data[units_sold], sales_Data[product_id],sales_Data[[#This Row],[product_id]])</f>
        <v>31.794520547945204</v>
      </c>
      <c r="J1328">
        <f>_xlfn.XLOOKUP(sales_Data[[#This Row],[product_id]],sales_Data[product_id],sales_Data[unit_price])</f>
        <v>12.5</v>
      </c>
    </row>
    <row r="1329" spans="1:10" x14ac:dyDescent="0.3">
      <c r="A1329" t="s">
        <v>1345</v>
      </c>
      <c r="B1329" s="1">
        <v>45923</v>
      </c>
      <c r="C1329" t="s">
        <v>15</v>
      </c>
      <c r="D1329" t="s">
        <v>16</v>
      </c>
      <c r="E1329">
        <v>35</v>
      </c>
      <c r="F1329">
        <v>36</v>
      </c>
      <c r="G1329">
        <v>0</v>
      </c>
      <c r="H1329">
        <v>1260</v>
      </c>
      <c r="I1329">
        <f>AVERAGEIFS(sales_Data[units_sold], sales_Data[product_id],sales_Data[[#This Row],[product_id]])</f>
        <v>30.438356164383563</v>
      </c>
      <c r="J1329">
        <f>_xlfn.XLOOKUP(sales_Data[[#This Row],[product_id]],sales_Data[product_id],sales_Data[unit_price])</f>
        <v>35</v>
      </c>
    </row>
    <row r="1330" spans="1:10" x14ac:dyDescent="0.3">
      <c r="A1330" t="s">
        <v>1346</v>
      </c>
      <c r="B1330" s="1">
        <v>45923</v>
      </c>
      <c r="C1330" t="s">
        <v>18</v>
      </c>
      <c r="D1330" t="s">
        <v>19</v>
      </c>
      <c r="E1330">
        <v>120</v>
      </c>
      <c r="F1330">
        <v>42</v>
      </c>
      <c r="G1330">
        <v>0</v>
      </c>
      <c r="H1330">
        <v>5040</v>
      </c>
      <c r="I1330">
        <f>AVERAGEIFS(sales_Data[units_sold], sales_Data[product_id],sales_Data[[#This Row],[product_id]])</f>
        <v>30.473972602739725</v>
      </c>
      <c r="J1330">
        <f>_xlfn.XLOOKUP(sales_Data[[#This Row],[product_id]],sales_Data[product_id],sales_Data[unit_price])</f>
        <v>120</v>
      </c>
    </row>
    <row r="1331" spans="1:10" x14ac:dyDescent="0.3">
      <c r="A1331" t="s">
        <v>1347</v>
      </c>
      <c r="B1331" s="1">
        <v>45923</v>
      </c>
      <c r="C1331" t="s">
        <v>21</v>
      </c>
      <c r="D1331" t="s">
        <v>22</v>
      </c>
      <c r="E1331">
        <v>25</v>
      </c>
      <c r="F1331">
        <v>12</v>
      </c>
      <c r="G1331">
        <v>0</v>
      </c>
      <c r="H1331">
        <v>300</v>
      </c>
      <c r="I1331">
        <f>AVERAGEIFS(sales_Data[units_sold], sales_Data[product_id],sales_Data[[#This Row],[product_id]])</f>
        <v>29.463013698630139</v>
      </c>
      <c r="J1331">
        <f>_xlfn.XLOOKUP(sales_Data[[#This Row],[product_id]],sales_Data[product_id],sales_Data[unit_price])</f>
        <v>25</v>
      </c>
    </row>
    <row r="1332" spans="1:10" x14ac:dyDescent="0.3">
      <c r="A1332" t="s">
        <v>1348</v>
      </c>
      <c r="B1332" s="1">
        <v>45924</v>
      </c>
      <c r="C1332" t="s">
        <v>9</v>
      </c>
      <c r="D1332" t="s">
        <v>10</v>
      </c>
      <c r="E1332">
        <v>45</v>
      </c>
      <c r="F1332">
        <v>11</v>
      </c>
      <c r="G1332">
        <v>0</v>
      </c>
      <c r="H1332">
        <v>495</v>
      </c>
      <c r="I1332">
        <f>AVERAGEIFS(sales_Data[units_sold], sales_Data[product_id],sales_Data[[#This Row],[product_id]])</f>
        <v>31.479452054794521</v>
      </c>
      <c r="J1332">
        <f>_xlfn.XLOOKUP(sales_Data[[#This Row],[product_id]],sales_Data[product_id],sales_Data[unit_price])</f>
        <v>45</v>
      </c>
    </row>
    <row r="1333" spans="1:10" x14ac:dyDescent="0.3">
      <c r="A1333" t="s">
        <v>1349</v>
      </c>
      <c r="B1333" s="1">
        <v>45924</v>
      </c>
      <c r="C1333" t="s">
        <v>12</v>
      </c>
      <c r="D1333" t="s">
        <v>13</v>
      </c>
      <c r="E1333">
        <v>12.5</v>
      </c>
      <c r="F1333">
        <v>6</v>
      </c>
      <c r="G1333">
        <v>0</v>
      </c>
      <c r="H1333">
        <v>75</v>
      </c>
      <c r="I1333">
        <f>AVERAGEIFS(sales_Data[units_sold], sales_Data[product_id],sales_Data[[#This Row],[product_id]])</f>
        <v>31.794520547945204</v>
      </c>
      <c r="J1333">
        <f>_xlfn.XLOOKUP(sales_Data[[#This Row],[product_id]],sales_Data[product_id],sales_Data[unit_price])</f>
        <v>12.5</v>
      </c>
    </row>
    <row r="1334" spans="1:10" x14ac:dyDescent="0.3">
      <c r="A1334" t="s">
        <v>1350</v>
      </c>
      <c r="B1334" s="1">
        <v>45924</v>
      </c>
      <c r="C1334" t="s">
        <v>15</v>
      </c>
      <c r="D1334" t="s">
        <v>16</v>
      </c>
      <c r="E1334">
        <v>35</v>
      </c>
      <c r="F1334">
        <v>20</v>
      </c>
      <c r="G1334">
        <v>0</v>
      </c>
      <c r="H1334">
        <v>700</v>
      </c>
      <c r="I1334">
        <f>AVERAGEIFS(sales_Data[units_sold], sales_Data[product_id],sales_Data[[#This Row],[product_id]])</f>
        <v>30.438356164383563</v>
      </c>
      <c r="J1334">
        <f>_xlfn.XLOOKUP(sales_Data[[#This Row],[product_id]],sales_Data[product_id],sales_Data[unit_price])</f>
        <v>35</v>
      </c>
    </row>
    <row r="1335" spans="1:10" x14ac:dyDescent="0.3">
      <c r="A1335" t="s">
        <v>1351</v>
      </c>
      <c r="B1335" s="1">
        <v>45924</v>
      </c>
      <c r="C1335" t="s">
        <v>18</v>
      </c>
      <c r="D1335" t="s">
        <v>19</v>
      </c>
      <c r="E1335">
        <v>120</v>
      </c>
      <c r="F1335">
        <v>42</v>
      </c>
      <c r="G1335">
        <v>0</v>
      </c>
      <c r="H1335">
        <v>5040</v>
      </c>
      <c r="I1335">
        <f>AVERAGEIFS(sales_Data[units_sold], sales_Data[product_id],sales_Data[[#This Row],[product_id]])</f>
        <v>30.473972602739725</v>
      </c>
      <c r="J1335">
        <f>_xlfn.XLOOKUP(sales_Data[[#This Row],[product_id]],sales_Data[product_id],sales_Data[unit_price])</f>
        <v>120</v>
      </c>
    </row>
    <row r="1336" spans="1:10" x14ac:dyDescent="0.3">
      <c r="A1336" t="s">
        <v>1352</v>
      </c>
      <c r="B1336" s="1">
        <v>45924</v>
      </c>
      <c r="C1336" t="s">
        <v>21</v>
      </c>
      <c r="D1336" t="s">
        <v>22</v>
      </c>
      <c r="E1336">
        <v>25</v>
      </c>
      <c r="F1336">
        <v>14</v>
      </c>
      <c r="G1336">
        <v>0</v>
      </c>
      <c r="H1336">
        <v>350</v>
      </c>
      <c r="I1336">
        <f>AVERAGEIFS(sales_Data[units_sold], sales_Data[product_id],sales_Data[[#This Row],[product_id]])</f>
        <v>29.463013698630139</v>
      </c>
      <c r="J1336">
        <f>_xlfn.XLOOKUP(sales_Data[[#This Row],[product_id]],sales_Data[product_id],sales_Data[unit_price])</f>
        <v>25</v>
      </c>
    </row>
    <row r="1337" spans="1:10" x14ac:dyDescent="0.3">
      <c r="A1337" t="s">
        <v>1353</v>
      </c>
      <c r="B1337" s="1">
        <v>45925</v>
      </c>
      <c r="C1337" t="s">
        <v>9</v>
      </c>
      <c r="D1337" t="s">
        <v>10</v>
      </c>
      <c r="E1337">
        <v>45</v>
      </c>
      <c r="F1337">
        <v>27</v>
      </c>
      <c r="G1337">
        <v>0</v>
      </c>
      <c r="H1337">
        <v>1215</v>
      </c>
      <c r="I1337">
        <f>AVERAGEIFS(sales_Data[units_sold], sales_Data[product_id],sales_Data[[#This Row],[product_id]])</f>
        <v>31.479452054794521</v>
      </c>
      <c r="J1337">
        <f>_xlfn.XLOOKUP(sales_Data[[#This Row],[product_id]],sales_Data[product_id],sales_Data[unit_price])</f>
        <v>45</v>
      </c>
    </row>
    <row r="1338" spans="1:10" x14ac:dyDescent="0.3">
      <c r="A1338" t="s">
        <v>1354</v>
      </c>
      <c r="B1338" s="1">
        <v>45925</v>
      </c>
      <c r="C1338" t="s">
        <v>12</v>
      </c>
      <c r="D1338" t="s">
        <v>13</v>
      </c>
      <c r="E1338">
        <v>12.5</v>
      </c>
      <c r="F1338">
        <v>15</v>
      </c>
      <c r="G1338">
        <v>0</v>
      </c>
      <c r="H1338">
        <v>187.5</v>
      </c>
      <c r="I1338">
        <f>AVERAGEIFS(sales_Data[units_sold], sales_Data[product_id],sales_Data[[#This Row],[product_id]])</f>
        <v>31.794520547945204</v>
      </c>
      <c r="J1338">
        <f>_xlfn.XLOOKUP(sales_Data[[#This Row],[product_id]],sales_Data[product_id],sales_Data[unit_price])</f>
        <v>12.5</v>
      </c>
    </row>
    <row r="1339" spans="1:10" x14ac:dyDescent="0.3">
      <c r="A1339" t="s">
        <v>1355</v>
      </c>
      <c r="B1339" s="1">
        <v>45925</v>
      </c>
      <c r="C1339" t="s">
        <v>15</v>
      </c>
      <c r="D1339" t="s">
        <v>16</v>
      </c>
      <c r="E1339">
        <v>35</v>
      </c>
      <c r="F1339">
        <v>44</v>
      </c>
      <c r="G1339">
        <v>0.1</v>
      </c>
      <c r="H1339">
        <v>1386</v>
      </c>
      <c r="I1339">
        <f>AVERAGEIFS(sales_Data[units_sold], sales_Data[product_id],sales_Data[[#This Row],[product_id]])</f>
        <v>30.438356164383563</v>
      </c>
      <c r="J1339">
        <f>_xlfn.XLOOKUP(sales_Data[[#This Row],[product_id]],sales_Data[product_id],sales_Data[unit_price])</f>
        <v>35</v>
      </c>
    </row>
    <row r="1340" spans="1:10" x14ac:dyDescent="0.3">
      <c r="A1340" t="s">
        <v>1356</v>
      </c>
      <c r="B1340" s="1">
        <v>45925</v>
      </c>
      <c r="C1340" t="s">
        <v>18</v>
      </c>
      <c r="D1340" t="s">
        <v>19</v>
      </c>
      <c r="E1340">
        <v>120</v>
      </c>
      <c r="F1340">
        <v>33</v>
      </c>
      <c r="G1340">
        <v>0</v>
      </c>
      <c r="H1340">
        <v>3960</v>
      </c>
      <c r="I1340">
        <f>AVERAGEIFS(sales_Data[units_sold], sales_Data[product_id],sales_Data[[#This Row],[product_id]])</f>
        <v>30.473972602739725</v>
      </c>
      <c r="J1340">
        <f>_xlfn.XLOOKUP(sales_Data[[#This Row],[product_id]],sales_Data[product_id],sales_Data[unit_price])</f>
        <v>120</v>
      </c>
    </row>
    <row r="1341" spans="1:10" x14ac:dyDescent="0.3">
      <c r="A1341" t="s">
        <v>1357</v>
      </c>
      <c r="B1341" s="1">
        <v>45925</v>
      </c>
      <c r="C1341" t="s">
        <v>21</v>
      </c>
      <c r="D1341" t="s">
        <v>22</v>
      </c>
      <c r="E1341">
        <v>25</v>
      </c>
      <c r="F1341">
        <v>11</v>
      </c>
      <c r="G1341">
        <v>0</v>
      </c>
      <c r="H1341">
        <v>275</v>
      </c>
      <c r="I1341">
        <f>AVERAGEIFS(sales_Data[units_sold], sales_Data[product_id],sales_Data[[#This Row],[product_id]])</f>
        <v>29.463013698630139</v>
      </c>
      <c r="J1341">
        <f>_xlfn.XLOOKUP(sales_Data[[#This Row],[product_id]],sales_Data[product_id],sales_Data[unit_price])</f>
        <v>25</v>
      </c>
    </row>
    <row r="1342" spans="1:10" x14ac:dyDescent="0.3">
      <c r="A1342" t="s">
        <v>1358</v>
      </c>
      <c r="B1342" s="1">
        <v>45926</v>
      </c>
      <c r="C1342" t="s">
        <v>9</v>
      </c>
      <c r="D1342" t="s">
        <v>10</v>
      </c>
      <c r="E1342">
        <v>45</v>
      </c>
      <c r="F1342">
        <v>32</v>
      </c>
      <c r="G1342">
        <v>0</v>
      </c>
      <c r="H1342">
        <v>1440</v>
      </c>
      <c r="I1342">
        <f>AVERAGEIFS(sales_Data[units_sold], sales_Data[product_id],sales_Data[[#This Row],[product_id]])</f>
        <v>31.479452054794521</v>
      </c>
      <c r="J1342">
        <f>_xlfn.XLOOKUP(sales_Data[[#This Row],[product_id]],sales_Data[product_id],sales_Data[unit_price])</f>
        <v>45</v>
      </c>
    </row>
    <row r="1343" spans="1:10" x14ac:dyDescent="0.3">
      <c r="A1343" t="s">
        <v>1359</v>
      </c>
      <c r="B1343" s="1">
        <v>45926</v>
      </c>
      <c r="C1343" t="s">
        <v>12</v>
      </c>
      <c r="D1343" t="s">
        <v>13</v>
      </c>
      <c r="E1343">
        <v>12.5</v>
      </c>
      <c r="F1343">
        <v>14</v>
      </c>
      <c r="G1343">
        <v>0</v>
      </c>
      <c r="H1343">
        <v>175</v>
      </c>
      <c r="I1343">
        <f>AVERAGEIFS(sales_Data[units_sold], sales_Data[product_id],sales_Data[[#This Row],[product_id]])</f>
        <v>31.794520547945204</v>
      </c>
      <c r="J1343">
        <f>_xlfn.XLOOKUP(sales_Data[[#This Row],[product_id]],sales_Data[product_id],sales_Data[unit_price])</f>
        <v>12.5</v>
      </c>
    </row>
    <row r="1344" spans="1:10" x14ac:dyDescent="0.3">
      <c r="A1344" t="s">
        <v>1360</v>
      </c>
      <c r="B1344" s="1">
        <v>45926</v>
      </c>
      <c r="C1344" t="s">
        <v>15</v>
      </c>
      <c r="D1344" t="s">
        <v>16</v>
      </c>
      <c r="E1344">
        <v>35</v>
      </c>
      <c r="F1344">
        <v>45</v>
      </c>
      <c r="G1344">
        <v>0</v>
      </c>
      <c r="H1344">
        <v>1575</v>
      </c>
      <c r="I1344">
        <f>AVERAGEIFS(sales_Data[units_sold], sales_Data[product_id],sales_Data[[#This Row],[product_id]])</f>
        <v>30.438356164383563</v>
      </c>
      <c r="J1344">
        <f>_xlfn.XLOOKUP(sales_Data[[#This Row],[product_id]],sales_Data[product_id],sales_Data[unit_price])</f>
        <v>35</v>
      </c>
    </row>
    <row r="1345" spans="1:10" x14ac:dyDescent="0.3">
      <c r="A1345" t="s">
        <v>1361</v>
      </c>
      <c r="B1345" s="1">
        <v>45926</v>
      </c>
      <c r="C1345" t="s">
        <v>18</v>
      </c>
      <c r="D1345" t="s">
        <v>19</v>
      </c>
      <c r="E1345">
        <v>120</v>
      </c>
      <c r="F1345">
        <v>18</v>
      </c>
      <c r="G1345">
        <v>0.1</v>
      </c>
      <c r="H1345">
        <v>1944</v>
      </c>
      <c r="I1345">
        <f>AVERAGEIFS(sales_Data[units_sold], sales_Data[product_id],sales_Data[[#This Row],[product_id]])</f>
        <v>30.473972602739725</v>
      </c>
      <c r="J1345">
        <f>_xlfn.XLOOKUP(sales_Data[[#This Row],[product_id]],sales_Data[product_id],sales_Data[unit_price])</f>
        <v>120</v>
      </c>
    </row>
    <row r="1346" spans="1:10" x14ac:dyDescent="0.3">
      <c r="A1346" t="s">
        <v>1362</v>
      </c>
      <c r="B1346" s="1">
        <v>45926</v>
      </c>
      <c r="C1346" t="s">
        <v>21</v>
      </c>
      <c r="D1346" t="s">
        <v>22</v>
      </c>
      <c r="E1346">
        <v>25</v>
      </c>
      <c r="F1346">
        <v>45</v>
      </c>
      <c r="G1346">
        <v>0</v>
      </c>
      <c r="H1346">
        <v>1125</v>
      </c>
      <c r="I1346">
        <f>AVERAGEIFS(sales_Data[units_sold], sales_Data[product_id],sales_Data[[#This Row],[product_id]])</f>
        <v>29.463013698630139</v>
      </c>
      <c r="J1346">
        <f>_xlfn.XLOOKUP(sales_Data[[#This Row],[product_id]],sales_Data[product_id],sales_Data[unit_price])</f>
        <v>25</v>
      </c>
    </row>
    <row r="1347" spans="1:10" x14ac:dyDescent="0.3">
      <c r="A1347" t="s">
        <v>1363</v>
      </c>
      <c r="B1347" s="1">
        <v>45927</v>
      </c>
      <c r="C1347" t="s">
        <v>9</v>
      </c>
      <c r="D1347" t="s">
        <v>10</v>
      </c>
      <c r="E1347">
        <v>45</v>
      </c>
      <c r="F1347">
        <v>51</v>
      </c>
      <c r="G1347">
        <v>0</v>
      </c>
      <c r="H1347">
        <v>2295</v>
      </c>
      <c r="I1347">
        <f>AVERAGEIFS(sales_Data[units_sold], sales_Data[product_id],sales_Data[[#This Row],[product_id]])</f>
        <v>31.479452054794521</v>
      </c>
      <c r="J1347">
        <f>_xlfn.XLOOKUP(sales_Data[[#This Row],[product_id]],sales_Data[product_id],sales_Data[unit_price])</f>
        <v>45</v>
      </c>
    </row>
    <row r="1348" spans="1:10" x14ac:dyDescent="0.3">
      <c r="A1348" t="s">
        <v>1364</v>
      </c>
      <c r="B1348" s="1">
        <v>45927</v>
      </c>
      <c r="C1348" t="s">
        <v>12</v>
      </c>
      <c r="D1348" t="s">
        <v>13</v>
      </c>
      <c r="E1348">
        <v>12.5</v>
      </c>
      <c r="F1348">
        <v>72</v>
      </c>
      <c r="G1348">
        <v>0</v>
      </c>
      <c r="H1348">
        <v>900</v>
      </c>
      <c r="I1348">
        <f>AVERAGEIFS(sales_Data[units_sold], sales_Data[product_id],sales_Data[[#This Row],[product_id]])</f>
        <v>31.794520547945204</v>
      </c>
      <c r="J1348">
        <f>_xlfn.XLOOKUP(sales_Data[[#This Row],[product_id]],sales_Data[product_id],sales_Data[unit_price])</f>
        <v>12.5</v>
      </c>
    </row>
    <row r="1349" spans="1:10" x14ac:dyDescent="0.3">
      <c r="A1349" t="s">
        <v>1365</v>
      </c>
      <c r="B1349" s="1">
        <v>45927</v>
      </c>
      <c r="C1349" t="s">
        <v>15</v>
      </c>
      <c r="D1349" t="s">
        <v>16</v>
      </c>
      <c r="E1349">
        <v>35</v>
      </c>
      <c r="F1349">
        <v>46</v>
      </c>
      <c r="G1349">
        <v>0</v>
      </c>
      <c r="H1349">
        <v>1610</v>
      </c>
      <c r="I1349">
        <f>AVERAGEIFS(sales_Data[units_sold], sales_Data[product_id],sales_Data[[#This Row],[product_id]])</f>
        <v>30.438356164383563</v>
      </c>
      <c r="J1349">
        <f>_xlfn.XLOOKUP(sales_Data[[#This Row],[product_id]],sales_Data[product_id],sales_Data[unit_price])</f>
        <v>35</v>
      </c>
    </row>
    <row r="1350" spans="1:10" x14ac:dyDescent="0.3">
      <c r="A1350" t="s">
        <v>1366</v>
      </c>
      <c r="B1350" s="1">
        <v>45927</v>
      </c>
      <c r="C1350" t="s">
        <v>18</v>
      </c>
      <c r="D1350" t="s">
        <v>19</v>
      </c>
      <c r="E1350">
        <v>120</v>
      </c>
      <c r="F1350">
        <v>45</v>
      </c>
      <c r="G1350">
        <v>0</v>
      </c>
      <c r="H1350">
        <v>5400</v>
      </c>
      <c r="I1350">
        <f>AVERAGEIFS(sales_Data[units_sold], sales_Data[product_id],sales_Data[[#This Row],[product_id]])</f>
        <v>30.473972602739725</v>
      </c>
      <c r="J1350">
        <f>_xlfn.XLOOKUP(sales_Data[[#This Row],[product_id]],sales_Data[product_id],sales_Data[unit_price])</f>
        <v>120</v>
      </c>
    </row>
    <row r="1351" spans="1:10" x14ac:dyDescent="0.3">
      <c r="A1351" t="s">
        <v>1367</v>
      </c>
      <c r="B1351" s="1">
        <v>45927</v>
      </c>
      <c r="C1351" t="s">
        <v>21</v>
      </c>
      <c r="D1351" t="s">
        <v>22</v>
      </c>
      <c r="E1351">
        <v>25</v>
      </c>
      <c r="F1351">
        <v>13</v>
      </c>
      <c r="G1351">
        <v>0</v>
      </c>
      <c r="H1351">
        <v>325</v>
      </c>
      <c r="I1351">
        <f>AVERAGEIFS(sales_Data[units_sold], sales_Data[product_id],sales_Data[[#This Row],[product_id]])</f>
        <v>29.463013698630139</v>
      </c>
      <c r="J1351">
        <f>_xlfn.XLOOKUP(sales_Data[[#This Row],[product_id]],sales_Data[product_id],sales_Data[unit_price])</f>
        <v>25</v>
      </c>
    </row>
    <row r="1352" spans="1:10" x14ac:dyDescent="0.3">
      <c r="A1352" t="s">
        <v>1368</v>
      </c>
      <c r="B1352" s="1">
        <v>45928</v>
      </c>
      <c r="C1352" t="s">
        <v>9</v>
      </c>
      <c r="D1352" t="s">
        <v>10</v>
      </c>
      <c r="E1352">
        <v>45</v>
      </c>
      <c r="F1352">
        <v>48</v>
      </c>
      <c r="G1352">
        <v>0</v>
      </c>
      <c r="H1352">
        <v>2160</v>
      </c>
      <c r="I1352">
        <f>AVERAGEIFS(sales_Data[units_sold], sales_Data[product_id],sales_Data[[#This Row],[product_id]])</f>
        <v>31.479452054794521</v>
      </c>
      <c r="J1352">
        <f>_xlfn.XLOOKUP(sales_Data[[#This Row],[product_id]],sales_Data[product_id],sales_Data[unit_price])</f>
        <v>45</v>
      </c>
    </row>
    <row r="1353" spans="1:10" x14ac:dyDescent="0.3">
      <c r="A1353" t="s">
        <v>1369</v>
      </c>
      <c r="B1353" s="1">
        <v>45928</v>
      </c>
      <c r="C1353" t="s">
        <v>12</v>
      </c>
      <c r="D1353" t="s">
        <v>13</v>
      </c>
      <c r="E1353">
        <v>12.5</v>
      </c>
      <c r="F1353">
        <v>7</v>
      </c>
      <c r="G1353">
        <v>0.1</v>
      </c>
      <c r="H1353">
        <v>78.75</v>
      </c>
      <c r="I1353">
        <f>AVERAGEIFS(sales_Data[units_sold], sales_Data[product_id],sales_Data[[#This Row],[product_id]])</f>
        <v>31.794520547945204</v>
      </c>
      <c r="J1353">
        <f>_xlfn.XLOOKUP(sales_Data[[#This Row],[product_id]],sales_Data[product_id],sales_Data[unit_price])</f>
        <v>12.5</v>
      </c>
    </row>
    <row r="1354" spans="1:10" x14ac:dyDescent="0.3">
      <c r="A1354" t="s">
        <v>1370</v>
      </c>
      <c r="B1354" s="1">
        <v>45928</v>
      </c>
      <c r="C1354" t="s">
        <v>15</v>
      </c>
      <c r="D1354" t="s">
        <v>16</v>
      </c>
      <c r="E1354">
        <v>35</v>
      </c>
      <c r="F1354">
        <v>16</v>
      </c>
      <c r="G1354">
        <v>0</v>
      </c>
      <c r="H1354">
        <v>560</v>
      </c>
      <c r="I1354">
        <f>AVERAGEIFS(sales_Data[units_sold], sales_Data[product_id],sales_Data[[#This Row],[product_id]])</f>
        <v>30.438356164383563</v>
      </c>
      <c r="J1354">
        <f>_xlfn.XLOOKUP(sales_Data[[#This Row],[product_id]],sales_Data[product_id],sales_Data[unit_price])</f>
        <v>35</v>
      </c>
    </row>
    <row r="1355" spans="1:10" x14ac:dyDescent="0.3">
      <c r="A1355" t="s">
        <v>1371</v>
      </c>
      <c r="B1355" s="1">
        <v>45928</v>
      </c>
      <c r="C1355" t="s">
        <v>18</v>
      </c>
      <c r="D1355" t="s">
        <v>19</v>
      </c>
      <c r="E1355">
        <v>120</v>
      </c>
      <c r="F1355">
        <v>25</v>
      </c>
      <c r="G1355">
        <v>0</v>
      </c>
      <c r="H1355">
        <v>3000</v>
      </c>
      <c r="I1355">
        <f>AVERAGEIFS(sales_Data[units_sold], sales_Data[product_id],sales_Data[[#This Row],[product_id]])</f>
        <v>30.473972602739725</v>
      </c>
      <c r="J1355">
        <f>_xlfn.XLOOKUP(sales_Data[[#This Row],[product_id]],sales_Data[product_id],sales_Data[unit_price])</f>
        <v>120</v>
      </c>
    </row>
    <row r="1356" spans="1:10" x14ac:dyDescent="0.3">
      <c r="A1356" t="s">
        <v>1372</v>
      </c>
      <c r="B1356" s="1">
        <v>45928</v>
      </c>
      <c r="C1356" t="s">
        <v>21</v>
      </c>
      <c r="D1356" t="s">
        <v>22</v>
      </c>
      <c r="E1356">
        <v>25</v>
      </c>
      <c r="F1356">
        <v>16</v>
      </c>
      <c r="G1356">
        <v>0.1</v>
      </c>
      <c r="H1356">
        <v>360</v>
      </c>
      <c r="I1356">
        <f>AVERAGEIFS(sales_Data[units_sold], sales_Data[product_id],sales_Data[[#This Row],[product_id]])</f>
        <v>29.463013698630139</v>
      </c>
      <c r="J1356">
        <f>_xlfn.XLOOKUP(sales_Data[[#This Row],[product_id]],sales_Data[product_id],sales_Data[unit_price])</f>
        <v>25</v>
      </c>
    </row>
    <row r="1357" spans="1:10" x14ac:dyDescent="0.3">
      <c r="A1357" t="s">
        <v>1373</v>
      </c>
      <c r="B1357" s="1">
        <v>45929</v>
      </c>
      <c r="C1357" t="s">
        <v>9</v>
      </c>
      <c r="D1357" t="s">
        <v>10</v>
      </c>
      <c r="E1357">
        <v>45</v>
      </c>
      <c r="F1357">
        <v>8</v>
      </c>
      <c r="G1357">
        <v>0.1</v>
      </c>
      <c r="H1357">
        <v>324</v>
      </c>
      <c r="I1357">
        <f>AVERAGEIFS(sales_Data[units_sold], sales_Data[product_id],sales_Data[[#This Row],[product_id]])</f>
        <v>31.479452054794521</v>
      </c>
      <c r="J1357">
        <f>_xlfn.XLOOKUP(sales_Data[[#This Row],[product_id]],sales_Data[product_id],sales_Data[unit_price])</f>
        <v>45</v>
      </c>
    </row>
    <row r="1358" spans="1:10" x14ac:dyDescent="0.3">
      <c r="A1358" t="s">
        <v>1374</v>
      </c>
      <c r="B1358" s="1">
        <v>45929</v>
      </c>
      <c r="C1358" t="s">
        <v>12</v>
      </c>
      <c r="D1358" t="s">
        <v>13</v>
      </c>
      <c r="E1358">
        <v>12.5</v>
      </c>
      <c r="F1358">
        <v>36</v>
      </c>
      <c r="G1358">
        <v>0</v>
      </c>
      <c r="H1358">
        <v>450</v>
      </c>
      <c r="I1358">
        <f>AVERAGEIFS(sales_Data[units_sold], sales_Data[product_id],sales_Data[[#This Row],[product_id]])</f>
        <v>31.794520547945204</v>
      </c>
      <c r="J1358">
        <f>_xlfn.XLOOKUP(sales_Data[[#This Row],[product_id]],sales_Data[product_id],sales_Data[unit_price])</f>
        <v>12.5</v>
      </c>
    </row>
    <row r="1359" spans="1:10" x14ac:dyDescent="0.3">
      <c r="A1359" t="s">
        <v>1375</v>
      </c>
      <c r="B1359" s="1">
        <v>45929</v>
      </c>
      <c r="C1359" t="s">
        <v>15</v>
      </c>
      <c r="D1359" t="s">
        <v>16</v>
      </c>
      <c r="E1359">
        <v>35</v>
      </c>
      <c r="F1359">
        <v>16</v>
      </c>
      <c r="G1359">
        <v>0.2</v>
      </c>
      <c r="H1359">
        <v>448</v>
      </c>
      <c r="I1359">
        <f>AVERAGEIFS(sales_Data[units_sold], sales_Data[product_id],sales_Data[[#This Row],[product_id]])</f>
        <v>30.438356164383563</v>
      </c>
      <c r="J1359">
        <f>_xlfn.XLOOKUP(sales_Data[[#This Row],[product_id]],sales_Data[product_id],sales_Data[unit_price])</f>
        <v>35</v>
      </c>
    </row>
    <row r="1360" spans="1:10" x14ac:dyDescent="0.3">
      <c r="A1360" t="s">
        <v>1376</v>
      </c>
      <c r="B1360" s="1">
        <v>45929</v>
      </c>
      <c r="C1360" t="s">
        <v>18</v>
      </c>
      <c r="D1360" t="s">
        <v>19</v>
      </c>
      <c r="E1360">
        <v>120</v>
      </c>
      <c r="F1360">
        <v>26</v>
      </c>
      <c r="G1360">
        <v>0</v>
      </c>
      <c r="H1360">
        <v>3120</v>
      </c>
      <c r="I1360">
        <f>AVERAGEIFS(sales_Data[units_sold], sales_Data[product_id],sales_Data[[#This Row],[product_id]])</f>
        <v>30.473972602739725</v>
      </c>
      <c r="J1360">
        <f>_xlfn.XLOOKUP(sales_Data[[#This Row],[product_id]],sales_Data[product_id],sales_Data[unit_price])</f>
        <v>120</v>
      </c>
    </row>
    <row r="1361" spans="1:10" x14ac:dyDescent="0.3">
      <c r="A1361" t="s">
        <v>1377</v>
      </c>
      <c r="B1361" s="1">
        <v>45929</v>
      </c>
      <c r="C1361" t="s">
        <v>21</v>
      </c>
      <c r="D1361" t="s">
        <v>22</v>
      </c>
      <c r="E1361">
        <v>25</v>
      </c>
      <c r="F1361">
        <v>5</v>
      </c>
      <c r="G1361">
        <v>0</v>
      </c>
      <c r="H1361">
        <v>125</v>
      </c>
      <c r="I1361">
        <f>AVERAGEIFS(sales_Data[units_sold], sales_Data[product_id],sales_Data[[#This Row],[product_id]])</f>
        <v>29.463013698630139</v>
      </c>
      <c r="J1361">
        <f>_xlfn.XLOOKUP(sales_Data[[#This Row],[product_id]],sales_Data[product_id],sales_Data[unit_price])</f>
        <v>25</v>
      </c>
    </row>
    <row r="1362" spans="1:10" x14ac:dyDescent="0.3">
      <c r="A1362" t="s">
        <v>1378</v>
      </c>
      <c r="B1362" s="1">
        <v>45930</v>
      </c>
      <c r="C1362" t="s">
        <v>9</v>
      </c>
      <c r="D1362" t="s">
        <v>10</v>
      </c>
      <c r="E1362">
        <v>45</v>
      </c>
      <c r="F1362">
        <v>22</v>
      </c>
      <c r="G1362">
        <v>0</v>
      </c>
      <c r="H1362">
        <v>990</v>
      </c>
      <c r="I1362">
        <f>AVERAGEIFS(sales_Data[units_sold], sales_Data[product_id],sales_Data[[#This Row],[product_id]])</f>
        <v>31.479452054794521</v>
      </c>
      <c r="J1362">
        <f>_xlfn.XLOOKUP(sales_Data[[#This Row],[product_id]],sales_Data[product_id],sales_Data[unit_price])</f>
        <v>45</v>
      </c>
    </row>
    <row r="1363" spans="1:10" x14ac:dyDescent="0.3">
      <c r="A1363" t="s">
        <v>1379</v>
      </c>
      <c r="B1363" s="1">
        <v>45930</v>
      </c>
      <c r="C1363" t="s">
        <v>12</v>
      </c>
      <c r="D1363" t="s">
        <v>13</v>
      </c>
      <c r="E1363">
        <v>12.5</v>
      </c>
      <c r="F1363">
        <v>39</v>
      </c>
      <c r="G1363">
        <v>0</v>
      </c>
      <c r="H1363">
        <v>487.5</v>
      </c>
      <c r="I1363">
        <f>AVERAGEIFS(sales_Data[units_sold], sales_Data[product_id],sales_Data[[#This Row],[product_id]])</f>
        <v>31.794520547945204</v>
      </c>
      <c r="J1363">
        <f>_xlfn.XLOOKUP(sales_Data[[#This Row],[product_id]],sales_Data[product_id],sales_Data[unit_price])</f>
        <v>12.5</v>
      </c>
    </row>
    <row r="1364" spans="1:10" x14ac:dyDescent="0.3">
      <c r="A1364" t="s">
        <v>1380</v>
      </c>
      <c r="B1364" s="1">
        <v>45930</v>
      </c>
      <c r="C1364" t="s">
        <v>15</v>
      </c>
      <c r="D1364" t="s">
        <v>16</v>
      </c>
      <c r="E1364">
        <v>35</v>
      </c>
      <c r="F1364">
        <v>11</v>
      </c>
      <c r="G1364">
        <v>0</v>
      </c>
      <c r="H1364">
        <v>385</v>
      </c>
      <c r="I1364">
        <f>AVERAGEIFS(sales_Data[units_sold], sales_Data[product_id],sales_Data[[#This Row],[product_id]])</f>
        <v>30.438356164383563</v>
      </c>
      <c r="J1364">
        <f>_xlfn.XLOOKUP(sales_Data[[#This Row],[product_id]],sales_Data[product_id],sales_Data[unit_price])</f>
        <v>35</v>
      </c>
    </row>
    <row r="1365" spans="1:10" x14ac:dyDescent="0.3">
      <c r="A1365" t="s">
        <v>1381</v>
      </c>
      <c r="B1365" s="1">
        <v>45930</v>
      </c>
      <c r="C1365" t="s">
        <v>18</v>
      </c>
      <c r="D1365" t="s">
        <v>19</v>
      </c>
      <c r="E1365">
        <v>120</v>
      </c>
      <c r="F1365">
        <v>45</v>
      </c>
      <c r="G1365">
        <v>0</v>
      </c>
      <c r="H1365">
        <v>5400</v>
      </c>
      <c r="I1365">
        <f>AVERAGEIFS(sales_Data[units_sold], sales_Data[product_id],sales_Data[[#This Row],[product_id]])</f>
        <v>30.473972602739725</v>
      </c>
      <c r="J1365">
        <f>_xlfn.XLOOKUP(sales_Data[[#This Row],[product_id]],sales_Data[product_id],sales_Data[unit_price])</f>
        <v>120</v>
      </c>
    </row>
    <row r="1366" spans="1:10" x14ac:dyDescent="0.3">
      <c r="A1366" t="s">
        <v>1382</v>
      </c>
      <c r="B1366" s="1">
        <v>45930</v>
      </c>
      <c r="C1366" t="s">
        <v>21</v>
      </c>
      <c r="D1366" t="s">
        <v>22</v>
      </c>
      <c r="E1366">
        <v>25</v>
      </c>
      <c r="F1366">
        <v>18</v>
      </c>
      <c r="G1366">
        <v>0</v>
      </c>
      <c r="H1366">
        <v>450</v>
      </c>
      <c r="I1366">
        <f>AVERAGEIFS(sales_Data[units_sold], sales_Data[product_id],sales_Data[[#This Row],[product_id]])</f>
        <v>29.463013698630139</v>
      </c>
      <c r="J1366">
        <f>_xlfn.XLOOKUP(sales_Data[[#This Row],[product_id]],sales_Data[product_id],sales_Data[unit_price])</f>
        <v>25</v>
      </c>
    </row>
    <row r="1367" spans="1:10" x14ac:dyDescent="0.3">
      <c r="A1367" t="s">
        <v>1383</v>
      </c>
      <c r="B1367" s="1">
        <v>45931</v>
      </c>
      <c r="C1367" t="s">
        <v>9</v>
      </c>
      <c r="D1367" t="s">
        <v>10</v>
      </c>
      <c r="E1367">
        <v>45</v>
      </c>
      <c r="F1367">
        <v>33</v>
      </c>
      <c r="G1367">
        <v>0</v>
      </c>
      <c r="H1367">
        <v>1485</v>
      </c>
      <c r="I1367">
        <f>AVERAGEIFS(sales_Data[units_sold], sales_Data[product_id],sales_Data[[#This Row],[product_id]])</f>
        <v>31.479452054794521</v>
      </c>
      <c r="J1367">
        <f>_xlfn.XLOOKUP(sales_Data[[#This Row],[product_id]],sales_Data[product_id],sales_Data[unit_price])</f>
        <v>45</v>
      </c>
    </row>
    <row r="1368" spans="1:10" x14ac:dyDescent="0.3">
      <c r="A1368" t="s">
        <v>1384</v>
      </c>
      <c r="B1368" s="1">
        <v>45931</v>
      </c>
      <c r="C1368" t="s">
        <v>12</v>
      </c>
      <c r="D1368" t="s">
        <v>13</v>
      </c>
      <c r="E1368">
        <v>12.5</v>
      </c>
      <c r="F1368">
        <v>22</v>
      </c>
      <c r="G1368">
        <v>0</v>
      </c>
      <c r="H1368">
        <v>275</v>
      </c>
      <c r="I1368">
        <f>AVERAGEIFS(sales_Data[units_sold], sales_Data[product_id],sales_Data[[#This Row],[product_id]])</f>
        <v>31.794520547945204</v>
      </c>
      <c r="J1368">
        <f>_xlfn.XLOOKUP(sales_Data[[#This Row],[product_id]],sales_Data[product_id],sales_Data[unit_price])</f>
        <v>12.5</v>
      </c>
    </row>
    <row r="1369" spans="1:10" x14ac:dyDescent="0.3">
      <c r="A1369" t="s">
        <v>1385</v>
      </c>
      <c r="B1369" s="1">
        <v>45931</v>
      </c>
      <c r="C1369" t="s">
        <v>15</v>
      </c>
      <c r="D1369" t="s">
        <v>16</v>
      </c>
      <c r="E1369">
        <v>35</v>
      </c>
      <c r="F1369">
        <v>49</v>
      </c>
      <c r="G1369">
        <v>0</v>
      </c>
      <c r="H1369">
        <v>1715</v>
      </c>
      <c r="I1369">
        <f>AVERAGEIFS(sales_Data[units_sold], sales_Data[product_id],sales_Data[[#This Row],[product_id]])</f>
        <v>30.438356164383563</v>
      </c>
      <c r="J1369">
        <f>_xlfn.XLOOKUP(sales_Data[[#This Row],[product_id]],sales_Data[product_id],sales_Data[unit_price])</f>
        <v>35</v>
      </c>
    </row>
    <row r="1370" spans="1:10" x14ac:dyDescent="0.3">
      <c r="A1370" t="s">
        <v>1386</v>
      </c>
      <c r="B1370" s="1">
        <v>45931</v>
      </c>
      <c r="C1370" t="s">
        <v>18</v>
      </c>
      <c r="D1370" t="s">
        <v>19</v>
      </c>
      <c r="E1370">
        <v>120</v>
      </c>
      <c r="F1370">
        <v>45</v>
      </c>
      <c r="G1370">
        <v>0</v>
      </c>
      <c r="H1370">
        <v>5400</v>
      </c>
      <c r="I1370">
        <f>AVERAGEIFS(sales_Data[units_sold], sales_Data[product_id],sales_Data[[#This Row],[product_id]])</f>
        <v>30.473972602739725</v>
      </c>
      <c r="J1370">
        <f>_xlfn.XLOOKUP(sales_Data[[#This Row],[product_id]],sales_Data[product_id],sales_Data[unit_price])</f>
        <v>120</v>
      </c>
    </row>
    <row r="1371" spans="1:10" x14ac:dyDescent="0.3">
      <c r="A1371" t="s">
        <v>1387</v>
      </c>
      <c r="B1371" s="1">
        <v>45931</v>
      </c>
      <c r="C1371" t="s">
        <v>21</v>
      </c>
      <c r="D1371" t="s">
        <v>22</v>
      </c>
      <c r="E1371">
        <v>25</v>
      </c>
      <c r="F1371">
        <v>30</v>
      </c>
      <c r="G1371">
        <v>0.1</v>
      </c>
      <c r="H1371">
        <v>675</v>
      </c>
      <c r="I1371">
        <f>AVERAGEIFS(sales_Data[units_sold], sales_Data[product_id],sales_Data[[#This Row],[product_id]])</f>
        <v>29.463013698630139</v>
      </c>
      <c r="J1371">
        <f>_xlfn.XLOOKUP(sales_Data[[#This Row],[product_id]],sales_Data[product_id],sales_Data[unit_price])</f>
        <v>25</v>
      </c>
    </row>
    <row r="1372" spans="1:10" x14ac:dyDescent="0.3">
      <c r="A1372" t="s">
        <v>1388</v>
      </c>
      <c r="B1372" s="1">
        <v>45932</v>
      </c>
      <c r="C1372" t="s">
        <v>9</v>
      </c>
      <c r="D1372" t="s">
        <v>10</v>
      </c>
      <c r="E1372">
        <v>45</v>
      </c>
      <c r="F1372">
        <v>42</v>
      </c>
      <c r="G1372">
        <v>0.1</v>
      </c>
      <c r="H1372">
        <v>1701</v>
      </c>
      <c r="I1372">
        <f>AVERAGEIFS(sales_Data[units_sold], sales_Data[product_id],sales_Data[[#This Row],[product_id]])</f>
        <v>31.479452054794521</v>
      </c>
      <c r="J1372">
        <f>_xlfn.XLOOKUP(sales_Data[[#This Row],[product_id]],sales_Data[product_id],sales_Data[unit_price])</f>
        <v>45</v>
      </c>
    </row>
    <row r="1373" spans="1:10" x14ac:dyDescent="0.3">
      <c r="A1373" t="s">
        <v>1389</v>
      </c>
      <c r="B1373" s="1">
        <v>45932</v>
      </c>
      <c r="C1373" t="s">
        <v>12</v>
      </c>
      <c r="D1373" t="s">
        <v>13</v>
      </c>
      <c r="E1373">
        <v>12.5</v>
      </c>
      <c r="F1373">
        <v>39</v>
      </c>
      <c r="G1373">
        <v>0.1</v>
      </c>
      <c r="H1373">
        <v>438.75</v>
      </c>
      <c r="I1373">
        <f>AVERAGEIFS(sales_Data[units_sold], sales_Data[product_id],sales_Data[[#This Row],[product_id]])</f>
        <v>31.794520547945204</v>
      </c>
      <c r="J1373">
        <f>_xlfn.XLOOKUP(sales_Data[[#This Row],[product_id]],sales_Data[product_id],sales_Data[unit_price])</f>
        <v>12.5</v>
      </c>
    </row>
    <row r="1374" spans="1:10" x14ac:dyDescent="0.3">
      <c r="A1374" t="s">
        <v>1390</v>
      </c>
      <c r="B1374" s="1">
        <v>45932</v>
      </c>
      <c r="C1374" t="s">
        <v>15</v>
      </c>
      <c r="D1374" t="s">
        <v>16</v>
      </c>
      <c r="E1374">
        <v>35</v>
      </c>
      <c r="F1374">
        <v>35</v>
      </c>
      <c r="G1374">
        <v>0</v>
      </c>
      <c r="H1374">
        <v>1225</v>
      </c>
      <c r="I1374">
        <f>AVERAGEIFS(sales_Data[units_sold], sales_Data[product_id],sales_Data[[#This Row],[product_id]])</f>
        <v>30.438356164383563</v>
      </c>
      <c r="J1374">
        <f>_xlfn.XLOOKUP(sales_Data[[#This Row],[product_id]],sales_Data[product_id],sales_Data[unit_price])</f>
        <v>35</v>
      </c>
    </row>
    <row r="1375" spans="1:10" x14ac:dyDescent="0.3">
      <c r="A1375" t="s">
        <v>1391</v>
      </c>
      <c r="B1375" s="1">
        <v>45932</v>
      </c>
      <c r="C1375" t="s">
        <v>18</v>
      </c>
      <c r="D1375" t="s">
        <v>19</v>
      </c>
      <c r="E1375">
        <v>120</v>
      </c>
      <c r="F1375">
        <v>17</v>
      </c>
      <c r="G1375">
        <v>0</v>
      </c>
      <c r="H1375">
        <v>2040</v>
      </c>
      <c r="I1375">
        <f>AVERAGEIFS(sales_Data[units_sold], sales_Data[product_id],sales_Data[[#This Row],[product_id]])</f>
        <v>30.473972602739725</v>
      </c>
      <c r="J1375">
        <f>_xlfn.XLOOKUP(sales_Data[[#This Row],[product_id]],sales_Data[product_id],sales_Data[unit_price])</f>
        <v>120</v>
      </c>
    </row>
    <row r="1376" spans="1:10" x14ac:dyDescent="0.3">
      <c r="A1376" t="s">
        <v>1392</v>
      </c>
      <c r="B1376" s="1">
        <v>45932</v>
      </c>
      <c r="C1376" t="s">
        <v>21</v>
      </c>
      <c r="D1376" t="s">
        <v>22</v>
      </c>
      <c r="E1376">
        <v>25</v>
      </c>
      <c r="F1376">
        <v>49</v>
      </c>
      <c r="G1376">
        <v>0</v>
      </c>
      <c r="H1376">
        <v>1225</v>
      </c>
      <c r="I1376">
        <f>AVERAGEIFS(sales_Data[units_sold], sales_Data[product_id],sales_Data[[#This Row],[product_id]])</f>
        <v>29.463013698630139</v>
      </c>
      <c r="J1376">
        <f>_xlfn.XLOOKUP(sales_Data[[#This Row],[product_id]],sales_Data[product_id],sales_Data[unit_price])</f>
        <v>25</v>
      </c>
    </row>
    <row r="1377" spans="1:10" x14ac:dyDescent="0.3">
      <c r="A1377" t="s">
        <v>1393</v>
      </c>
      <c r="B1377" s="1">
        <v>45933</v>
      </c>
      <c r="C1377" t="s">
        <v>9</v>
      </c>
      <c r="D1377" t="s">
        <v>10</v>
      </c>
      <c r="E1377">
        <v>45</v>
      </c>
      <c r="F1377">
        <v>11</v>
      </c>
      <c r="G1377">
        <v>0</v>
      </c>
      <c r="H1377">
        <v>495</v>
      </c>
      <c r="I1377">
        <f>AVERAGEIFS(sales_Data[units_sold], sales_Data[product_id],sales_Data[[#This Row],[product_id]])</f>
        <v>31.479452054794521</v>
      </c>
      <c r="J1377">
        <f>_xlfn.XLOOKUP(sales_Data[[#This Row],[product_id]],sales_Data[product_id],sales_Data[unit_price])</f>
        <v>45</v>
      </c>
    </row>
    <row r="1378" spans="1:10" x14ac:dyDescent="0.3">
      <c r="A1378" t="s">
        <v>1394</v>
      </c>
      <c r="B1378" s="1">
        <v>45933</v>
      </c>
      <c r="C1378" t="s">
        <v>12</v>
      </c>
      <c r="D1378" t="s">
        <v>13</v>
      </c>
      <c r="E1378">
        <v>12.5</v>
      </c>
      <c r="F1378">
        <v>27</v>
      </c>
      <c r="G1378">
        <v>0</v>
      </c>
      <c r="H1378">
        <v>337.5</v>
      </c>
      <c r="I1378">
        <f>AVERAGEIFS(sales_Data[units_sold], sales_Data[product_id],sales_Data[[#This Row],[product_id]])</f>
        <v>31.794520547945204</v>
      </c>
      <c r="J1378">
        <f>_xlfn.XLOOKUP(sales_Data[[#This Row],[product_id]],sales_Data[product_id],sales_Data[unit_price])</f>
        <v>12.5</v>
      </c>
    </row>
    <row r="1379" spans="1:10" x14ac:dyDescent="0.3">
      <c r="A1379" t="s">
        <v>1395</v>
      </c>
      <c r="B1379" s="1">
        <v>45933</v>
      </c>
      <c r="C1379" t="s">
        <v>15</v>
      </c>
      <c r="D1379" t="s">
        <v>16</v>
      </c>
      <c r="E1379">
        <v>35</v>
      </c>
      <c r="F1379">
        <v>18</v>
      </c>
      <c r="G1379">
        <v>0</v>
      </c>
      <c r="H1379">
        <v>630</v>
      </c>
      <c r="I1379">
        <f>AVERAGEIFS(sales_Data[units_sold], sales_Data[product_id],sales_Data[[#This Row],[product_id]])</f>
        <v>30.438356164383563</v>
      </c>
      <c r="J1379">
        <f>_xlfn.XLOOKUP(sales_Data[[#This Row],[product_id]],sales_Data[product_id],sales_Data[unit_price])</f>
        <v>35</v>
      </c>
    </row>
    <row r="1380" spans="1:10" x14ac:dyDescent="0.3">
      <c r="A1380" t="s">
        <v>1396</v>
      </c>
      <c r="B1380" s="1">
        <v>45933</v>
      </c>
      <c r="C1380" t="s">
        <v>18</v>
      </c>
      <c r="D1380" t="s">
        <v>19</v>
      </c>
      <c r="E1380">
        <v>120</v>
      </c>
      <c r="F1380">
        <v>26</v>
      </c>
      <c r="G1380">
        <v>0.1</v>
      </c>
      <c r="H1380">
        <v>2808</v>
      </c>
      <c r="I1380">
        <f>AVERAGEIFS(sales_Data[units_sold], sales_Data[product_id],sales_Data[[#This Row],[product_id]])</f>
        <v>30.473972602739725</v>
      </c>
      <c r="J1380">
        <f>_xlfn.XLOOKUP(sales_Data[[#This Row],[product_id]],sales_Data[product_id],sales_Data[unit_price])</f>
        <v>120</v>
      </c>
    </row>
    <row r="1381" spans="1:10" x14ac:dyDescent="0.3">
      <c r="A1381" t="s">
        <v>1397</v>
      </c>
      <c r="B1381" s="1">
        <v>45933</v>
      </c>
      <c r="C1381" t="s">
        <v>21</v>
      </c>
      <c r="D1381" t="s">
        <v>22</v>
      </c>
      <c r="E1381">
        <v>25</v>
      </c>
      <c r="F1381">
        <v>48</v>
      </c>
      <c r="G1381">
        <v>0</v>
      </c>
      <c r="H1381">
        <v>1200</v>
      </c>
      <c r="I1381">
        <f>AVERAGEIFS(sales_Data[units_sold], sales_Data[product_id],sales_Data[[#This Row],[product_id]])</f>
        <v>29.463013698630139</v>
      </c>
      <c r="J1381">
        <f>_xlfn.XLOOKUP(sales_Data[[#This Row],[product_id]],sales_Data[product_id],sales_Data[unit_price])</f>
        <v>25</v>
      </c>
    </row>
    <row r="1382" spans="1:10" x14ac:dyDescent="0.3">
      <c r="A1382" t="s">
        <v>1398</v>
      </c>
      <c r="B1382" s="1">
        <v>45934</v>
      </c>
      <c r="C1382" t="s">
        <v>9</v>
      </c>
      <c r="D1382" t="s">
        <v>10</v>
      </c>
      <c r="E1382">
        <v>45</v>
      </c>
      <c r="F1382">
        <v>73</v>
      </c>
      <c r="G1382">
        <v>0.1</v>
      </c>
      <c r="H1382">
        <v>2956.5</v>
      </c>
      <c r="I1382">
        <f>AVERAGEIFS(sales_Data[units_sold], sales_Data[product_id],sales_Data[[#This Row],[product_id]])</f>
        <v>31.479452054794521</v>
      </c>
      <c r="J1382">
        <f>_xlfn.XLOOKUP(sales_Data[[#This Row],[product_id]],sales_Data[product_id],sales_Data[unit_price])</f>
        <v>45</v>
      </c>
    </row>
    <row r="1383" spans="1:10" x14ac:dyDescent="0.3">
      <c r="A1383" t="s">
        <v>1399</v>
      </c>
      <c r="B1383" s="1">
        <v>45934</v>
      </c>
      <c r="C1383" t="s">
        <v>12</v>
      </c>
      <c r="D1383" t="s">
        <v>13</v>
      </c>
      <c r="E1383">
        <v>12.5</v>
      </c>
      <c r="F1383">
        <v>12</v>
      </c>
      <c r="G1383">
        <v>0</v>
      </c>
      <c r="H1383">
        <v>150</v>
      </c>
      <c r="I1383">
        <f>AVERAGEIFS(sales_Data[units_sold], sales_Data[product_id],sales_Data[[#This Row],[product_id]])</f>
        <v>31.794520547945204</v>
      </c>
      <c r="J1383">
        <f>_xlfn.XLOOKUP(sales_Data[[#This Row],[product_id]],sales_Data[product_id],sales_Data[unit_price])</f>
        <v>12.5</v>
      </c>
    </row>
    <row r="1384" spans="1:10" x14ac:dyDescent="0.3">
      <c r="A1384" t="s">
        <v>1400</v>
      </c>
      <c r="B1384" s="1">
        <v>45934</v>
      </c>
      <c r="C1384" t="s">
        <v>15</v>
      </c>
      <c r="D1384" t="s">
        <v>16</v>
      </c>
      <c r="E1384">
        <v>35</v>
      </c>
      <c r="F1384">
        <v>42</v>
      </c>
      <c r="G1384">
        <v>0</v>
      </c>
      <c r="H1384">
        <v>1470</v>
      </c>
      <c r="I1384">
        <f>AVERAGEIFS(sales_Data[units_sold], sales_Data[product_id],sales_Data[[#This Row],[product_id]])</f>
        <v>30.438356164383563</v>
      </c>
      <c r="J1384">
        <f>_xlfn.XLOOKUP(sales_Data[[#This Row],[product_id]],sales_Data[product_id],sales_Data[unit_price])</f>
        <v>35</v>
      </c>
    </row>
    <row r="1385" spans="1:10" x14ac:dyDescent="0.3">
      <c r="A1385" t="s">
        <v>1401</v>
      </c>
      <c r="B1385" s="1">
        <v>45934</v>
      </c>
      <c r="C1385" t="s">
        <v>18</v>
      </c>
      <c r="D1385" t="s">
        <v>19</v>
      </c>
      <c r="E1385">
        <v>120</v>
      </c>
      <c r="F1385">
        <v>12</v>
      </c>
      <c r="G1385">
        <v>0</v>
      </c>
      <c r="H1385">
        <v>1440</v>
      </c>
      <c r="I1385">
        <f>AVERAGEIFS(sales_Data[units_sold], sales_Data[product_id],sales_Data[[#This Row],[product_id]])</f>
        <v>30.473972602739725</v>
      </c>
      <c r="J1385">
        <f>_xlfn.XLOOKUP(sales_Data[[#This Row],[product_id]],sales_Data[product_id],sales_Data[unit_price])</f>
        <v>120</v>
      </c>
    </row>
    <row r="1386" spans="1:10" x14ac:dyDescent="0.3">
      <c r="A1386" t="s">
        <v>1402</v>
      </c>
      <c r="B1386" s="1">
        <v>45934</v>
      </c>
      <c r="C1386" t="s">
        <v>21</v>
      </c>
      <c r="D1386" t="s">
        <v>22</v>
      </c>
      <c r="E1386">
        <v>25</v>
      </c>
      <c r="F1386">
        <v>7</v>
      </c>
      <c r="G1386">
        <v>0.2</v>
      </c>
      <c r="H1386">
        <v>140</v>
      </c>
      <c r="I1386">
        <f>AVERAGEIFS(sales_Data[units_sold], sales_Data[product_id],sales_Data[[#This Row],[product_id]])</f>
        <v>29.463013698630139</v>
      </c>
      <c r="J1386">
        <f>_xlfn.XLOOKUP(sales_Data[[#This Row],[product_id]],sales_Data[product_id],sales_Data[unit_price])</f>
        <v>25</v>
      </c>
    </row>
    <row r="1387" spans="1:10" x14ac:dyDescent="0.3">
      <c r="A1387" t="s">
        <v>1403</v>
      </c>
      <c r="B1387" s="1">
        <v>45935</v>
      </c>
      <c r="C1387" t="s">
        <v>9</v>
      </c>
      <c r="D1387" t="s">
        <v>10</v>
      </c>
      <c r="E1387">
        <v>45</v>
      </c>
      <c r="F1387">
        <v>36</v>
      </c>
      <c r="G1387">
        <v>0.1</v>
      </c>
      <c r="H1387">
        <v>1458</v>
      </c>
      <c r="I1387">
        <f>AVERAGEIFS(sales_Data[units_sold], sales_Data[product_id],sales_Data[[#This Row],[product_id]])</f>
        <v>31.479452054794521</v>
      </c>
      <c r="J1387">
        <f>_xlfn.XLOOKUP(sales_Data[[#This Row],[product_id]],sales_Data[product_id],sales_Data[unit_price])</f>
        <v>45</v>
      </c>
    </row>
    <row r="1388" spans="1:10" x14ac:dyDescent="0.3">
      <c r="A1388" t="s">
        <v>1404</v>
      </c>
      <c r="B1388" s="1">
        <v>45935</v>
      </c>
      <c r="C1388" t="s">
        <v>12</v>
      </c>
      <c r="D1388" t="s">
        <v>13</v>
      </c>
      <c r="E1388">
        <v>12.5</v>
      </c>
      <c r="F1388">
        <v>39</v>
      </c>
      <c r="G1388">
        <v>0</v>
      </c>
      <c r="H1388">
        <v>487.5</v>
      </c>
      <c r="I1388">
        <f>AVERAGEIFS(sales_Data[units_sold], sales_Data[product_id],sales_Data[[#This Row],[product_id]])</f>
        <v>31.794520547945204</v>
      </c>
      <c r="J1388">
        <f>_xlfn.XLOOKUP(sales_Data[[#This Row],[product_id]],sales_Data[product_id],sales_Data[unit_price])</f>
        <v>12.5</v>
      </c>
    </row>
    <row r="1389" spans="1:10" x14ac:dyDescent="0.3">
      <c r="A1389" t="s">
        <v>1405</v>
      </c>
      <c r="B1389" s="1">
        <v>45935</v>
      </c>
      <c r="C1389" t="s">
        <v>15</v>
      </c>
      <c r="D1389" t="s">
        <v>16</v>
      </c>
      <c r="E1389">
        <v>35</v>
      </c>
      <c r="F1389">
        <v>69</v>
      </c>
      <c r="G1389">
        <v>0</v>
      </c>
      <c r="H1389">
        <v>2415</v>
      </c>
      <c r="I1389">
        <f>AVERAGEIFS(sales_Data[units_sold], sales_Data[product_id],sales_Data[[#This Row],[product_id]])</f>
        <v>30.438356164383563</v>
      </c>
      <c r="J1389">
        <f>_xlfn.XLOOKUP(sales_Data[[#This Row],[product_id]],sales_Data[product_id],sales_Data[unit_price])</f>
        <v>35</v>
      </c>
    </row>
    <row r="1390" spans="1:10" x14ac:dyDescent="0.3">
      <c r="A1390" t="s">
        <v>1406</v>
      </c>
      <c r="B1390" s="1">
        <v>45935</v>
      </c>
      <c r="C1390" t="s">
        <v>18</v>
      </c>
      <c r="D1390" t="s">
        <v>19</v>
      </c>
      <c r="E1390">
        <v>120</v>
      </c>
      <c r="F1390">
        <v>42</v>
      </c>
      <c r="G1390">
        <v>0</v>
      </c>
      <c r="H1390">
        <v>5040</v>
      </c>
      <c r="I1390">
        <f>AVERAGEIFS(sales_Data[units_sold], sales_Data[product_id],sales_Data[[#This Row],[product_id]])</f>
        <v>30.473972602739725</v>
      </c>
      <c r="J1390">
        <f>_xlfn.XLOOKUP(sales_Data[[#This Row],[product_id]],sales_Data[product_id],sales_Data[unit_price])</f>
        <v>120</v>
      </c>
    </row>
    <row r="1391" spans="1:10" x14ac:dyDescent="0.3">
      <c r="A1391" t="s">
        <v>1407</v>
      </c>
      <c r="B1391" s="1">
        <v>45935</v>
      </c>
      <c r="C1391" t="s">
        <v>21</v>
      </c>
      <c r="D1391" t="s">
        <v>22</v>
      </c>
      <c r="E1391">
        <v>25</v>
      </c>
      <c r="F1391">
        <v>48</v>
      </c>
      <c r="G1391">
        <v>0</v>
      </c>
      <c r="H1391">
        <v>1200</v>
      </c>
      <c r="I1391">
        <f>AVERAGEIFS(sales_Data[units_sold], sales_Data[product_id],sales_Data[[#This Row],[product_id]])</f>
        <v>29.463013698630139</v>
      </c>
      <c r="J1391">
        <f>_xlfn.XLOOKUP(sales_Data[[#This Row],[product_id]],sales_Data[product_id],sales_Data[unit_price])</f>
        <v>25</v>
      </c>
    </row>
    <row r="1392" spans="1:10" x14ac:dyDescent="0.3">
      <c r="A1392" t="s">
        <v>1408</v>
      </c>
      <c r="B1392" s="1">
        <v>45936</v>
      </c>
      <c r="C1392" t="s">
        <v>9</v>
      </c>
      <c r="D1392" t="s">
        <v>10</v>
      </c>
      <c r="E1392">
        <v>45</v>
      </c>
      <c r="F1392">
        <v>40</v>
      </c>
      <c r="G1392">
        <v>0</v>
      </c>
      <c r="H1392">
        <v>1800</v>
      </c>
      <c r="I1392">
        <f>AVERAGEIFS(sales_Data[units_sold], sales_Data[product_id],sales_Data[[#This Row],[product_id]])</f>
        <v>31.479452054794521</v>
      </c>
      <c r="J1392">
        <f>_xlfn.XLOOKUP(sales_Data[[#This Row],[product_id]],sales_Data[product_id],sales_Data[unit_price])</f>
        <v>45</v>
      </c>
    </row>
    <row r="1393" spans="1:10" x14ac:dyDescent="0.3">
      <c r="A1393" t="s">
        <v>1409</v>
      </c>
      <c r="B1393" s="1">
        <v>45936</v>
      </c>
      <c r="C1393" t="s">
        <v>12</v>
      </c>
      <c r="D1393" t="s">
        <v>13</v>
      </c>
      <c r="E1393">
        <v>12.5</v>
      </c>
      <c r="F1393">
        <v>6</v>
      </c>
      <c r="G1393">
        <v>0.1</v>
      </c>
      <c r="H1393">
        <v>67.5</v>
      </c>
      <c r="I1393">
        <f>AVERAGEIFS(sales_Data[units_sold], sales_Data[product_id],sales_Data[[#This Row],[product_id]])</f>
        <v>31.794520547945204</v>
      </c>
      <c r="J1393">
        <f>_xlfn.XLOOKUP(sales_Data[[#This Row],[product_id]],sales_Data[product_id],sales_Data[unit_price])</f>
        <v>12.5</v>
      </c>
    </row>
    <row r="1394" spans="1:10" x14ac:dyDescent="0.3">
      <c r="A1394" t="s">
        <v>1410</v>
      </c>
      <c r="B1394" s="1">
        <v>45936</v>
      </c>
      <c r="C1394" t="s">
        <v>15</v>
      </c>
      <c r="D1394" t="s">
        <v>16</v>
      </c>
      <c r="E1394">
        <v>35</v>
      </c>
      <c r="F1394">
        <v>43</v>
      </c>
      <c r="G1394">
        <v>0</v>
      </c>
      <c r="H1394">
        <v>1505</v>
      </c>
      <c r="I1394">
        <f>AVERAGEIFS(sales_Data[units_sold], sales_Data[product_id],sales_Data[[#This Row],[product_id]])</f>
        <v>30.438356164383563</v>
      </c>
      <c r="J1394">
        <f>_xlfn.XLOOKUP(sales_Data[[#This Row],[product_id]],sales_Data[product_id],sales_Data[unit_price])</f>
        <v>35</v>
      </c>
    </row>
    <row r="1395" spans="1:10" x14ac:dyDescent="0.3">
      <c r="A1395" t="s">
        <v>1411</v>
      </c>
      <c r="B1395" s="1">
        <v>45936</v>
      </c>
      <c r="C1395" t="s">
        <v>18</v>
      </c>
      <c r="D1395" t="s">
        <v>19</v>
      </c>
      <c r="E1395">
        <v>120</v>
      </c>
      <c r="F1395">
        <v>12</v>
      </c>
      <c r="G1395">
        <v>0</v>
      </c>
      <c r="H1395">
        <v>1440</v>
      </c>
      <c r="I1395">
        <f>AVERAGEIFS(sales_Data[units_sold], sales_Data[product_id],sales_Data[[#This Row],[product_id]])</f>
        <v>30.473972602739725</v>
      </c>
      <c r="J1395">
        <f>_xlfn.XLOOKUP(sales_Data[[#This Row],[product_id]],sales_Data[product_id],sales_Data[unit_price])</f>
        <v>120</v>
      </c>
    </row>
    <row r="1396" spans="1:10" x14ac:dyDescent="0.3">
      <c r="A1396" t="s">
        <v>1412</v>
      </c>
      <c r="B1396" s="1">
        <v>45936</v>
      </c>
      <c r="C1396" t="s">
        <v>21</v>
      </c>
      <c r="D1396" t="s">
        <v>22</v>
      </c>
      <c r="E1396">
        <v>25</v>
      </c>
      <c r="F1396">
        <v>14</v>
      </c>
      <c r="G1396">
        <v>0</v>
      </c>
      <c r="H1396">
        <v>350</v>
      </c>
      <c r="I1396">
        <f>AVERAGEIFS(sales_Data[units_sold], sales_Data[product_id],sales_Data[[#This Row],[product_id]])</f>
        <v>29.463013698630139</v>
      </c>
      <c r="J1396">
        <f>_xlfn.XLOOKUP(sales_Data[[#This Row],[product_id]],sales_Data[product_id],sales_Data[unit_price])</f>
        <v>25</v>
      </c>
    </row>
    <row r="1397" spans="1:10" x14ac:dyDescent="0.3">
      <c r="A1397" t="s">
        <v>1413</v>
      </c>
      <c r="B1397" s="1">
        <v>45937</v>
      </c>
      <c r="C1397" t="s">
        <v>9</v>
      </c>
      <c r="D1397" t="s">
        <v>10</v>
      </c>
      <c r="E1397">
        <v>45</v>
      </c>
      <c r="F1397">
        <v>27</v>
      </c>
      <c r="G1397">
        <v>0</v>
      </c>
      <c r="H1397">
        <v>1215</v>
      </c>
      <c r="I1397">
        <f>AVERAGEIFS(sales_Data[units_sold], sales_Data[product_id],sales_Data[[#This Row],[product_id]])</f>
        <v>31.479452054794521</v>
      </c>
      <c r="J1397">
        <f>_xlfn.XLOOKUP(sales_Data[[#This Row],[product_id]],sales_Data[product_id],sales_Data[unit_price])</f>
        <v>45</v>
      </c>
    </row>
    <row r="1398" spans="1:10" x14ac:dyDescent="0.3">
      <c r="A1398" t="s">
        <v>1414</v>
      </c>
      <c r="B1398" s="1">
        <v>45937</v>
      </c>
      <c r="C1398" t="s">
        <v>12</v>
      </c>
      <c r="D1398" t="s">
        <v>13</v>
      </c>
      <c r="E1398">
        <v>12.5</v>
      </c>
      <c r="F1398">
        <v>39</v>
      </c>
      <c r="G1398">
        <v>0.1</v>
      </c>
      <c r="H1398">
        <v>438.75</v>
      </c>
      <c r="I1398">
        <f>AVERAGEIFS(sales_Data[units_sold], sales_Data[product_id],sales_Data[[#This Row],[product_id]])</f>
        <v>31.794520547945204</v>
      </c>
      <c r="J1398">
        <f>_xlfn.XLOOKUP(sales_Data[[#This Row],[product_id]],sales_Data[product_id],sales_Data[unit_price])</f>
        <v>12.5</v>
      </c>
    </row>
    <row r="1399" spans="1:10" x14ac:dyDescent="0.3">
      <c r="A1399" t="s">
        <v>1415</v>
      </c>
      <c r="B1399" s="1">
        <v>45937</v>
      </c>
      <c r="C1399" t="s">
        <v>15</v>
      </c>
      <c r="D1399" t="s">
        <v>16</v>
      </c>
      <c r="E1399">
        <v>35</v>
      </c>
      <c r="F1399">
        <v>40</v>
      </c>
      <c r="G1399">
        <v>0</v>
      </c>
      <c r="H1399">
        <v>1400</v>
      </c>
      <c r="I1399">
        <f>AVERAGEIFS(sales_Data[units_sold], sales_Data[product_id],sales_Data[[#This Row],[product_id]])</f>
        <v>30.438356164383563</v>
      </c>
      <c r="J1399">
        <f>_xlfn.XLOOKUP(sales_Data[[#This Row],[product_id]],sales_Data[product_id],sales_Data[unit_price])</f>
        <v>35</v>
      </c>
    </row>
    <row r="1400" spans="1:10" x14ac:dyDescent="0.3">
      <c r="A1400" t="s">
        <v>1416</v>
      </c>
      <c r="B1400" s="1">
        <v>45937</v>
      </c>
      <c r="C1400" t="s">
        <v>18</v>
      </c>
      <c r="D1400" t="s">
        <v>19</v>
      </c>
      <c r="E1400">
        <v>120</v>
      </c>
      <c r="F1400">
        <v>18</v>
      </c>
      <c r="G1400">
        <v>0</v>
      </c>
      <c r="H1400">
        <v>2160</v>
      </c>
      <c r="I1400">
        <f>AVERAGEIFS(sales_Data[units_sold], sales_Data[product_id],sales_Data[[#This Row],[product_id]])</f>
        <v>30.473972602739725</v>
      </c>
      <c r="J1400">
        <f>_xlfn.XLOOKUP(sales_Data[[#This Row],[product_id]],sales_Data[product_id],sales_Data[unit_price])</f>
        <v>120</v>
      </c>
    </row>
    <row r="1401" spans="1:10" x14ac:dyDescent="0.3">
      <c r="A1401" t="s">
        <v>1417</v>
      </c>
      <c r="B1401" s="1">
        <v>45937</v>
      </c>
      <c r="C1401" t="s">
        <v>21</v>
      </c>
      <c r="D1401" t="s">
        <v>22</v>
      </c>
      <c r="E1401">
        <v>25</v>
      </c>
      <c r="F1401">
        <v>24</v>
      </c>
      <c r="G1401">
        <v>0</v>
      </c>
      <c r="H1401">
        <v>600</v>
      </c>
      <c r="I1401">
        <f>AVERAGEIFS(sales_Data[units_sold], sales_Data[product_id],sales_Data[[#This Row],[product_id]])</f>
        <v>29.463013698630139</v>
      </c>
      <c r="J1401">
        <f>_xlfn.XLOOKUP(sales_Data[[#This Row],[product_id]],sales_Data[product_id],sales_Data[unit_price])</f>
        <v>25</v>
      </c>
    </row>
    <row r="1402" spans="1:10" x14ac:dyDescent="0.3">
      <c r="A1402" t="s">
        <v>1418</v>
      </c>
      <c r="B1402" s="1">
        <v>45938</v>
      </c>
      <c r="C1402" t="s">
        <v>9</v>
      </c>
      <c r="D1402" t="s">
        <v>10</v>
      </c>
      <c r="E1402">
        <v>45</v>
      </c>
      <c r="F1402">
        <v>5</v>
      </c>
      <c r="G1402">
        <v>0</v>
      </c>
      <c r="H1402">
        <v>225</v>
      </c>
      <c r="I1402">
        <f>AVERAGEIFS(sales_Data[units_sold], sales_Data[product_id],sales_Data[[#This Row],[product_id]])</f>
        <v>31.479452054794521</v>
      </c>
      <c r="J1402">
        <f>_xlfn.XLOOKUP(sales_Data[[#This Row],[product_id]],sales_Data[product_id],sales_Data[unit_price])</f>
        <v>45</v>
      </c>
    </row>
    <row r="1403" spans="1:10" x14ac:dyDescent="0.3">
      <c r="A1403" t="s">
        <v>1419</v>
      </c>
      <c r="B1403" s="1">
        <v>45938</v>
      </c>
      <c r="C1403" t="s">
        <v>12</v>
      </c>
      <c r="D1403" t="s">
        <v>13</v>
      </c>
      <c r="E1403">
        <v>12.5</v>
      </c>
      <c r="F1403">
        <v>49</v>
      </c>
      <c r="G1403">
        <v>0</v>
      </c>
      <c r="H1403">
        <v>612.5</v>
      </c>
      <c r="I1403">
        <f>AVERAGEIFS(sales_Data[units_sold], sales_Data[product_id],sales_Data[[#This Row],[product_id]])</f>
        <v>31.794520547945204</v>
      </c>
      <c r="J1403">
        <f>_xlfn.XLOOKUP(sales_Data[[#This Row],[product_id]],sales_Data[product_id],sales_Data[unit_price])</f>
        <v>12.5</v>
      </c>
    </row>
    <row r="1404" spans="1:10" x14ac:dyDescent="0.3">
      <c r="A1404" t="s">
        <v>1420</v>
      </c>
      <c r="B1404" s="1">
        <v>45938</v>
      </c>
      <c r="C1404" t="s">
        <v>15</v>
      </c>
      <c r="D1404" t="s">
        <v>16</v>
      </c>
      <c r="E1404">
        <v>35</v>
      </c>
      <c r="F1404">
        <v>26</v>
      </c>
      <c r="G1404">
        <v>0</v>
      </c>
      <c r="H1404">
        <v>910</v>
      </c>
      <c r="I1404">
        <f>AVERAGEIFS(sales_Data[units_sold], sales_Data[product_id],sales_Data[[#This Row],[product_id]])</f>
        <v>30.438356164383563</v>
      </c>
      <c r="J1404">
        <f>_xlfn.XLOOKUP(sales_Data[[#This Row],[product_id]],sales_Data[product_id],sales_Data[unit_price])</f>
        <v>35</v>
      </c>
    </row>
    <row r="1405" spans="1:10" x14ac:dyDescent="0.3">
      <c r="A1405" t="s">
        <v>1421</v>
      </c>
      <c r="B1405" s="1">
        <v>45938</v>
      </c>
      <c r="C1405" t="s">
        <v>18</v>
      </c>
      <c r="D1405" t="s">
        <v>19</v>
      </c>
      <c r="E1405">
        <v>120</v>
      </c>
      <c r="F1405">
        <v>23</v>
      </c>
      <c r="G1405">
        <v>0</v>
      </c>
      <c r="H1405">
        <v>2760</v>
      </c>
      <c r="I1405">
        <f>AVERAGEIFS(sales_Data[units_sold], sales_Data[product_id],sales_Data[[#This Row],[product_id]])</f>
        <v>30.473972602739725</v>
      </c>
      <c r="J1405">
        <f>_xlfn.XLOOKUP(sales_Data[[#This Row],[product_id]],sales_Data[product_id],sales_Data[unit_price])</f>
        <v>120</v>
      </c>
    </row>
    <row r="1406" spans="1:10" x14ac:dyDescent="0.3">
      <c r="A1406" t="s">
        <v>1422</v>
      </c>
      <c r="B1406" s="1">
        <v>45938</v>
      </c>
      <c r="C1406" t="s">
        <v>21</v>
      </c>
      <c r="D1406" t="s">
        <v>22</v>
      </c>
      <c r="E1406">
        <v>25</v>
      </c>
      <c r="F1406">
        <v>36</v>
      </c>
      <c r="G1406">
        <v>0</v>
      </c>
      <c r="H1406">
        <v>900</v>
      </c>
      <c r="I1406">
        <f>AVERAGEIFS(sales_Data[units_sold], sales_Data[product_id],sales_Data[[#This Row],[product_id]])</f>
        <v>29.463013698630139</v>
      </c>
      <c r="J1406">
        <f>_xlfn.XLOOKUP(sales_Data[[#This Row],[product_id]],sales_Data[product_id],sales_Data[unit_price])</f>
        <v>25</v>
      </c>
    </row>
    <row r="1407" spans="1:10" x14ac:dyDescent="0.3">
      <c r="A1407" t="s">
        <v>1423</v>
      </c>
      <c r="B1407" s="1">
        <v>45939</v>
      </c>
      <c r="C1407" t="s">
        <v>9</v>
      </c>
      <c r="D1407" t="s">
        <v>10</v>
      </c>
      <c r="E1407">
        <v>45</v>
      </c>
      <c r="F1407">
        <v>24</v>
      </c>
      <c r="G1407">
        <v>0</v>
      </c>
      <c r="H1407">
        <v>1080</v>
      </c>
      <c r="I1407">
        <f>AVERAGEIFS(sales_Data[units_sold], sales_Data[product_id],sales_Data[[#This Row],[product_id]])</f>
        <v>31.479452054794521</v>
      </c>
      <c r="J1407">
        <f>_xlfn.XLOOKUP(sales_Data[[#This Row],[product_id]],sales_Data[product_id],sales_Data[unit_price])</f>
        <v>45</v>
      </c>
    </row>
    <row r="1408" spans="1:10" x14ac:dyDescent="0.3">
      <c r="A1408" t="s">
        <v>1424</v>
      </c>
      <c r="B1408" s="1">
        <v>45939</v>
      </c>
      <c r="C1408" t="s">
        <v>12</v>
      </c>
      <c r="D1408" t="s">
        <v>13</v>
      </c>
      <c r="E1408">
        <v>12.5</v>
      </c>
      <c r="F1408">
        <v>12</v>
      </c>
      <c r="G1408">
        <v>0.1</v>
      </c>
      <c r="H1408">
        <v>135</v>
      </c>
      <c r="I1408">
        <f>AVERAGEIFS(sales_Data[units_sold], sales_Data[product_id],sales_Data[[#This Row],[product_id]])</f>
        <v>31.794520547945204</v>
      </c>
      <c r="J1408">
        <f>_xlfn.XLOOKUP(sales_Data[[#This Row],[product_id]],sales_Data[product_id],sales_Data[unit_price])</f>
        <v>12.5</v>
      </c>
    </row>
    <row r="1409" spans="1:10" x14ac:dyDescent="0.3">
      <c r="A1409" t="s">
        <v>1425</v>
      </c>
      <c r="B1409" s="1">
        <v>45939</v>
      </c>
      <c r="C1409" t="s">
        <v>15</v>
      </c>
      <c r="D1409" t="s">
        <v>16</v>
      </c>
      <c r="E1409">
        <v>35</v>
      </c>
      <c r="F1409">
        <v>7</v>
      </c>
      <c r="G1409">
        <v>0</v>
      </c>
      <c r="H1409">
        <v>245</v>
      </c>
      <c r="I1409">
        <f>AVERAGEIFS(sales_Data[units_sold], sales_Data[product_id],sales_Data[[#This Row],[product_id]])</f>
        <v>30.438356164383563</v>
      </c>
      <c r="J1409">
        <f>_xlfn.XLOOKUP(sales_Data[[#This Row],[product_id]],sales_Data[product_id],sales_Data[unit_price])</f>
        <v>35</v>
      </c>
    </row>
    <row r="1410" spans="1:10" x14ac:dyDescent="0.3">
      <c r="A1410" t="s">
        <v>1426</v>
      </c>
      <c r="B1410" s="1">
        <v>45939</v>
      </c>
      <c r="C1410" t="s">
        <v>18</v>
      </c>
      <c r="D1410" t="s">
        <v>19</v>
      </c>
      <c r="E1410">
        <v>120</v>
      </c>
      <c r="F1410">
        <v>23</v>
      </c>
      <c r="G1410">
        <v>0.1</v>
      </c>
      <c r="H1410">
        <v>2484</v>
      </c>
      <c r="I1410">
        <f>AVERAGEIFS(sales_Data[units_sold], sales_Data[product_id],sales_Data[[#This Row],[product_id]])</f>
        <v>30.473972602739725</v>
      </c>
      <c r="J1410">
        <f>_xlfn.XLOOKUP(sales_Data[[#This Row],[product_id]],sales_Data[product_id],sales_Data[unit_price])</f>
        <v>120</v>
      </c>
    </row>
    <row r="1411" spans="1:10" x14ac:dyDescent="0.3">
      <c r="A1411" t="s">
        <v>1427</v>
      </c>
      <c r="B1411" s="1">
        <v>45939</v>
      </c>
      <c r="C1411" t="s">
        <v>21</v>
      </c>
      <c r="D1411" t="s">
        <v>22</v>
      </c>
      <c r="E1411">
        <v>25</v>
      </c>
      <c r="F1411">
        <v>35</v>
      </c>
      <c r="G1411">
        <v>0</v>
      </c>
      <c r="H1411">
        <v>875</v>
      </c>
      <c r="I1411">
        <f>AVERAGEIFS(sales_Data[units_sold], sales_Data[product_id],sales_Data[[#This Row],[product_id]])</f>
        <v>29.463013698630139</v>
      </c>
      <c r="J1411">
        <f>_xlfn.XLOOKUP(sales_Data[[#This Row],[product_id]],sales_Data[product_id],sales_Data[unit_price])</f>
        <v>25</v>
      </c>
    </row>
    <row r="1412" spans="1:10" x14ac:dyDescent="0.3">
      <c r="A1412" t="s">
        <v>1428</v>
      </c>
      <c r="B1412" s="1">
        <v>45940</v>
      </c>
      <c r="C1412" t="s">
        <v>9</v>
      </c>
      <c r="D1412" t="s">
        <v>10</v>
      </c>
      <c r="E1412">
        <v>45</v>
      </c>
      <c r="F1412">
        <v>7</v>
      </c>
      <c r="G1412">
        <v>0</v>
      </c>
      <c r="H1412">
        <v>315</v>
      </c>
      <c r="I1412">
        <f>AVERAGEIFS(sales_Data[units_sold], sales_Data[product_id],sales_Data[[#This Row],[product_id]])</f>
        <v>31.479452054794521</v>
      </c>
      <c r="J1412">
        <f>_xlfn.XLOOKUP(sales_Data[[#This Row],[product_id]],sales_Data[product_id],sales_Data[unit_price])</f>
        <v>45</v>
      </c>
    </row>
    <row r="1413" spans="1:10" x14ac:dyDescent="0.3">
      <c r="A1413" t="s">
        <v>1429</v>
      </c>
      <c r="B1413" s="1">
        <v>45940</v>
      </c>
      <c r="C1413" t="s">
        <v>12</v>
      </c>
      <c r="D1413" t="s">
        <v>13</v>
      </c>
      <c r="E1413">
        <v>12.5</v>
      </c>
      <c r="F1413">
        <v>35</v>
      </c>
      <c r="G1413">
        <v>0</v>
      </c>
      <c r="H1413">
        <v>437.5</v>
      </c>
      <c r="I1413">
        <f>AVERAGEIFS(sales_Data[units_sold], sales_Data[product_id],sales_Data[[#This Row],[product_id]])</f>
        <v>31.794520547945204</v>
      </c>
      <c r="J1413">
        <f>_xlfn.XLOOKUP(sales_Data[[#This Row],[product_id]],sales_Data[product_id],sales_Data[unit_price])</f>
        <v>12.5</v>
      </c>
    </row>
    <row r="1414" spans="1:10" x14ac:dyDescent="0.3">
      <c r="A1414" t="s">
        <v>1430</v>
      </c>
      <c r="B1414" s="1">
        <v>45940</v>
      </c>
      <c r="C1414" t="s">
        <v>15</v>
      </c>
      <c r="D1414" t="s">
        <v>16</v>
      </c>
      <c r="E1414">
        <v>35</v>
      </c>
      <c r="F1414">
        <v>10</v>
      </c>
      <c r="G1414">
        <v>0</v>
      </c>
      <c r="H1414">
        <v>350</v>
      </c>
      <c r="I1414">
        <f>AVERAGEIFS(sales_Data[units_sold], sales_Data[product_id],sales_Data[[#This Row],[product_id]])</f>
        <v>30.438356164383563</v>
      </c>
      <c r="J1414">
        <f>_xlfn.XLOOKUP(sales_Data[[#This Row],[product_id]],sales_Data[product_id],sales_Data[unit_price])</f>
        <v>35</v>
      </c>
    </row>
    <row r="1415" spans="1:10" x14ac:dyDescent="0.3">
      <c r="A1415" t="s">
        <v>1431</v>
      </c>
      <c r="B1415" s="1">
        <v>45940</v>
      </c>
      <c r="C1415" t="s">
        <v>18</v>
      </c>
      <c r="D1415" t="s">
        <v>19</v>
      </c>
      <c r="E1415">
        <v>120</v>
      </c>
      <c r="F1415">
        <v>20</v>
      </c>
      <c r="G1415">
        <v>0.1</v>
      </c>
      <c r="H1415">
        <v>2160</v>
      </c>
      <c r="I1415">
        <f>AVERAGEIFS(sales_Data[units_sold], sales_Data[product_id],sales_Data[[#This Row],[product_id]])</f>
        <v>30.473972602739725</v>
      </c>
      <c r="J1415">
        <f>_xlfn.XLOOKUP(sales_Data[[#This Row],[product_id]],sales_Data[product_id],sales_Data[unit_price])</f>
        <v>120</v>
      </c>
    </row>
    <row r="1416" spans="1:10" x14ac:dyDescent="0.3">
      <c r="A1416" t="s">
        <v>1432</v>
      </c>
      <c r="B1416" s="1">
        <v>45940</v>
      </c>
      <c r="C1416" t="s">
        <v>21</v>
      </c>
      <c r="D1416" t="s">
        <v>22</v>
      </c>
      <c r="E1416">
        <v>25</v>
      </c>
      <c r="F1416">
        <v>47</v>
      </c>
      <c r="G1416">
        <v>0</v>
      </c>
      <c r="H1416">
        <v>1175</v>
      </c>
      <c r="I1416">
        <f>AVERAGEIFS(sales_Data[units_sold], sales_Data[product_id],sales_Data[[#This Row],[product_id]])</f>
        <v>29.463013698630139</v>
      </c>
      <c r="J1416">
        <f>_xlfn.XLOOKUP(sales_Data[[#This Row],[product_id]],sales_Data[product_id],sales_Data[unit_price])</f>
        <v>25</v>
      </c>
    </row>
    <row r="1417" spans="1:10" x14ac:dyDescent="0.3">
      <c r="A1417" t="s">
        <v>1433</v>
      </c>
      <c r="B1417" s="1">
        <v>45941</v>
      </c>
      <c r="C1417" t="s">
        <v>9</v>
      </c>
      <c r="D1417" t="s">
        <v>10</v>
      </c>
      <c r="E1417">
        <v>45</v>
      </c>
      <c r="F1417">
        <v>34</v>
      </c>
      <c r="G1417">
        <v>0.1</v>
      </c>
      <c r="H1417">
        <v>1377</v>
      </c>
      <c r="I1417">
        <f>AVERAGEIFS(sales_Data[units_sold], sales_Data[product_id],sales_Data[[#This Row],[product_id]])</f>
        <v>31.479452054794521</v>
      </c>
      <c r="J1417">
        <f>_xlfn.XLOOKUP(sales_Data[[#This Row],[product_id]],sales_Data[product_id],sales_Data[unit_price])</f>
        <v>45</v>
      </c>
    </row>
    <row r="1418" spans="1:10" x14ac:dyDescent="0.3">
      <c r="A1418" t="s">
        <v>1434</v>
      </c>
      <c r="B1418" s="1">
        <v>45941</v>
      </c>
      <c r="C1418" t="s">
        <v>12</v>
      </c>
      <c r="D1418" t="s">
        <v>13</v>
      </c>
      <c r="E1418">
        <v>12.5</v>
      </c>
      <c r="F1418">
        <v>13</v>
      </c>
      <c r="G1418">
        <v>0</v>
      </c>
      <c r="H1418">
        <v>162.5</v>
      </c>
      <c r="I1418">
        <f>AVERAGEIFS(sales_Data[units_sold], sales_Data[product_id],sales_Data[[#This Row],[product_id]])</f>
        <v>31.794520547945204</v>
      </c>
      <c r="J1418">
        <f>_xlfn.XLOOKUP(sales_Data[[#This Row],[product_id]],sales_Data[product_id],sales_Data[unit_price])</f>
        <v>12.5</v>
      </c>
    </row>
    <row r="1419" spans="1:10" x14ac:dyDescent="0.3">
      <c r="A1419" t="s">
        <v>1435</v>
      </c>
      <c r="B1419" s="1">
        <v>45941</v>
      </c>
      <c r="C1419" t="s">
        <v>15</v>
      </c>
      <c r="D1419" t="s">
        <v>16</v>
      </c>
      <c r="E1419">
        <v>35</v>
      </c>
      <c r="F1419">
        <v>7</v>
      </c>
      <c r="G1419">
        <v>0</v>
      </c>
      <c r="H1419">
        <v>245</v>
      </c>
      <c r="I1419">
        <f>AVERAGEIFS(sales_Data[units_sold], sales_Data[product_id],sales_Data[[#This Row],[product_id]])</f>
        <v>30.438356164383563</v>
      </c>
      <c r="J1419">
        <f>_xlfn.XLOOKUP(sales_Data[[#This Row],[product_id]],sales_Data[product_id],sales_Data[unit_price])</f>
        <v>35</v>
      </c>
    </row>
    <row r="1420" spans="1:10" x14ac:dyDescent="0.3">
      <c r="A1420" t="s">
        <v>1436</v>
      </c>
      <c r="B1420" s="1">
        <v>45941</v>
      </c>
      <c r="C1420" t="s">
        <v>18</v>
      </c>
      <c r="D1420" t="s">
        <v>19</v>
      </c>
      <c r="E1420">
        <v>120</v>
      </c>
      <c r="F1420">
        <v>55</v>
      </c>
      <c r="G1420">
        <v>0</v>
      </c>
      <c r="H1420">
        <v>6600</v>
      </c>
      <c r="I1420">
        <f>AVERAGEIFS(sales_Data[units_sold], sales_Data[product_id],sales_Data[[#This Row],[product_id]])</f>
        <v>30.473972602739725</v>
      </c>
      <c r="J1420">
        <f>_xlfn.XLOOKUP(sales_Data[[#This Row],[product_id]],sales_Data[product_id],sales_Data[unit_price])</f>
        <v>120</v>
      </c>
    </row>
    <row r="1421" spans="1:10" x14ac:dyDescent="0.3">
      <c r="A1421" t="s">
        <v>1437</v>
      </c>
      <c r="B1421" s="1">
        <v>45941</v>
      </c>
      <c r="C1421" t="s">
        <v>21</v>
      </c>
      <c r="D1421" t="s">
        <v>22</v>
      </c>
      <c r="E1421">
        <v>25</v>
      </c>
      <c r="F1421">
        <v>30</v>
      </c>
      <c r="G1421">
        <v>0</v>
      </c>
      <c r="H1421">
        <v>750</v>
      </c>
      <c r="I1421">
        <f>AVERAGEIFS(sales_Data[units_sold], sales_Data[product_id],sales_Data[[#This Row],[product_id]])</f>
        <v>29.463013698630139</v>
      </c>
      <c r="J1421">
        <f>_xlfn.XLOOKUP(sales_Data[[#This Row],[product_id]],sales_Data[product_id],sales_Data[unit_price])</f>
        <v>25</v>
      </c>
    </row>
    <row r="1422" spans="1:10" x14ac:dyDescent="0.3">
      <c r="A1422" t="s">
        <v>1438</v>
      </c>
      <c r="B1422" s="1">
        <v>45942</v>
      </c>
      <c r="C1422" t="s">
        <v>9</v>
      </c>
      <c r="D1422" t="s">
        <v>10</v>
      </c>
      <c r="E1422">
        <v>45</v>
      </c>
      <c r="F1422">
        <v>15</v>
      </c>
      <c r="G1422">
        <v>0</v>
      </c>
      <c r="H1422">
        <v>675</v>
      </c>
      <c r="I1422">
        <f>AVERAGEIFS(sales_Data[units_sold], sales_Data[product_id],sales_Data[[#This Row],[product_id]])</f>
        <v>31.479452054794521</v>
      </c>
      <c r="J1422">
        <f>_xlfn.XLOOKUP(sales_Data[[#This Row],[product_id]],sales_Data[product_id],sales_Data[unit_price])</f>
        <v>45</v>
      </c>
    </row>
    <row r="1423" spans="1:10" x14ac:dyDescent="0.3">
      <c r="A1423" t="s">
        <v>1439</v>
      </c>
      <c r="B1423" s="1">
        <v>45942</v>
      </c>
      <c r="C1423" t="s">
        <v>12</v>
      </c>
      <c r="D1423" t="s">
        <v>13</v>
      </c>
      <c r="E1423">
        <v>12.5</v>
      </c>
      <c r="F1423">
        <v>34</v>
      </c>
      <c r="G1423">
        <v>0</v>
      </c>
      <c r="H1423">
        <v>425</v>
      </c>
      <c r="I1423">
        <f>AVERAGEIFS(sales_Data[units_sold], sales_Data[product_id],sales_Data[[#This Row],[product_id]])</f>
        <v>31.794520547945204</v>
      </c>
      <c r="J1423">
        <f>_xlfn.XLOOKUP(sales_Data[[#This Row],[product_id]],sales_Data[product_id],sales_Data[unit_price])</f>
        <v>12.5</v>
      </c>
    </row>
    <row r="1424" spans="1:10" x14ac:dyDescent="0.3">
      <c r="A1424" t="s">
        <v>1440</v>
      </c>
      <c r="B1424" s="1">
        <v>45942</v>
      </c>
      <c r="C1424" t="s">
        <v>15</v>
      </c>
      <c r="D1424" t="s">
        <v>16</v>
      </c>
      <c r="E1424">
        <v>35</v>
      </c>
      <c r="F1424">
        <v>21</v>
      </c>
      <c r="G1424">
        <v>0.1</v>
      </c>
      <c r="H1424">
        <v>661.5</v>
      </c>
      <c r="I1424">
        <f>AVERAGEIFS(sales_Data[units_sold], sales_Data[product_id],sales_Data[[#This Row],[product_id]])</f>
        <v>30.438356164383563</v>
      </c>
      <c r="J1424">
        <f>_xlfn.XLOOKUP(sales_Data[[#This Row],[product_id]],sales_Data[product_id],sales_Data[unit_price])</f>
        <v>35</v>
      </c>
    </row>
    <row r="1425" spans="1:10" x14ac:dyDescent="0.3">
      <c r="A1425" t="s">
        <v>1441</v>
      </c>
      <c r="B1425" s="1">
        <v>45942</v>
      </c>
      <c r="C1425" t="s">
        <v>18</v>
      </c>
      <c r="D1425" t="s">
        <v>19</v>
      </c>
      <c r="E1425">
        <v>120</v>
      </c>
      <c r="F1425">
        <v>40</v>
      </c>
      <c r="G1425">
        <v>0</v>
      </c>
      <c r="H1425">
        <v>4800</v>
      </c>
      <c r="I1425">
        <f>AVERAGEIFS(sales_Data[units_sold], sales_Data[product_id],sales_Data[[#This Row],[product_id]])</f>
        <v>30.473972602739725</v>
      </c>
      <c r="J1425">
        <f>_xlfn.XLOOKUP(sales_Data[[#This Row],[product_id]],sales_Data[product_id],sales_Data[unit_price])</f>
        <v>120</v>
      </c>
    </row>
    <row r="1426" spans="1:10" x14ac:dyDescent="0.3">
      <c r="A1426" t="s">
        <v>1442</v>
      </c>
      <c r="B1426" s="1">
        <v>45942</v>
      </c>
      <c r="C1426" t="s">
        <v>21</v>
      </c>
      <c r="D1426" t="s">
        <v>22</v>
      </c>
      <c r="E1426">
        <v>25</v>
      </c>
      <c r="F1426">
        <v>10</v>
      </c>
      <c r="G1426">
        <v>0</v>
      </c>
      <c r="H1426">
        <v>250</v>
      </c>
      <c r="I1426">
        <f>AVERAGEIFS(sales_Data[units_sold], sales_Data[product_id],sales_Data[[#This Row],[product_id]])</f>
        <v>29.463013698630139</v>
      </c>
      <c r="J1426">
        <f>_xlfn.XLOOKUP(sales_Data[[#This Row],[product_id]],sales_Data[product_id],sales_Data[unit_price])</f>
        <v>25</v>
      </c>
    </row>
    <row r="1427" spans="1:10" x14ac:dyDescent="0.3">
      <c r="A1427" t="s">
        <v>1443</v>
      </c>
      <c r="B1427" s="1">
        <v>45943</v>
      </c>
      <c r="C1427" t="s">
        <v>9</v>
      </c>
      <c r="D1427" t="s">
        <v>10</v>
      </c>
      <c r="E1427">
        <v>45</v>
      </c>
      <c r="F1427">
        <v>47</v>
      </c>
      <c r="G1427">
        <v>0</v>
      </c>
      <c r="H1427">
        <v>2115</v>
      </c>
      <c r="I1427">
        <f>AVERAGEIFS(sales_Data[units_sold], sales_Data[product_id],sales_Data[[#This Row],[product_id]])</f>
        <v>31.479452054794521</v>
      </c>
      <c r="J1427">
        <f>_xlfn.XLOOKUP(sales_Data[[#This Row],[product_id]],sales_Data[product_id],sales_Data[unit_price])</f>
        <v>45</v>
      </c>
    </row>
    <row r="1428" spans="1:10" x14ac:dyDescent="0.3">
      <c r="A1428" t="s">
        <v>1444</v>
      </c>
      <c r="B1428" s="1">
        <v>45943</v>
      </c>
      <c r="C1428" t="s">
        <v>12</v>
      </c>
      <c r="D1428" t="s">
        <v>13</v>
      </c>
      <c r="E1428">
        <v>12.5</v>
      </c>
      <c r="F1428">
        <v>22</v>
      </c>
      <c r="G1428">
        <v>0</v>
      </c>
      <c r="H1428">
        <v>275</v>
      </c>
      <c r="I1428">
        <f>AVERAGEIFS(sales_Data[units_sold], sales_Data[product_id],sales_Data[[#This Row],[product_id]])</f>
        <v>31.794520547945204</v>
      </c>
      <c r="J1428">
        <f>_xlfn.XLOOKUP(sales_Data[[#This Row],[product_id]],sales_Data[product_id],sales_Data[unit_price])</f>
        <v>12.5</v>
      </c>
    </row>
    <row r="1429" spans="1:10" x14ac:dyDescent="0.3">
      <c r="A1429" t="s">
        <v>1445</v>
      </c>
      <c r="B1429" s="1">
        <v>45943</v>
      </c>
      <c r="C1429" t="s">
        <v>15</v>
      </c>
      <c r="D1429" t="s">
        <v>16</v>
      </c>
      <c r="E1429">
        <v>35</v>
      </c>
      <c r="F1429">
        <v>12</v>
      </c>
      <c r="G1429">
        <v>0.1</v>
      </c>
      <c r="H1429">
        <v>378</v>
      </c>
      <c r="I1429">
        <f>AVERAGEIFS(sales_Data[units_sold], sales_Data[product_id],sales_Data[[#This Row],[product_id]])</f>
        <v>30.438356164383563</v>
      </c>
      <c r="J1429">
        <f>_xlfn.XLOOKUP(sales_Data[[#This Row],[product_id]],sales_Data[product_id],sales_Data[unit_price])</f>
        <v>35</v>
      </c>
    </row>
    <row r="1430" spans="1:10" x14ac:dyDescent="0.3">
      <c r="A1430" t="s">
        <v>1446</v>
      </c>
      <c r="B1430" s="1">
        <v>45943</v>
      </c>
      <c r="C1430" t="s">
        <v>18</v>
      </c>
      <c r="D1430" t="s">
        <v>19</v>
      </c>
      <c r="E1430">
        <v>120</v>
      </c>
      <c r="F1430">
        <v>47</v>
      </c>
      <c r="G1430">
        <v>0</v>
      </c>
      <c r="H1430">
        <v>5640</v>
      </c>
      <c r="I1430">
        <f>AVERAGEIFS(sales_Data[units_sold], sales_Data[product_id],sales_Data[[#This Row],[product_id]])</f>
        <v>30.473972602739725</v>
      </c>
      <c r="J1430">
        <f>_xlfn.XLOOKUP(sales_Data[[#This Row],[product_id]],sales_Data[product_id],sales_Data[unit_price])</f>
        <v>120</v>
      </c>
    </row>
    <row r="1431" spans="1:10" x14ac:dyDescent="0.3">
      <c r="A1431" t="s">
        <v>1447</v>
      </c>
      <c r="B1431" s="1">
        <v>45943</v>
      </c>
      <c r="C1431" t="s">
        <v>21</v>
      </c>
      <c r="D1431" t="s">
        <v>22</v>
      </c>
      <c r="E1431">
        <v>25</v>
      </c>
      <c r="F1431">
        <v>37</v>
      </c>
      <c r="G1431">
        <v>0.1</v>
      </c>
      <c r="H1431">
        <v>832.5</v>
      </c>
      <c r="I1431">
        <f>AVERAGEIFS(sales_Data[units_sold], sales_Data[product_id],sales_Data[[#This Row],[product_id]])</f>
        <v>29.463013698630139</v>
      </c>
      <c r="J1431">
        <f>_xlfn.XLOOKUP(sales_Data[[#This Row],[product_id]],sales_Data[product_id],sales_Data[unit_price])</f>
        <v>25</v>
      </c>
    </row>
    <row r="1432" spans="1:10" x14ac:dyDescent="0.3">
      <c r="A1432" t="s">
        <v>1448</v>
      </c>
      <c r="B1432" s="1">
        <v>45944</v>
      </c>
      <c r="C1432" t="s">
        <v>9</v>
      </c>
      <c r="D1432" t="s">
        <v>10</v>
      </c>
      <c r="E1432">
        <v>45</v>
      </c>
      <c r="F1432">
        <v>21</v>
      </c>
      <c r="G1432">
        <v>0</v>
      </c>
      <c r="H1432">
        <v>945</v>
      </c>
      <c r="I1432">
        <f>AVERAGEIFS(sales_Data[units_sold], sales_Data[product_id],sales_Data[[#This Row],[product_id]])</f>
        <v>31.479452054794521</v>
      </c>
      <c r="J1432">
        <f>_xlfn.XLOOKUP(sales_Data[[#This Row],[product_id]],sales_Data[product_id],sales_Data[unit_price])</f>
        <v>45</v>
      </c>
    </row>
    <row r="1433" spans="1:10" x14ac:dyDescent="0.3">
      <c r="A1433" t="s">
        <v>1449</v>
      </c>
      <c r="B1433" s="1">
        <v>45944</v>
      </c>
      <c r="C1433" t="s">
        <v>12</v>
      </c>
      <c r="D1433" t="s">
        <v>13</v>
      </c>
      <c r="E1433">
        <v>12.5</v>
      </c>
      <c r="F1433">
        <v>48</v>
      </c>
      <c r="G1433">
        <v>0</v>
      </c>
      <c r="H1433">
        <v>600</v>
      </c>
      <c r="I1433">
        <f>AVERAGEIFS(sales_Data[units_sold], sales_Data[product_id],sales_Data[[#This Row],[product_id]])</f>
        <v>31.794520547945204</v>
      </c>
      <c r="J1433">
        <f>_xlfn.XLOOKUP(sales_Data[[#This Row],[product_id]],sales_Data[product_id],sales_Data[unit_price])</f>
        <v>12.5</v>
      </c>
    </row>
    <row r="1434" spans="1:10" x14ac:dyDescent="0.3">
      <c r="A1434" t="s">
        <v>1450</v>
      </c>
      <c r="B1434" s="1">
        <v>45944</v>
      </c>
      <c r="C1434" t="s">
        <v>15</v>
      </c>
      <c r="D1434" t="s">
        <v>16</v>
      </c>
      <c r="E1434">
        <v>35</v>
      </c>
      <c r="F1434">
        <v>34</v>
      </c>
      <c r="G1434">
        <v>0</v>
      </c>
      <c r="H1434">
        <v>1190</v>
      </c>
      <c r="I1434">
        <f>AVERAGEIFS(sales_Data[units_sold], sales_Data[product_id],sales_Data[[#This Row],[product_id]])</f>
        <v>30.438356164383563</v>
      </c>
      <c r="J1434">
        <f>_xlfn.XLOOKUP(sales_Data[[#This Row],[product_id]],sales_Data[product_id],sales_Data[unit_price])</f>
        <v>35</v>
      </c>
    </row>
    <row r="1435" spans="1:10" x14ac:dyDescent="0.3">
      <c r="A1435" t="s">
        <v>1451</v>
      </c>
      <c r="B1435" s="1">
        <v>45944</v>
      </c>
      <c r="C1435" t="s">
        <v>18</v>
      </c>
      <c r="D1435" t="s">
        <v>19</v>
      </c>
      <c r="E1435">
        <v>120</v>
      </c>
      <c r="F1435">
        <v>10</v>
      </c>
      <c r="G1435">
        <v>0</v>
      </c>
      <c r="H1435">
        <v>1200</v>
      </c>
      <c r="I1435">
        <f>AVERAGEIFS(sales_Data[units_sold], sales_Data[product_id],sales_Data[[#This Row],[product_id]])</f>
        <v>30.473972602739725</v>
      </c>
      <c r="J1435">
        <f>_xlfn.XLOOKUP(sales_Data[[#This Row],[product_id]],sales_Data[product_id],sales_Data[unit_price])</f>
        <v>120</v>
      </c>
    </row>
    <row r="1436" spans="1:10" x14ac:dyDescent="0.3">
      <c r="A1436" t="s">
        <v>1452</v>
      </c>
      <c r="B1436" s="1">
        <v>45944</v>
      </c>
      <c r="C1436" t="s">
        <v>21</v>
      </c>
      <c r="D1436" t="s">
        <v>22</v>
      </c>
      <c r="E1436">
        <v>25</v>
      </c>
      <c r="F1436">
        <v>28</v>
      </c>
      <c r="G1436">
        <v>0.1</v>
      </c>
      <c r="H1436">
        <v>630</v>
      </c>
      <c r="I1436">
        <f>AVERAGEIFS(sales_Data[units_sold], sales_Data[product_id],sales_Data[[#This Row],[product_id]])</f>
        <v>29.463013698630139</v>
      </c>
      <c r="J1436">
        <f>_xlfn.XLOOKUP(sales_Data[[#This Row],[product_id]],sales_Data[product_id],sales_Data[unit_price])</f>
        <v>25</v>
      </c>
    </row>
    <row r="1437" spans="1:10" x14ac:dyDescent="0.3">
      <c r="A1437" t="s">
        <v>1453</v>
      </c>
      <c r="B1437" s="1">
        <v>45945</v>
      </c>
      <c r="C1437" t="s">
        <v>9</v>
      </c>
      <c r="D1437" t="s">
        <v>10</v>
      </c>
      <c r="E1437">
        <v>45</v>
      </c>
      <c r="F1437">
        <v>18</v>
      </c>
      <c r="G1437">
        <v>0.2</v>
      </c>
      <c r="H1437">
        <v>648</v>
      </c>
      <c r="I1437">
        <f>AVERAGEIFS(sales_Data[units_sold], sales_Data[product_id],sales_Data[[#This Row],[product_id]])</f>
        <v>31.479452054794521</v>
      </c>
      <c r="J1437">
        <f>_xlfn.XLOOKUP(sales_Data[[#This Row],[product_id]],sales_Data[product_id],sales_Data[unit_price])</f>
        <v>45</v>
      </c>
    </row>
    <row r="1438" spans="1:10" x14ac:dyDescent="0.3">
      <c r="A1438" t="s">
        <v>1454</v>
      </c>
      <c r="B1438" s="1">
        <v>45945</v>
      </c>
      <c r="C1438" t="s">
        <v>12</v>
      </c>
      <c r="D1438" t="s">
        <v>13</v>
      </c>
      <c r="E1438">
        <v>12.5</v>
      </c>
      <c r="F1438">
        <v>23</v>
      </c>
      <c r="G1438">
        <v>0</v>
      </c>
      <c r="H1438">
        <v>287.5</v>
      </c>
      <c r="I1438">
        <f>AVERAGEIFS(sales_Data[units_sold], sales_Data[product_id],sales_Data[[#This Row],[product_id]])</f>
        <v>31.794520547945204</v>
      </c>
      <c r="J1438">
        <f>_xlfn.XLOOKUP(sales_Data[[#This Row],[product_id]],sales_Data[product_id],sales_Data[unit_price])</f>
        <v>12.5</v>
      </c>
    </row>
    <row r="1439" spans="1:10" x14ac:dyDescent="0.3">
      <c r="A1439" t="s">
        <v>1455</v>
      </c>
      <c r="B1439" s="1">
        <v>45945</v>
      </c>
      <c r="C1439" t="s">
        <v>15</v>
      </c>
      <c r="D1439" t="s">
        <v>16</v>
      </c>
      <c r="E1439">
        <v>35</v>
      </c>
      <c r="F1439">
        <v>37</v>
      </c>
      <c r="G1439">
        <v>0</v>
      </c>
      <c r="H1439">
        <v>1295</v>
      </c>
      <c r="I1439">
        <f>AVERAGEIFS(sales_Data[units_sold], sales_Data[product_id],sales_Data[[#This Row],[product_id]])</f>
        <v>30.438356164383563</v>
      </c>
      <c r="J1439">
        <f>_xlfn.XLOOKUP(sales_Data[[#This Row],[product_id]],sales_Data[product_id],sales_Data[unit_price])</f>
        <v>35</v>
      </c>
    </row>
    <row r="1440" spans="1:10" x14ac:dyDescent="0.3">
      <c r="A1440" t="s">
        <v>1456</v>
      </c>
      <c r="B1440" s="1">
        <v>45945</v>
      </c>
      <c r="C1440" t="s">
        <v>18</v>
      </c>
      <c r="D1440" t="s">
        <v>19</v>
      </c>
      <c r="E1440">
        <v>120</v>
      </c>
      <c r="F1440">
        <v>11</v>
      </c>
      <c r="G1440">
        <v>0</v>
      </c>
      <c r="H1440">
        <v>1320</v>
      </c>
      <c r="I1440">
        <f>AVERAGEIFS(sales_Data[units_sold], sales_Data[product_id],sales_Data[[#This Row],[product_id]])</f>
        <v>30.473972602739725</v>
      </c>
      <c r="J1440">
        <f>_xlfn.XLOOKUP(sales_Data[[#This Row],[product_id]],sales_Data[product_id],sales_Data[unit_price])</f>
        <v>120</v>
      </c>
    </row>
    <row r="1441" spans="1:10" x14ac:dyDescent="0.3">
      <c r="A1441" t="s">
        <v>1457</v>
      </c>
      <c r="B1441" s="1">
        <v>45945</v>
      </c>
      <c r="C1441" t="s">
        <v>21</v>
      </c>
      <c r="D1441" t="s">
        <v>22</v>
      </c>
      <c r="E1441">
        <v>25</v>
      </c>
      <c r="F1441">
        <v>38</v>
      </c>
      <c r="G1441">
        <v>0</v>
      </c>
      <c r="H1441">
        <v>950</v>
      </c>
      <c r="I1441">
        <f>AVERAGEIFS(sales_Data[units_sold], sales_Data[product_id],sales_Data[[#This Row],[product_id]])</f>
        <v>29.463013698630139</v>
      </c>
      <c r="J1441">
        <f>_xlfn.XLOOKUP(sales_Data[[#This Row],[product_id]],sales_Data[product_id],sales_Data[unit_price])</f>
        <v>25</v>
      </c>
    </row>
    <row r="1442" spans="1:10" x14ac:dyDescent="0.3">
      <c r="A1442" t="s">
        <v>1458</v>
      </c>
      <c r="B1442" s="1">
        <v>45946</v>
      </c>
      <c r="C1442" t="s">
        <v>9</v>
      </c>
      <c r="D1442" t="s">
        <v>10</v>
      </c>
      <c r="E1442">
        <v>45</v>
      </c>
      <c r="F1442">
        <v>49</v>
      </c>
      <c r="G1442">
        <v>0</v>
      </c>
      <c r="H1442">
        <v>2205</v>
      </c>
      <c r="I1442">
        <f>AVERAGEIFS(sales_Data[units_sold], sales_Data[product_id],sales_Data[[#This Row],[product_id]])</f>
        <v>31.479452054794521</v>
      </c>
      <c r="J1442">
        <f>_xlfn.XLOOKUP(sales_Data[[#This Row],[product_id]],sales_Data[product_id],sales_Data[unit_price])</f>
        <v>45</v>
      </c>
    </row>
    <row r="1443" spans="1:10" x14ac:dyDescent="0.3">
      <c r="A1443" t="s">
        <v>1459</v>
      </c>
      <c r="B1443" s="1">
        <v>45946</v>
      </c>
      <c r="C1443" t="s">
        <v>12</v>
      </c>
      <c r="D1443" t="s">
        <v>13</v>
      </c>
      <c r="E1443">
        <v>12.5</v>
      </c>
      <c r="F1443">
        <v>19</v>
      </c>
      <c r="G1443">
        <v>0.1</v>
      </c>
      <c r="H1443">
        <v>213.75</v>
      </c>
      <c r="I1443">
        <f>AVERAGEIFS(sales_Data[units_sold], sales_Data[product_id],sales_Data[[#This Row],[product_id]])</f>
        <v>31.794520547945204</v>
      </c>
      <c r="J1443">
        <f>_xlfn.XLOOKUP(sales_Data[[#This Row],[product_id]],sales_Data[product_id],sales_Data[unit_price])</f>
        <v>12.5</v>
      </c>
    </row>
    <row r="1444" spans="1:10" x14ac:dyDescent="0.3">
      <c r="A1444" t="s">
        <v>1460</v>
      </c>
      <c r="B1444" s="1">
        <v>45946</v>
      </c>
      <c r="C1444" t="s">
        <v>15</v>
      </c>
      <c r="D1444" t="s">
        <v>16</v>
      </c>
      <c r="E1444">
        <v>35</v>
      </c>
      <c r="F1444">
        <v>46</v>
      </c>
      <c r="G1444">
        <v>0.1</v>
      </c>
      <c r="H1444">
        <v>1449</v>
      </c>
      <c r="I1444">
        <f>AVERAGEIFS(sales_Data[units_sold], sales_Data[product_id],sales_Data[[#This Row],[product_id]])</f>
        <v>30.438356164383563</v>
      </c>
      <c r="J1444">
        <f>_xlfn.XLOOKUP(sales_Data[[#This Row],[product_id]],sales_Data[product_id],sales_Data[unit_price])</f>
        <v>35</v>
      </c>
    </row>
    <row r="1445" spans="1:10" x14ac:dyDescent="0.3">
      <c r="A1445" t="s">
        <v>1461</v>
      </c>
      <c r="B1445" s="1">
        <v>45946</v>
      </c>
      <c r="C1445" t="s">
        <v>18</v>
      </c>
      <c r="D1445" t="s">
        <v>19</v>
      </c>
      <c r="E1445">
        <v>120</v>
      </c>
      <c r="F1445">
        <v>30</v>
      </c>
      <c r="G1445">
        <v>0</v>
      </c>
      <c r="H1445">
        <v>3600</v>
      </c>
      <c r="I1445">
        <f>AVERAGEIFS(sales_Data[units_sold], sales_Data[product_id],sales_Data[[#This Row],[product_id]])</f>
        <v>30.473972602739725</v>
      </c>
      <c r="J1445">
        <f>_xlfn.XLOOKUP(sales_Data[[#This Row],[product_id]],sales_Data[product_id],sales_Data[unit_price])</f>
        <v>120</v>
      </c>
    </row>
    <row r="1446" spans="1:10" x14ac:dyDescent="0.3">
      <c r="A1446" t="s">
        <v>1462</v>
      </c>
      <c r="B1446" s="1">
        <v>45946</v>
      </c>
      <c r="C1446" t="s">
        <v>21</v>
      </c>
      <c r="D1446" t="s">
        <v>22</v>
      </c>
      <c r="E1446">
        <v>25</v>
      </c>
      <c r="F1446">
        <v>6</v>
      </c>
      <c r="G1446">
        <v>0.2</v>
      </c>
      <c r="H1446">
        <v>120</v>
      </c>
      <c r="I1446">
        <f>AVERAGEIFS(sales_Data[units_sold], sales_Data[product_id],sales_Data[[#This Row],[product_id]])</f>
        <v>29.463013698630139</v>
      </c>
      <c r="J1446">
        <f>_xlfn.XLOOKUP(sales_Data[[#This Row],[product_id]],sales_Data[product_id],sales_Data[unit_price])</f>
        <v>25</v>
      </c>
    </row>
    <row r="1447" spans="1:10" x14ac:dyDescent="0.3">
      <c r="A1447" t="s">
        <v>1463</v>
      </c>
      <c r="B1447" s="1">
        <v>45947</v>
      </c>
      <c r="C1447" t="s">
        <v>9</v>
      </c>
      <c r="D1447" t="s">
        <v>10</v>
      </c>
      <c r="E1447">
        <v>45</v>
      </c>
      <c r="F1447">
        <v>41</v>
      </c>
      <c r="G1447">
        <v>0.1</v>
      </c>
      <c r="H1447">
        <v>1660.5</v>
      </c>
      <c r="I1447">
        <f>AVERAGEIFS(sales_Data[units_sold], sales_Data[product_id],sales_Data[[#This Row],[product_id]])</f>
        <v>31.479452054794521</v>
      </c>
      <c r="J1447">
        <f>_xlfn.XLOOKUP(sales_Data[[#This Row],[product_id]],sales_Data[product_id],sales_Data[unit_price])</f>
        <v>45</v>
      </c>
    </row>
    <row r="1448" spans="1:10" x14ac:dyDescent="0.3">
      <c r="A1448" t="s">
        <v>1464</v>
      </c>
      <c r="B1448" s="1">
        <v>45947</v>
      </c>
      <c r="C1448" t="s">
        <v>12</v>
      </c>
      <c r="D1448" t="s">
        <v>13</v>
      </c>
      <c r="E1448">
        <v>12.5</v>
      </c>
      <c r="F1448">
        <v>16</v>
      </c>
      <c r="G1448">
        <v>0</v>
      </c>
      <c r="H1448">
        <v>200</v>
      </c>
      <c r="I1448">
        <f>AVERAGEIFS(sales_Data[units_sold], sales_Data[product_id],sales_Data[[#This Row],[product_id]])</f>
        <v>31.794520547945204</v>
      </c>
      <c r="J1448">
        <f>_xlfn.XLOOKUP(sales_Data[[#This Row],[product_id]],sales_Data[product_id],sales_Data[unit_price])</f>
        <v>12.5</v>
      </c>
    </row>
    <row r="1449" spans="1:10" x14ac:dyDescent="0.3">
      <c r="A1449" t="s">
        <v>1465</v>
      </c>
      <c r="B1449" s="1">
        <v>45947</v>
      </c>
      <c r="C1449" t="s">
        <v>15</v>
      </c>
      <c r="D1449" t="s">
        <v>16</v>
      </c>
      <c r="E1449">
        <v>35</v>
      </c>
      <c r="F1449">
        <v>24</v>
      </c>
      <c r="G1449">
        <v>0</v>
      </c>
      <c r="H1449">
        <v>840</v>
      </c>
      <c r="I1449">
        <f>AVERAGEIFS(sales_Data[units_sold], sales_Data[product_id],sales_Data[[#This Row],[product_id]])</f>
        <v>30.438356164383563</v>
      </c>
      <c r="J1449">
        <f>_xlfn.XLOOKUP(sales_Data[[#This Row],[product_id]],sales_Data[product_id],sales_Data[unit_price])</f>
        <v>35</v>
      </c>
    </row>
    <row r="1450" spans="1:10" x14ac:dyDescent="0.3">
      <c r="A1450" t="s">
        <v>1466</v>
      </c>
      <c r="B1450" s="1">
        <v>45947</v>
      </c>
      <c r="C1450" t="s">
        <v>18</v>
      </c>
      <c r="D1450" t="s">
        <v>19</v>
      </c>
      <c r="E1450">
        <v>120</v>
      </c>
      <c r="F1450">
        <v>6</v>
      </c>
      <c r="G1450">
        <v>0.1</v>
      </c>
      <c r="H1450">
        <v>648</v>
      </c>
      <c r="I1450">
        <f>AVERAGEIFS(sales_Data[units_sold], sales_Data[product_id],sales_Data[[#This Row],[product_id]])</f>
        <v>30.473972602739725</v>
      </c>
      <c r="J1450">
        <f>_xlfn.XLOOKUP(sales_Data[[#This Row],[product_id]],sales_Data[product_id],sales_Data[unit_price])</f>
        <v>120</v>
      </c>
    </row>
    <row r="1451" spans="1:10" x14ac:dyDescent="0.3">
      <c r="A1451" t="s">
        <v>1467</v>
      </c>
      <c r="B1451" s="1">
        <v>45947</v>
      </c>
      <c r="C1451" t="s">
        <v>21</v>
      </c>
      <c r="D1451" t="s">
        <v>22</v>
      </c>
      <c r="E1451">
        <v>25</v>
      </c>
      <c r="F1451">
        <v>37</v>
      </c>
      <c r="G1451">
        <v>0.1</v>
      </c>
      <c r="H1451">
        <v>832.5</v>
      </c>
      <c r="I1451">
        <f>AVERAGEIFS(sales_Data[units_sold], sales_Data[product_id],sales_Data[[#This Row],[product_id]])</f>
        <v>29.463013698630139</v>
      </c>
      <c r="J1451">
        <f>_xlfn.XLOOKUP(sales_Data[[#This Row],[product_id]],sales_Data[product_id],sales_Data[unit_price])</f>
        <v>25</v>
      </c>
    </row>
    <row r="1452" spans="1:10" x14ac:dyDescent="0.3">
      <c r="A1452" t="s">
        <v>1468</v>
      </c>
      <c r="B1452" s="1">
        <v>45948</v>
      </c>
      <c r="C1452" t="s">
        <v>9</v>
      </c>
      <c r="D1452" t="s">
        <v>10</v>
      </c>
      <c r="E1452">
        <v>45</v>
      </c>
      <c r="F1452">
        <v>36</v>
      </c>
      <c r="G1452">
        <v>0</v>
      </c>
      <c r="H1452">
        <v>1620</v>
      </c>
      <c r="I1452">
        <f>AVERAGEIFS(sales_Data[units_sold], sales_Data[product_id],sales_Data[[#This Row],[product_id]])</f>
        <v>31.479452054794521</v>
      </c>
      <c r="J1452">
        <f>_xlfn.XLOOKUP(sales_Data[[#This Row],[product_id]],sales_Data[product_id],sales_Data[unit_price])</f>
        <v>45</v>
      </c>
    </row>
    <row r="1453" spans="1:10" x14ac:dyDescent="0.3">
      <c r="A1453" t="s">
        <v>1469</v>
      </c>
      <c r="B1453" s="1">
        <v>45948</v>
      </c>
      <c r="C1453" t="s">
        <v>12</v>
      </c>
      <c r="D1453" t="s">
        <v>13</v>
      </c>
      <c r="E1453">
        <v>12.5</v>
      </c>
      <c r="F1453">
        <v>39</v>
      </c>
      <c r="G1453">
        <v>0</v>
      </c>
      <c r="H1453">
        <v>487.5</v>
      </c>
      <c r="I1453">
        <f>AVERAGEIFS(sales_Data[units_sold], sales_Data[product_id],sales_Data[[#This Row],[product_id]])</f>
        <v>31.794520547945204</v>
      </c>
      <c r="J1453">
        <f>_xlfn.XLOOKUP(sales_Data[[#This Row],[product_id]],sales_Data[product_id],sales_Data[unit_price])</f>
        <v>12.5</v>
      </c>
    </row>
    <row r="1454" spans="1:10" x14ac:dyDescent="0.3">
      <c r="A1454" t="s">
        <v>1470</v>
      </c>
      <c r="B1454" s="1">
        <v>45948</v>
      </c>
      <c r="C1454" t="s">
        <v>15</v>
      </c>
      <c r="D1454" t="s">
        <v>16</v>
      </c>
      <c r="E1454">
        <v>35</v>
      </c>
      <c r="F1454">
        <v>60</v>
      </c>
      <c r="G1454">
        <v>0.1</v>
      </c>
      <c r="H1454">
        <v>1890</v>
      </c>
      <c r="I1454">
        <f>AVERAGEIFS(sales_Data[units_sold], sales_Data[product_id],sales_Data[[#This Row],[product_id]])</f>
        <v>30.438356164383563</v>
      </c>
      <c r="J1454">
        <f>_xlfn.XLOOKUP(sales_Data[[#This Row],[product_id]],sales_Data[product_id],sales_Data[unit_price])</f>
        <v>35</v>
      </c>
    </row>
    <row r="1455" spans="1:10" x14ac:dyDescent="0.3">
      <c r="A1455" t="s">
        <v>1471</v>
      </c>
      <c r="B1455" s="1">
        <v>45948</v>
      </c>
      <c r="C1455" t="s">
        <v>18</v>
      </c>
      <c r="D1455" t="s">
        <v>19</v>
      </c>
      <c r="E1455">
        <v>120</v>
      </c>
      <c r="F1455">
        <v>52</v>
      </c>
      <c r="G1455">
        <v>0</v>
      </c>
      <c r="H1455">
        <v>6240</v>
      </c>
      <c r="I1455">
        <f>AVERAGEIFS(sales_Data[units_sold], sales_Data[product_id],sales_Data[[#This Row],[product_id]])</f>
        <v>30.473972602739725</v>
      </c>
      <c r="J1455">
        <f>_xlfn.XLOOKUP(sales_Data[[#This Row],[product_id]],sales_Data[product_id],sales_Data[unit_price])</f>
        <v>120</v>
      </c>
    </row>
    <row r="1456" spans="1:10" x14ac:dyDescent="0.3">
      <c r="A1456" t="s">
        <v>1472</v>
      </c>
      <c r="B1456" s="1">
        <v>45948</v>
      </c>
      <c r="C1456" t="s">
        <v>21</v>
      </c>
      <c r="D1456" t="s">
        <v>22</v>
      </c>
      <c r="E1456">
        <v>25</v>
      </c>
      <c r="F1456">
        <v>66</v>
      </c>
      <c r="G1456">
        <v>0</v>
      </c>
      <c r="H1456">
        <v>1650</v>
      </c>
      <c r="I1456">
        <f>AVERAGEIFS(sales_Data[units_sold], sales_Data[product_id],sales_Data[[#This Row],[product_id]])</f>
        <v>29.463013698630139</v>
      </c>
      <c r="J1456">
        <f>_xlfn.XLOOKUP(sales_Data[[#This Row],[product_id]],sales_Data[product_id],sales_Data[unit_price])</f>
        <v>25</v>
      </c>
    </row>
    <row r="1457" spans="1:10" x14ac:dyDescent="0.3">
      <c r="A1457" t="s">
        <v>1473</v>
      </c>
      <c r="B1457" s="1">
        <v>45949</v>
      </c>
      <c r="C1457" t="s">
        <v>9</v>
      </c>
      <c r="D1457" t="s">
        <v>10</v>
      </c>
      <c r="E1457">
        <v>45</v>
      </c>
      <c r="F1457">
        <v>45</v>
      </c>
      <c r="G1457">
        <v>0</v>
      </c>
      <c r="H1457">
        <v>2025</v>
      </c>
      <c r="I1457">
        <f>AVERAGEIFS(sales_Data[units_sold], sales_Data[product_id],sales_Data[[#This Row],[product_id]])</f>
        <v>31.479452054794521</v>
      </c>
      <c r="J1457">
        <f>_xlfn.XLOOKUP(sales_Data[[#This Row],[product_id]],sales_Data[product_id],sales_Data[unit_price])</f>
        <v>45</v>
      </c>
    </row>
    <row r="1458" spans="1:10" x14ac:dyDescent="0.3">
      <c r="A1458" t="s">
        <v>1474</v>
      </c>
      <c r="B1458" s="1">
        <v>45949</v>
      </c>
      <c r="C1458" t="s">
        <v>12</v>
      </c>
      <c r="D1458" t="s">
        <v>13</v>
      </c>
      <c r="E1458">
        <v>12.5</v>
      </c>
      <c r="F1458">
        <v>12</v>
      </c>
      <c r="G1458">
        <v>0</v>
      </c>
      <c r="H1458">
        <v>150</v>
      </c>
      <c r="I1458">
        <f>AVERAGEIFS(sales_Data[units_sold], sales_Data[product_id],sales_Data[[#This Row],[product_id]])</f>
        <v>31.794520547945204</v>
      </c>
      <c r="J1458">
        <f>_xlfn.XLOOKUP(sales_Data[[#This Row],[product_id]],sales_Data[product_id],sales_Data[unit_price])</f>
        <v>12.5</v>
      </c>
    </row>
    <row r="1459" spans="1:10" x14ac:dyDescent="0.3">
      <c r="A1459" t="s">
        <v>1475</v>
      </c>
      <c r="B1459" s="1">
        <v>45949</v>
      </c>
      <c r="C1459" t="s">
        <v>15</v>
      </c>
      <c r="D1459" t="s">
        <v>16</v>
      </c>
      <c r="E1459">
        <v>35</v>
      </c>
      <c r="F1459">
        <v>61</v>
      </c>
      <c r="G1459">
        <v>0</v>
      </c>
      <c r="H1459">
        <v>2135</v>
      </c>
      <c r="I1459">
        <f>AVERAGEIFS(sales_Data[units_sold], sales_Data[product_id],sales_Data[[#This Row],[product_id]])</f>
        <v>30.438356164383563</v>
      </c>
      <c r="J1459">
        <f>_xlfn.XLOOKUP(sales_Data[[#This Row],[product_id]],sales_Data[product_id],sales_Data[unit_price])</f>
        <v>35</v>
      </c>
    </row>
    <row r="1460" spans="1:10" x14ac:dyDescent="0.3">
      <c r="A1460" t="s">
        <v>1476</v>
      </c>
      <c r="B1460" s="1">
        <v>45949</v>
      </c>
      <c r="C1460" t="s">
        <v>18</v>
      </c>
      <c r="D1460" t="s">
        <v>19</v>
      </c>
      <c r="E1460">
        <v>120</v>
      </c>
      <c r="F1460">
        <v>21</v>
      </c>
      <c r="G1460">
        <v>0</v>
      </c>
      <c r="H1460">
        <v>2520</v>
      </c>
      <c r="I1460">
        <f>AVERAGEIFS(sales_Data[units_sold], sales_Data[product_id],sales_Data[[#This Row],[product_id]])</f>
        <v>30.473972602739725</v>
      </c>
      <c r="J1460">
        <f>_xlfn.XLOOKUP(sales_Data[[#This Row],[product_id]],sales_Data[product_id],sales_Data[unit_price])</f>
        <v>120</v>
      </c>
    </row>
    <row r="1461" spans="1:10" x14ac:dyDescent="0.3">
      <c r="A1461" t="s">
        <v>1477</v>
      </c>
      <c r="B1461" s="1">
        <v>45949</v>
      </c>
      <c r="C1461" t="s">
        <v>21</v>
      </c>
      <c r="D1461" t="s">
        <v>22</v>
      </c>
      <c r="E1461">
        <v>25</v>
      </c>
      <c r="F1461">
        <v>7</v>
      </c>
      <c r="G1461">
        <v>0</v>
      </c>
      <c r="H1461">
        <v>175</v>
      </c>
      <c r="I1461">
        <f>AVERAGEIFS(sales_Data[units_sold], sales_Data[product_id],sales_Data[[#This Row],[product_id]])</f>
        <v>29.463013698630139</v>
      </c>
      <c r="J1461">
        <f>_xlfn.XLOOKUP(sales_Data[[#This Row],[product_id]],sales_Data[product_id],sales_Data[unit_price])</f>
        <v>25</v>
      </c>
    </row>
    <row r="1462" spans="1:10" x14ac:dyDescent="0.3">
      <c r="A1462" t="s">
        <v>1478</v>
      </c>
      <c r="B1462" s="1">
        <v>45950</v>
      </c>
      <c r="C1462" t="s">
        <v>9</v>
      </c>
      <c r="D1462" t="s">
        <v>10</v>
      </c>
      <c r="E1462">
        <v>45</v>
      </c>
      <c r="F1462">
        <v>33</v>
      </c>
      <c r="G1462">
        <v>0.2</v>
      </c>
      <c r="H1462">
        <v>1188</v>
      </c>
      <c r="I1462">
        <f>AVERAGEIFS(sales_Data[units_sold], sales_Data[product_id],sales_Data[[#This Row],[product_id]])</f>
        <v>31.479452054794521</v>
      </c>
      <c r="J1462">
        <f>_xlfn.XLOOKUP(sales_Data[[#This Row],[product_id]],sales_Data[product_id],sales_Data[unit_price])</f>
        <v>45</v>
      </c>
    </row>
    <row r="1463" spans="1:10" x14ac:dyDescent="0.3">
      <c r="A1463" t="s">
        <v>1479</v>
      </c>
      <c r="B1463" s="1">
        <v>45950</v>
      </c>
      <c r="C1463" t="s">
        <v>12</v>
      </c>
      <c r="D1463" t="s">
        <v>13</v>
      </c>
      <c r="E1463">
        <v>12.5</v>
      </c>
      <c r="F1463">
        <v>44</v>
      </c>
      <c r="G1463">
        <v>0</v>
      </c>
      <c r="H1463">
        <v>550</v>
      </c>
      <c r="I1463">
        <f>AVERAGEIFS(sales_Data[units_sold], sales_Data[product_id],sales_Data[[#This Row],[product_id]])</f>
        <v>31.794520547945204</v>
      </c>
      <c r="J1463">
        <f>_xlfn.XLOOKUP(sales_Data[[#This Row],[product_id]],sales_Data[product_id],sales_Data[unit_price])</f>
        <v>12.5</v>
      </c>
    </row>
    <row r="1464" spans="1:10" x14ac:dyDescent="0.3">
      <c r="A1464" t="s">
        <v>1480</v>
      </c>
      <c r="B1464" s="1">
        <v>45950</v>
      </c>
      <c r="C1464" t="s">
        <v>15</v>
      </c>
      <c r="D1464" t="s">
        <v>16</v>
      </c>
      <c r="E1464">
        <v>35</v>
      </c>
      <c r="F1464">
        <v>16</v>
      </c>
      <c r="G1464">
        <v>0.1</v>
      </c>
      <c r="H1464">
        <v>504</v>
      </c>
      <c r="I1464">
        <f>AVERAGEIFS(sales_Data[units_sold], sales_Data[product_id],sales_Data[[#This Row],[product_id]])</f>
        <v>30.438356164383563</v>
      </c>
      <c r="J1464">
        <f>_xlfn.XLOOKUP(sales_Data[[#This Row],[product_id]],sales_Data[product_id],sales_Data[unit_price])</f>
        <v>35</v>
      </c>
    </row>
    <row r="1465" spans="1:10" x14ac:dyDescent="0.3">
      <c r="A1465" t="s">
        <v>1481</v>
      </c>
      <c r="B1465" s="1">
        <v>45950</v>
      </c>
      <c r="C1465" t="s">
        <v>18</v>
      </c>
      <c r="D1465" t="s">
        <v>19</v>
      </c>
      <c r="E1465">
        <v>120</v>
      </c>
      <c r="F1465">
        <v>42</v>
      </c>
      <c r="G1465">
        <v>0</v>
      </c>
      <c r="H1465">
        <v>5040</v>
      </c>
      <c r="I1465">
        <f>AVERAGEIFS(sales_Data[units_sold], sales_Data[product_id],sales_Data[[#This Row],[product_id]])</f>
        <v>30.473972602739725</v>
      </c>
      <c r="J1465">
        <f>_xlfn.XLOOKUP(sales_Data[[#This Row],[product_id]],sales_Data[product_id],sales_Data[unit_price])</f>
        <v>120</v>
      </c>
    </row>
    <row r="1466" spans="1:10" x14ac:dyDescent="0.3">
      <c r="A1466" t="s">
        <v>1482</v>
      </c>
      <c r="B1466" s="1">
        <v>45950</v>
      </c>
      <c r="C1466" t="s">
        <v>21</v>
      </c>
      <c r="D1466" t="s">
        <v>22</v>
      </c>
      <c r="E1466">
        <v>25</v>
      </c>
      <c r="F1466">
        <v>19</v>
      </c>
      <c r="G1466">
        <v>0</v>
      </c>
      <c r="H1466">
        <v>475</v>
      </c>
      <c r="I1466">
        <f>AVERAGEIFS(sales_Data[units_sold], sales_Data[product_id],sales_Data[[#This Row],[product_id]])</f>
        <v>29.463013698630139</v>
      </c>
      <c r="J1466">
        <f>_xlfn.XLOOKUP(sales_Data[[#This Row],[product_id]],sales_Data[product_id],sales_Data[unit_price])</f>
        <v>25</v>
      </c>
    </row>
    <row r="1467" spans="1:10" x14ac:dyDescent="0.3">
      <c r="A1467" t="s">
        <v>1483</v>
      </c>
      <c r="B1467" s="1">
        <v>45951</v>
      </c>
      <c r="C1467" t="s">
        <v>9</v>
      </c>
      <c r="D1467" t="s">
        <v>10</v>
      </c>
      <c r="E1467">
        <v>45</v>
      </c>
      <c r="F1467">
        <v>19</v>
      </c>
      <c r="G1467">
        <v>0</v>
      </c>
      <c r="H1467">
        <v>855</v>
      </c>
      <c r="I1467">
        <f>AVERAGEIFS(sales_Data[units_sold], sales_Data[product_id],sales_Data[[#This Row],[product_id]])</f>
        <v>31.479452054794521</v>
      </c>
      <c r="J1467">
        <f>_xlfn.XLOOKUP(sales_Data[[#This Row],[product_id]],sales_Data[product_id],sales_Data[unit_price])</f>
        <v>45</v>
      </c>
    </row>
    <row r="1468" spans="1:10" x14ac:dyDescent="0.3">
      <c r="A1468" t="s">
        <v>1484</v>
      </c>
      <c r="B1468" s="1">
        <v>45951</v>
      </c>
      <c r="C1468" t="s">
        <v>12</v>
      </c>
      <c r="D1468" t="s">
        <v>13</v>
      </c>
      <c r="E1468">
        <v>12.5</v>
      </c>
      <c r="F1468">
        <v>23</v>
      </c>
      <c r="G1468">
        <v>0.2</v>
      </c>
      <c r="H1468">
        <v>230</v>
      </c>
      <c r="I1468">
        <f>AVERAGEIFS(sales_Data[units_sold], sales_Data[product_id],sales_Data[[#This Row],[product_id]])</f>
        <v>31.794520547945204</v>
      </c>
      <c r="J1468">
        <f>_xlfn.XLOOKUP(sales_Data[[#This Row],[product_id]],sales_Data[product_id],sales_Data[unit_price])</f>
        <v>12.5</v>
      </c>
    </row>
    <row r="1469" spans="1:10" x14ac:dyDescent="0.3">
      <c r="A1469" t="s">
        <v>1485</v>
      </c>
      <c r="B1469" s="1">
        <v>45951</v>
      </c>
      <c r="C1469" t="s">
        <v>15</v>
      </c>
      <c r="D1469" t="s">
        <v>16</v>
      </c>
      <c r="E1469">
        <v>35</v>
      </c>
      <c r="F1469">
        <v>31</v>
      </c>
      <c r="G1469">
        <v>0.1</v>
      </c>
      <c r="H1469">
        <v>976.5</v>
      </c>
      <c r="I1469">
        <f>AVERAGEIFS(sales_Data[units_sold], sales_Data[product_id],sales_Data[[#This Row],[product_id]])</f>
        <v>30.438356164383563</v>
      </c>
      <c r="J1469">
        <f>_xlfn.XLOOKUP(sales_Data[[#This Row],[product_id]],sales_Data[product_id],sales_Data[unit_price])</f>
        <v>35</v>
      </c>
    </row>
    <row r="1470" spans="1:10" x14ac:dyDescent="0.3">
      <c r="A1470" t="s">
        <v>1486</v>
      </c>
      <c r="B1470" s="1">
        <v>45951</v>
      </c>
      <c r="C1470" t="s">
        <v>18</v>
      </c>
      <c r="D1470" t="s">
        <v>19</v>
      </c>
      <c r="E1470">
        <v>120</v>
      </c>
      <c r="F1470">
        <v>41</v>
      </c>
      <c r="G1470">
        <v>0.1</v>
      </c>
      <c r="H1470">
        <v>4428</v>
      </c>
      <c r="I1470">
        <f>AVERAGEIFS(sales_Data[units_sold], sales_Data[product_id],sales_Data[[#This Row],[product_id]])</f>
        <v>30.473972602739725</v>
      </c>
      <c r="J1470">
        <f>_xlfn.XLOOKUP(sales_Data[[#This Row],[product_id]],sales_Data[product_id],sales_Data[unit_price])</f>
        <v>120</v>
      </c>
    </row>
    <row r="1471" spans="1:10" x14ac:dyDescent="0.3">
      <c r="A1471" t="s">
        <v>1487</v>
      </c>
      <c r="B1471" s="1">
        <v>45951</v>
      </c>
      <c r="C1471" t="s">
        <v>21</v>
      </c>
      <c r="D1471" t="s">
        <v>22</v>
      </c>
      <c r="E1471">
        <v>25</v>
      </c>
      <c r="F1471">
        <v>17</v>
      </c>
      <c r="G1471">
        <v>0</v>
      </c>
      <c r="H1471">
        <v>425</v>
      </c>
      <c r="I1471">
        <f>AVERAGEIFS(sales_Data[units_sold], sales_Data[product_id],sales_Data[[#This Row],[product_id]])</f>
        <v>29.463013698630139</v>
      </c>
      <c r="J1471">
        <f>_xlfn.XLOOKUP(sales_Data[[#This Row],[product_id]],sales_Data[product_id],sales_Data[unit_price])</f>
        <v>25</v>
      </c>
    </row>
    <row r="1472" spans="1:10" x14ac:dyDescent="0.3">
      <c r="A1472" t="s">
        <v>1488</v>
      </c>
      <c r="B1472" s="1">
        <v>45952</v>
      </c>
      <c r="C1472" t="s">
        <v>9</v>
      </c>
      <c r="D1472" t="s">
        <v>10</v>
      </c>
      <c r="E1472">
        <v>45</v>
      </c>
      <c r="F1472">
        <v>30</v>
      </c>
      <c r="G1472">
        <v>0</v>
      </c>
      <c r="H1472">
        <v>1350</v>
      </c>
      <c r="I1472">
        <f>AVERAGEIFS(sales_Data[units_sold], sales_Data[product_id],sales_Data[[#This Row],[product_id]])</f>
        <v>31.479452054794521</v>
      </c>
      <c r="J1472">
        <f>_xlfn.XLOOKUP(sales_Data[[#This Row],[product_id]],sales_Data[product_id],sales_Data[unit_price])</f>
        <v>45</v>
      </c>
    </row>
    <row r="1473" spans="1:10" x14ac:dyDescent="0.3">
      <c r="A1473" t="s">
        <v>1489</v>
      </c>
      <c r="B1473" s="1">
        <v>45952</v>
      </c>
      <c r="C1473" t="s">
        <v>12</v>
      </c>
      <c r="D1473" t="s">
        <v>13</v>
      </c>
      <c r="E1473">
        <v>12.5</v>
      </c>
      <c r="F1473">
        <v>9</v>
      </c>
      <c r="G1473">
        <v>0</v>
      </c>
      <c r="H1473">
        <v>112.5</v>
      </c>
      <c r="I1473">
        <f>AVERAGEIFS(sales_Data[units_sold], sales_Data[product_id],sales_Data[[#This Row],[product_id]])</f>
        <v>31.794520547945204</v>
      </c>
      <c r="J1473">
        <f>_xlfn.XLOOKUP(sales_Data[[#This Row],[product_id]],sales_Data[product_id],sales_Data[unit_price])</f>
        <v>12.5</v>
      </c>
    </row>
    <row r="1474" spans="1:10" x14ac:dyDescent="0.3">
      <c r="A1474" t="s">
        <v>1490</v>
      </c>
      <c r="B1474" s="1">
        <v>45952</v>
      </c>
      <c r="C1474" t="s">
        <v>15</v>
      </c>
      <c r="D1474" t="s">
        <v>16</v>
      </c>
      <c r="E1474">
        <v>35</v>
      </c>
      <c r="F1474">
        <v>20</v>
      </c>
      <c r="G1474">
        <v>0</v>
      </c>
      <c r="H1474">
        <v>700</v>
      </c>
      <c r="I1474">
        <f>AVERAGEIFS(sales_Data[units_sold], sales_Data[product_id],sales_Data[[#This Row],[product_id]])</f>
        <v>30.438356164383563</v>
      </c>
      <c r="J1474">
        <f>_xlfn.XLOOKUP(sales_Data[[#This Row],[product_id]],sales_Data[product_id],sales_Data[unit_price])</f>
        <v>35</v>
      </c>
    </row>
    <row r="1475" spans="1:10" x14ac:dyDescent="0.3">
      <c r="A1475" t="s">
        <v>1491</v>
      </c>
      <c r="B1475" s="1">
        <v>45952</v>
      </c>
      <c r="C1475" t="s">
        <v>18</v>
      </c>
      <c r="D1475" t="s">
        <v>19</v>
      </c>
      <c r="E1475">
        <v>120</v>
      </c>
      <c r="F1475">
        <v>26</v>
      </c>
      <c r="G1475">
        <v>0</v>
      </c>
      <c r="H1475">
        <v>3120</v>
      </c>
      <c r="I1475">
        <f>AVERAGEIFS(sales_Data[units_sold], sales_Data[product_id],sales_Data[[#This Row],[product_id]])</f>
        <v>30.473972602739725</v>
      </c>
      <c r="J1475">
        <f>_xlfn.XLOOKUP(sales_Data[[#This Row],[product_id]],sales_Data[product_id],sales_Data[unit_price])</f>
        <v>120</v>
      </c>
    </row>
    <row r="1476" spans="1:10" x14ac:dyDescent="0.3">
      <c r="A1476" t="s">
        <v>1492</v>
      </c>
      <c r="B1476" s="1">
        <v>45952</v>
      </c>
      <c r="C1476" t="s">
        <v>21</v>
      </c>
      <c r="D1476" t="s">
        <v>22</v>
      </c>
      <c r="E1476">
        <v>25</v>
      </c>
      <c r="F1476">
        <v>29</v>
      </c>
      <c r="G1476">
        <v>0</v>
      </c>
      <c r="H1476">
        <v>725</v>
      </c>
      <c r="I1476">
        <f>AVERAGEIFS(sales_Data[units_sold], sales_Data[product_id],sales_Data[[#This Row],[product_id]])</f>
        <v>29.463013698630139</v>
      </c>
      <c r="J1476">
        <f>_xlfn.XLOOKUP(sales_Data[[#This Row],[product_id]],sales_Data[product_id],sales_Data[unit_price])</f>
        <v>25</v>
      </c>
    </row>
    <row r="1477" spans="1:10" x14ac:dyDescent="0.3">
      <c r="A1477" t="s">
        <v>1493</v>
      </c>
      <c r="B1477" s="1">
        <v>45953</v>
      </c>
      <c r="C1477" t="s">
        <v>9</v>
      </c>
      <c r="D1477" t="s">
        <v>10</v>
      </c>
      <c r="E1477">
        <v>45</v>
      </c>
      <c r="F1477">
        <v>41</v>
      </c>
      <c r="G1477">
        <v>0</v>
      </c>
      <c r="H1477">
        <v>1845</v>
      </c>
      <c r="I1477">
        <f>AVERAGEIFS(sales_Data[units_sold], sales_Data[product_id],sales_Data[[#This Row],[product_id]])</f>
        <v>31.479452054794521</v>
      </c>
      <c r="J1477">
        <f>_xlfn.XLOOKUP(sales_Data[[#This Row],[product_id]],sales_Data[product_id],sales_Data[unit_price])</f>
        <v>45</v>
      </c>
    </row>
    <row r="1478" spans="1:10" x14ac:dyDescent="0.3">
      <c r="A1478" t="s">
        <v>1494</v>
      </c>
      <c r="B1478" s="1">
        <v>45953</v>
      </c>
      <c r="C1478" t="s">
        <v>12</v>
      </c>
      <c r="D1478" t="s">
        <v>13</v>
      </c>
      <c r="E1478">
        <v>12.5</v>
      </c>
      <c r="F1478">
        <v>14</v>
      </c>
      <c r="G1478">
        <v>0.1</v>
      </c>
      <c r="H1478">
        <v>157.5</v>
      </c>
      <c r="I1478">
        <f>AVERAGEIFS(sales_Data[units_sold], sales_Data[product_id],sales_Data[[#This Row],[product_id]])</f>
        <v>31.794520547945204</v>
      </c>
      <c r="J1478">
        <f>_xlfn.XLOOKUP(sales_Data[[#This Row],[product_id]],sales_Data[product_id],sales_Data[unit_price])</f>
        <v>12.5</v>
      </c>
    </row>
    <row r="1479" spans="1:10" x14ac:dyDescent="0.3">
      <c r="A1479" t="s">
        <v>1495</v>
      </c>
      <c r="B1479" s="1">
        <v>45953</v>
      </c>
      <c r="C1479" t="s">
        <v>15</v>
      </c>
      <c r="D1479" t="s">
        <v>16</v>
      </c>
      <c r="E1479">
        <v>35</v>
      </c>
      <c r="F1479">
        <v>39</v>
      </c>
      <c r="G1479">
        <v>0</v>
      </c>
      <c r="H1479">
        <v>1365</v>
      </c>
      <c r="I1479">
        <f>AVERAGEIFS(sales_Data[units_sold], sales_Data[product_id],sales_Data[[#This Row],[product_id]])</f>
        <v>30.438356164383563</v>
      </c>
      <c r="J1479">
        <f>_xlfn.XLOOKUP(sales_Data[[#This Row],[product_id]],sales_Data[product_id],sales_Data[unit_price])</f>
        <v>35</v>
      </c>
    </row>
    <row r="1480" spans="1:10" x14ac:dyDescent="0.3">
      <c r="A1480" t="s">
        <v>1496</v>
      </c>
      <c r="B1480" s="1">
        <v>45953</v>
      </c>
      <c r="C1480" t="s">
        <v>18</v>
      </c>
      <c r="D1480" t="s">
        <v>19</v>
      </c>
      <c r="E1480">
        <v>120</v>
      </c>
      <c r="F1480">
        <v>43</v>
      </c>
      <c r="G1480">
        <v>0</v>
      </c>
      <c r="H1480">
        <v>5160</v>
      </c>
      <c r="I1480">
        <f>AVERAGEIFS(sales_Data[units_sold], sales_Data[product_id],sales_Data[[#This Row],[product_id]])</f>
        <v>30.473972602739725</v>
      </c>
      <c r="J1480">
        <f>_xlfn.XLOOKUP(sales_Data[[#This Row],[product_id]],sales_Data[product_id],sales_Data[unit_price])</f>
        <v>120</v>
      </c>
    </row>
    <row r="1481" spans="1:10" x14ac:dyDescent="0.3">
      <c r="A1481" t="s">
        <v>1497</v>
      </c>
      <c r="B1481" s="1">
        <v>45953</v>
      </c>
      <c r="C1481" t="s">
        <v>21</v>
      </c>
      <c r="D1481" t="s">
        <v>22</v>
      </c>
      <c r="E1481">
        <v>25</v>
      </c>
      <c r="F1481">
        <v>19</v>
      </c>
      <c r="G1481">
        <v>0</v>
      </c>
      <c r="H1481">
        <v>475</v>
      </c>
      <c r="I1481">
        <f>AVERAGEIFS(sales_Data[units_sold], sales_Data[product_id],sales_Data[[#This Row],[product_id]])</f>
        <v>29.463013698630139</v>
      </c>
      <c r="J1481">
        <f>_xlfn.XLOOKUP(sales_Data[[#This Row],[product_id]],sales_Data[product_id],sales_Data[unit_price])</f>
        <v>25</v>
      </c>
    </row>
    <row r="1482" spans="1:10" x14ac:dyDescent="0.3">
      <c r="A1482" t="s">
        <v>1498</v>
      </c>
      <c r="B1482" s="1">
        <v>45954</v>
      </c>
      <c r="C1482" t="s">
        <v>9</v>
      </c>
      <c r="D1482" t="s">
        <v>10</v>
      </c>
      <c r="E1482">
        <v>45</v>
      </c>
      <c r="F1482">
        <v>36</v>
      </c>
      <c r="G1482">
        <v>0.1</v>
      </c>
      <c r="H1482">
        <v>1458</v>
      </c>
      <c r="I1482">
        <f>AVERAGEIFS(sales_Data[units_sold], sales_Data[product_id],sales_Data[[#This Row],[product_id]])</f>
        <v>31.479452054794521</v>
      </c>
      <c r="J1482">
        <f>_xlfn.XLOOKUP(sales_Data[[#This Row],[product_id]],sales_Data[product_id],sales_Data[unit_price])</f>
        <v>45</v>
      </c>
    </row>
    <row r="1483" spans="1:10" x14ac:dyDescent="0.3">
      <c r="A1483" t="s">
        <v>1499</v>
      </c>
      <c r="B1483" s="1">
        <v>45954</v>
      </c>
      <c r="C1483" t="s">
        <v>12</v>
      </c>
      <c r="D1483" t="s">
        <v>13</v>
      </c>
      <c r="E1483">
        <v>12.5</v>
      </c>
      <c r="F1483">
        <v>42</v>
      </c>
      <c r="G1483">
        <v>0</v>
      </c>
      <c r="H1483">
        <v>525</v>
      </c>
      <c r="I1483">
        <f>AVERAGEIFS(sales_Data[units_sold], sales_Data[product_id],sales_Data[[#This Row],[product_id]])</f>
        <v>31.794520547945204</v>
      </c>
      <c r="J1483">
        <f>_xlfn.XLOOKUP(sales_Data[[#This Row],[product_id]],sales_Data[product_id],sales_Data[unit_price])</f>
        <v>12.5</v>
      </c>
    </row>
    <row r="1484" spans="1:10" x14ac:dyDescent="0.3">
      <c r="A1484" t="s">
        <v>1500</v>
      </c>
      <c r="B1484" s="1">
        <v>45954</v>
      </c>
      <c r="C1484" t="s">
        <v>15</v>
      </c>
      <c r="D1484" t="s">
        <v>16</v>
      </c>
      <c r="E1484">
        <v>35</v>
      </c>
      <c r="F1484">
        <v>26</v>
      </c>
      <c r="G1484">
        <v>0</v>
      </c>
      <c r="H1484">
        <v>910</v>
      </c>
      <c r="I1484">
        <f>AVERAGEIFS(sales_Data[units_sold], sales_Data[product_id],sales_Data[[#This Row],[product_id]])</f>
        <v>30.438356164383563</v>
      </c>
      <c r="J1484">
        <f>_xlfn.XLOOKUP(sales_Data[[#This Row],[product_id]],sales_Data[product_id],sales_Data[unit_price])</f>
        <v>35</v>
      </c>
    </row>
    <row r="1485" spans="1:10" x14ac:dyDescent="0.3">
      <c r="A1485" t="s">
        <v>1501</v>
      </c>
      <c r="B1485" s="1">
        <v>45954</v>
      </c>
      <c r="C1485" t="s">
        <v>18</v>
      </c>
      <c r="D1485" t="s">
        <v>19</v>
      </c>
      <c r="E1485">
        <v>120</v>
      </c>
      <c r="F1485">
        <v>15</v>
      </c>
      <c r="G1485">
        <v>0</v>
      </c>
      <c r="H1485">
        <v>1800</v>
      </c>
      <c r="I1485">
        <f>AVERAGEIFS(sales_Data[units_sold], sales_Data[product_id],sales_Data[[#This Row],[product_id]])</f>
        <v>30.473972602739725</v>
      </c>
      <c r="J1485">
        <f>_xlfn.XLOOKUP(sales_Data[[#This Row],[product_id]],sales_Data[product_id],sales_Data[unit_price])</f>
        <v>120</v>
      </c>
    </row>
    <row r="1486" spans="1:10" x14ac:dyDescent="0.3">
      <c r="A1486" t="s">
        <v>1502</v>
      </c>
      <c r="B1486" s="1">
        <v>45954</v>
      </c>
      <c r="C1486" t="s">
        <v>21</v>
      </c>
      <c r="D1486" t="s">
        <v>22</v>
      </c>
      <c r="E1486">
        <v>25</v>
      </c>
      <c r="F1486">
        <v>32</v>
      </c>
      <c r="G1486">
        <v>0</v>
      </c>
      <c r="H1486">
        <v>800</v>
      </c>
      <c r="I1486">
        <f>AVERAGEIFS(sales_Data[units_sold], sales_Data[product_id],sales_Data[[#This Row],[product_id]])</f>
        <v>29.463013698630139</v>
      </c>
      <c r="J1486">
        <f>_xlfn.XLOOKUP(sales_Data[[#This Row],[product_id]],sales_Data[product_id],sales_Data[unit_price])</f>
        <v>25</v>
      </c>
    </row>
    <row r="1487" spans="1:10" x14ac:dyDescent="0.3">
      <c r="A1487" t="s">
        <v>1503</v>
      </c>
      <c r="B1487" s="1">
        <v>45955</v>
      </c>
      <c r="C1487" t="s">
        <v>9</v>
      </c>
      <c r="D1487" t="s">
        <v>10</v>
      </c>
      <c r="E1487">
        <v>45</v>
      </c>
      <c r="F1487">
        <v>45</v>
      </c>
      <c r="G1487">
        <v>0</v>
      </c>
      <c r="H1487">
        <v>2025</v>
      </c>
      <c r="I1487">
        <f>AVERAGEIFS(sales_Data[units_sold], sales_Data[product_id],sales_Data[[#This Row],[product_id]])</f>
        <v>31.479452054794521</v>
      </c>
      <c r="J1487">
        <f>_xlfn.XLOOKUP(sales_Data[[#This Row],[product_id]],sales_Data[product_id],sales_Data[unit_price])</f>
        <v>45</v>
      </c>
    </row>
    <row r="1488" spans="1:10" x14ac:dyDescent="0.3">
      <c r="A1488" t="s">
        <v>1504</v>
      </c>
      <c r="B1488" s="1">
        <v>45955</v>
      </c>
      <c r="C1488" t="s">
        <v>12</v>
      </c>
      <c r="D1488" t="s">
        <v>13</v>
      </c>
      <c r="E1488">
        <v>12.5</v>
      </c>
      <c r="F1488">
        <v>60</v>
      </c>
      <c r="G1488">
        <v>0</v>
      </c>
      <c r="H1488">
        <v>750</v>
      </c>
      <c r="I1488">
        <f>AVERAGEIFS(sales_Data[units_sold], sales_Data[product_id],sales_Data[[#This Row],[product_id]])</f>
        <v>31.794520547945204</v>
      </c>
      <c r="J1488">
        <f>_xlfn.XLOOKUP(sales_Data[[#This Row],[product_id]],sales_Data[product_id],sales_Data[unit_price])</f>
        <v>12.5</v>
      </c>
    </row>
    <row r="1489" spans="1:10" x14ac:dyDescent="0.3">
      <c r="A1489" t="s">
        <v>1505</v>
      </c>
      <c r="B1489" s="1">
        <v>45955</v>
      </c>
      <c r="C1489" t="s">
        <v>15</v>
      </c>
      <c r="D1489" t="s">
        <v>16</v>
      </c>
      <c r="E1489">
        <v>35</v>
      </c>
      <c r="F1489">
        <v>10</v>
      </c>
      <c r="G1489">
        <v>0</v>
      </c>
      <c r="H1489">
        <v>350</v>
      </c>
      <c r="I1489">
        <f>AVERAGEIFS(sales_Data[units_sold], sales_Data[product_id],sales_Data[[#This Row],[product_id]])</f>
        <v>30.438356164383563</v>
      </c>
      <c r="J1489">
        <f>_xlfn.XLOOKUP(sales_Data[[#This Row],[product_id]],sales_Data[product_id],sales_Data[unit_price])</f>
        <v>35</v>
      </c>
    </row>
    <row r="1490" spans="1:10" x14ac:dyDescent="0.3">
      <c r="A1490" t="s">
        <v>1506</v>
      </c>
      <c r="B1490" s="1">
        <v>45955</v>
      </c>
      <c r="C1490" t="s">
        <v>18</v>
      </c>
      <c r="D1490" t="s">
        <v>19</v>
      </c>
      <c r="E1490">
        <v>120</v>
      </c>
      <c r="F1490">
        <v>22</v>
      </c>
      <c r="G1490">
        <v>0</v>
      </c>
      <c r="H1490">
        <v>2640</v>
      </c>
      <c r="I1490">
        <f>AVERAGEIFS(sales_Data[units_sold], sales_Data[product_id],sales_Data[[#This Row],[product_id]])</f>
        <v>30.473972602739725</v>
      </c>
      <c r="J1490">
        <f>_xlfn.XLOOKUP(sales_Data[[#This Row],[product_id]],sales_Data[product_id],sales_Data[unit_price])</f>
        <v>120</v>
      </c>
    </row>
    <row r="1491" spans="1:10" x14ac:dyDescent="0.3">
      <c r="A1491" t="s">
        <v>1507</v>
      </c>
      <c r="B1491" s="1">
        <v>45955</v>
      </c>
      <c r="C1491" t="s">
        <v>21</v>
      </c>
      <c r="D1491" t="s">
        <v>22</v>
      </c>
      <c r="E1491">
        <v>25</v>
      </c>
      <c r="F1491">
        <v>49</v>
      </c>
      <c r="G1491">
        <v>0.1</v>
      </c>
      <c r="H1491">
        <v>1102.5</v>
      </c>
      <c r="I1491">
        <f>AVERAGEIFS(sales_Data[units_sold], sales_Data[product_id],sales_Data[[#This Row],[product_id]])</f>
        <v>29.463013698630139</v>
      </c>
      <c r="J1491">
        <f>_xlfn.XLOOKUP(sales_Data[[#This Row],[product_id]],sales_Data[product_id],sales_Data[unit_price])</f>
        <v>25</v>
      </c>
    </row>
    <row r="1492" spans="1:10" x14ac:dyDescent="0.3">
      <c r="A1492" t="s">
        <v>1508</v>
      </c>
      <c r="B1492" s="1">
        <v>45956</v>
      </c>
      <c r="C1492" t="s">
        <v>9</v>
      </c>
      <c r="D1492" t="s">
        <v>10</v>
      </c>
      <c r="E1492">
        <v>45</v>
      </c>
      <c r="F1492">
        <v>15</v>
      </c>
      <c r="G1492">
        <v>0</v>
      </c>
      <c r="H1492">
        <v>675</v>
      </c>
      <c r="I1492">
        <f>AVERAGEIFS(sales_Data[units_sold], sales_Data[product_id],sales_Data[[#This Row],[product_id]])</f>
        <v>31.479452054794521</v>
      </c>
      <c r="J1492">
        <f>_xlfn.XLOOKUP(sales_Data[[#This Row],[product_id]],sales_Data[product_id],sales_Data[unit_price])</f>
        <v>45</v>
      </c>
    </row>
    <row r="1493" spans="1:10" x14ac:dyDescent="0.3">
      <c r="A1493" t="s">
        <v>1509</v>
      </c>
      <c r="B1493" s="1">
        <v>45956</v>
      </c>
      <c r="C1493" t="s">
        <v>12</v>
      </c>
      <c r="D1493" t="s">
        <v>13</v>
      </c>
      <c r="E1493">
        <v>12.5</v>
      </c>
      <c r="F1493">
        <v>36</v>
      </c>
      <c r="G1493">
        <v>0</v>
      </c>
      <c r="H1493">
        <v>450</v>
      </c>
      <c r="I1493">
        <f>AVERAGEIFS(sales_Data[units_sold], sales_Data[product_id],sales_Data[[#This Row],[product_id]])</f>
        <v>31.794520547945204</v>
      </c>
      <c r="J1493">
        <f>_xlfn.XLOOKUP(sales_Data[[#This Row],[product_id]],sales_Data[product_id],sales_Data[unit_price])</f>
        <v>12.5</v>
      </c>
    </row>
    <row r="1494" spans="1:10" x14ac:dyDescent="0.3">
      <c r="A1494" t="s">
        <v>1510</v>
      </c>
      <c r="B1494" s="1">
        <v>45956</v>
      </c>
      <c r="C1494" t="s">
        <v>15</v>
      </c>
      <c r="D1494" t="s">
        <v>16</v>
      </c>
      <c r="E1494">
        <v>35</v>
      </c>
      <c r="F1494">
        <v>40</v>
      </c>
      <c r="G1494">
        <v>0</v>
      </c>
      <c r="H1494">
        <v>1400</v>
      </c>
      <c r="I1494">
        <f>AVERAGEIFS(sales_Data[units_sold], sales_Data[product_id],sales_Data[[#This Row],[product_id]])</f>
        <v>30.438356164383563</v>
      </c>
      <c r="J1494">
        <f>_xlfn.XLOOKUP(sales_Data[[#This Row],[product_id]],sales_Data[product_id],sales_Data[unit_price])</f>
        <v>35</v>
      </c>
    </row>
    <row r="1495" spans="1:10" x14ac:dyDescent="0.3">
      <c r="A1495" t="s">
        <v>1511</v>
      </c>
      <c r="B1495" s="1">
        <v>45956</v>
      </c>
      <c r="C1495" t="s">
        <v>18</v>
      </c>
      <c r="D1495" t="s">
        <v>19</v>
      </c>
      <c r="E1495">
        <v>120</v>
      </c>
      <c r="F1495">
        <v>57</v>
      </c>
      <c r="G1495">
        <v>0.2</v>
      </c>
      <c r="H1495">
        <v>5472</v>
      </c>
      <c r="I1495">
        <f>AVERAGEIFS(sales_Data[units_sold], sales_Data[product_id],sales_Data[[#This Row],[product_id]])</f>
        <v>30.473972602739725</v>
      </c>
      <c r="J1495">
        <f>_xlfn.XLOOKUP(sales_Data[[#This Row],[product_id]],sales_Data[product_id],sales_Data[unit_price])</f>
        <v>120</v>
      </c>
    </row>
    <row r="1496" spans="1:10" x14ac:dyDescent="0.3">
      <c r="A1496" t="s">
        <v>1512</v>
      </c>
      <c r="B1496" s="1">
        <v>45956</v>
      </c>
      <c r="C1496" t="s">
        <v>21</v>
      </c>
      <c r="D1496" t="s">
        <v>22</v>
      </c>
      <c r="E1496">
        <v>25</v>
      </c>
      <c r="F1496">
        <v>30</v>
      </c>
      <c r="G1496">
        <v>0</v>
      </c>
      <c r="H1496">
        <v>750</v>
      </c>
      <c r="I1496">
        <f>AVERAGEIFS(sales_Data[units_sold], sales_Data[product_id],sales_Data[[#This Row],[product_id]])</f>
        <v>29.463013698630139</v>
      </c>
      <c r="J1496">
        <f>_xlfn.XLOOKUP(sales_Data[[#This Row],[product_id]],sales_Data[product_id],sales_Data[unit_price])</f>
        <v>25</v>
      </c>
    </row>
    <row r="1497" spans="1:10" x14ac:dyDescent="0.3">
      <c r="A1497" t="s">
        <v>1513</v>
      </c>
      <c r="B1497" s="1">
        <v>45957</v>
      </c>
      <c r="C1497" t="s">
        <v>9</v>
      </c>
      <c r="D1497" t="s">
        <v>10</v>
      </c>
      <c r="E1497">
        <v>45</v>
      </c>
      <c r="F1497">
        <v>15</v>
      </c>
      <c r="G1497">
        <v>0.2</v>
      </c>
      <c r="H1497">
        <v>540</v>
      </c>
      <c r="I1497">
        <f>AVERAGEIFS(sales_Data[units_sold], sales_Data[product_id],sales_Data[[#This Row],[product_id]])</f>
        <v>31.479452054794521</v>
      </c>
      <c r="J1497">
        <f>_xlfn.XLOOKUP(sales_Data[[#This Row],[product_id]],sales_Data[product_id],sales_Data[unit_price])</f>
        <v>45</v>
      </c>
    </row>
    <row r="1498" spans="1:10" x14ac:dyDescent="0.3">
      <c r="A1498" t="s">
        <v>1514</v>
      </c>
      <c r="B1498" s="1">
        <v>45957</v>
      </c>
      <c r="C1498" t="s">
        <v>12</v>
      </c>
      <c r="D1498" t="s">
        <v>13</v>
      </c>
      <c r="E1498">
        <v>12.5</v>
      </c>
      <c r="F1498">
        <v>19</v>
      </c>
      <c r="G1498">
        <v>0</v>
      </c>
      <c r="H1498">
        <v>237.5</v>
      </c>
      <c r="I1498">
        <f>AVERAGEIFS(sales_Data[units_sold], sales_Data[product_id],sales_Data[[#This Row],[product_id]])</f>
        <v>31.794520547945204</v>
      </c>
      <c r="J1498">
        <f>_xlfn.XLOOKUP(sales_Data[[#This Row],[product_id]],sales_Data[product_id],sales_Data[unit_price])</f>
        <v>12.5</v>
      </c>
    </row>
    <row r="1499" spans="1:10" x14ac:dyDescent="0.3">
      <c r="A1499" t="s">
        <v>1515</v>
      </c>
      <c r="B1499" s="1">
        <v>45957</v>
      </c>
      <c r="C1499" t="s">
        <v>15</v>
      </c>
      <c r="D1499" t="s">
        <v>16</v>
      </c>
      <c r="E1499">
        <v>35</v>
      </c>
      <c r="F1499">
        <v>6</v>
      </c>
      <c r="G1499">
        <v>0</v>
      </c>
      <c r="H1499">
        <v>210</v>
      </c>
      <c r="I1499">
        <f>AVERAGEIFS(sales_Data[units_sold], sales_Data[product_id],sales_Data[[#This Row],[product_id]])</f>
        <v>30.438356164383563</v>
      </c>
      <c r="J1499">
        <f>_xlfn.XLOOKUP(sales_Data[[#This Row],[product_id]],sales_Data[product_id],sales_Data[unit_price])</f>
        <v>35</v>
      </c>
    </row>
    <row r="1500" spans="1:10" x14ac:dyDescent="0.3">
      <c r="A1500" t="s">
        <v>1516</v>
      </c>
      <c r="B1500" s="1">
        <v>45957</v>
      </c>
      <c r="C1500" t="s">
        <v>18</v>
      </c>
      <c r="D1500" t="s">
        <v>19</v>
      </c>
      <c r="E1500">
        <v>120</v>
      </c>
      <c r="F1500">
        <v>12</v>
      </c>
      <c r="G1500">
        <v>0.2</v>
      </c>
      <c r="H1500">
        <v>1152</v>
      </c>
      <c r="I1500">
        <f>AVERAGEIFS(sales_Data[units_sold], sales_Data[product_id],sales_Data[[#This Row],[product_id]])</f>
        <v>30.473972602739725</v>
      </c>
      <c r="J1500">
        <f>_xlfn.XLOOKUP(sales_Data[[#This Row],[product_id]],sales_Data[product_id],sales_Data[unit_price])</f>
        <v>120</v>
      </c>
    </row>
    <row r="1501" spans="1:10" x14ac:dyDescent="0.3">
      <c r="A1501" t="s">
        <v>1517</v>
      </c>
      <c r="B1501" s="1">
        <v>45957</v>
      </c>
      <c r="C1501" t="s">
        <v>21</v>
      </c>
      <c r="D1501" t="s">
        <v>22</v>
      </c>
      <c r="E1501">
        <v>25</v>
      </c>
      <c r="F1501">
        <v>33</v>
      </c>
      <c r="G1501">
        <v>0</v>
      </c>
      <c r="H1501">
        <v>825</v>
      </c>
      <c r="I1501">
        <f>AVERAGEIFS(sales_Data[units_sold], sales_Data[product_id],sales_Data[[#This Row],[product_id]])</f>
        <v>29.463013698630139</v>
      </c>
      <c r="J1501">
        <f>_xlfn.XLOOKUP(sales_Data[[#This Row],[product_id]],sales_Data[product_id],sales_Data[unit_price])</f>
        <v>25</v>
      </c>
    </row>
    <row r="1502" spans="1:10" x14ac:dyDescent="0.3">
      <c r="A1502" t="s">
        <v>1518</v>
      </c>
      <c r="B1502" s="1">
        <v>45958</v>
      </c>
      <c r="C1502" t="s">
        <v>9</v>
      </c>
      <c r="D1502" t="s">
        <v>10</v>
      </c>
      <c r="E1502">
        <v>45</v>
      </c>
      <c r="F1502">
        <v>16</v>
      </c>
      <c r="G1502">
        <v>0</v>
      </c>
      <c r="H1502">
        <v>720</v>
      </c>
      <c r="I1502">
        <f>AVERAGEIFS(sales_Data[units_sold], sales_Data[product_id],sales_Data[[#This Row],[product_id]])</f>
        <v>31.479452054794521</v>
      </c>
      <c r="J1502">
        <f>_xlfn.XLOOKUP(sales_Data[[#This Row],[product_id]],sales_Data[product_id],sales_Data[unit_price])</f>
        <v>45</v>
      </c>
    </row>
    <row r="1503" spans="1:10" x14ac:dyDescent="0.3">
      <c r="A1503" t="s">
        <v>1519</v>
      </c>
      <c r="B1503" s="1">
        <v>45958</v>
      </c>
      <c r="C1503" t="s">
        <v>12</v>
      </c>
      <c r="D1503" t="s">
        <v>13</v>
      </c>
      <c r="E1503">
        <v>12.5</v>
      </c>
      <c r="F1503">
        <v>22</v>
      </c>
      <c r="G1503">
        <v>0.2</v>
      </c>
      <c r="H1503">
        <v>220</v>
      </c>
      <c r="I1503">
        <f>AVERAGEIFS(sales_Data[units_sold], sales_Data[product_id],sales_Data[[#This Row],[product_id]])</f>
        <v>31.794520547945204</v>
      </c>
      <c r="J1503">
        <f>_xlfn.XLOOKUP(sales_Data[[#This Row],[product_id]],sales_Data[product_id],sales_Data[unit_price])</f>
        <v>12.5</v>
      </c>
    </row>
    <row r="1504" spans="1:10" x14ac:dyDescent="0.3">
      <c r="A1504" t="s">
        <v>1520</v>
      </c>
      <c r="B1504" s="1">
        <v>45958</v>
      </c>
      <c r="C1504" t="s">
        <v>15</v>
      </c>
      <c r="D1504" t="s">
        <v>16</v>
      </c>
      <c r="E1504">
        <v>35</v>
      </c>
      <c r="F1504">
        <v>13</v>
      </c>
      <c r="G1504">
        <v>0</v>
      </c>
      <c r="H1504">
        <v>455</v>
      </c>
      <c r="I1504">
        <f>AVERAGEIFS(sales_Data[units_sold], sales_Data[product_id],sales_Data[[#This Row],[product_id]])</f>
        <v>30.438356164383563</v>
      </c>
      <c r="J1504">
        <f>_xlfn.XLOOKUP(sales_Data[[#This Row],[product_id]],sales_Data[product_id],sales_Data[unit_price])</f>
        <v>35</v>
      </c>
    </row>
    <row r="1505" spans="1:10" x14ac:dyDescent="0.3">
      <c r="A1505" t="s">
        <v>1521</v>
      </c>
      <c r="B1505" s="1">
        <v>45958</v>
      </c>
      <c r="C1505" t="s">
        <v>18</v>
      </c>
      <c r="D1505" t="s">
        <v>19</v>
      </c>
      <c r="E1505">
        <v>120</v>
      </c>
      <c r="F1505">
        <v>9</v>
      </c>
      <c r="G1505">
        <v>0.1</v>
      </c>
      <c r="H1505">
        <v>972</v>
      </c>
      <c r="I1505">
        <f>AVERAGEIFS(sales_Data[units_sold], sales_Data[product_id],sales_Data[[#This Row],[product_id]])</f>
        <v>30.473972602739725</v>
      </c>
      <c r="J1505">
        <f>_xlfn.XLOOKUP(sales_Data[[#This Row],[product_id]],sales_Data[product_id],sales_Data[unit_price])</f>
        <v>120</v>
      </c>
    </row>
    <row r="1506" spans="1:10" x14ac:dyDescent="0.3">
      <c r="A1506" t="s">
        <v>1522</v>
      </c>
      <c r="B1506" s="1">
        <v>45958</v>
      </c>
      <c r="C1506" t="s">
        <v>21</v>
      </c>
      <c r="D1506" t="s">
        <v>22</v>
      </c>
      <c r="E1506">
        <v>25</v>
      </c>
      <c r="F1506">
        <v>44</v>
      </c>
      <c r="G1506">
        <v>0</v>
      </c>
      <c r="H1506">
        <v>1100</v>
      </c>
      <c r="I1506">
        <f>AVERAGEIFS(sales_Data[units_sold], sales_Data[product_id],sales_Data[[#This Row],[product_id]])</f>
        <v>29.463013698630139</v>
      </c>
      <c r="J1506">
        <f>_xlfn.XLOOKUP(sales_Data[[#This Row],[product_id]],sales_Data[product_id],sales_Data[unit_price])</f>
        <v>25</v>
      </c>
    </row>
    <row r="1507" spans="1:10" x14ac:dyDescent="0.3">
      <c r="A1507" t="s">
        <v>1523</v>
      </c>
      <c r="B1507" s="1">
        <v>45959</v>
      </c>
      <c r="C1507" t="s">
        <v>9</v>
      </c>
      <c r="D1507" t="s">
        <v>10</v>
      </c>
      <c r="E1507">
        <v>45</v>
      </c>
      <c r="F1507">
        <v>46</v>
      </c>
      <c r="G1507">
        <v>0</v>
      </c>
      <c r="H1507">
        <v>2070</v>
      </c>
      <c r="I1507">
        <f>AVERAGEIFS(sales_Data[units_sold], sales_Data[product_id],sales_Data[[#This Row],[product_id]])</f>
        <v>31.479452054794521</v>
      </c>
      <c r="J1507">
        <f>_xlfn.XLOOKUP(sales_Data[[#This Row],[product_id]],sales_Data[product_id],sales_Data[unit_price])</f>
        <v>45</v>
      </c>
    </row>
    <row r="1508" spans="1:10" x14ac:dyDescent="0.3">
      <c r="A1508" t="s">
        <v>1524</v>
      </c>
      <c r="B1508" s="1">
        <v>45959</v>
      </c>
      <c r="C1508" t="s">
        <v>12</v>
      </c>
      <c r="D1508" t="s">
        <v>13</v>
      </c>
      <c r="E1508">
        <v>12.5</v>
      </c>
      <c r="F1508">
        <v>7</v>
      </c>
      <c r="G1508">
        <v>0</v>
      </c>
      <c r="H1508">
        <v>87.5</v>
      </c>
      <c r="I1508">
        <f>AVERAGEIFS(sales_Data[units_sold], sales_Data[product_id],sales_Data[[#This Row],[product_id]])</f>
        <v>31.794520547945204</v>
      </c>
      <c r="J1508">
        <f>_xlfn.XLOOKUP(sales_Data[[#This Row],[product_id]],sales_Data[product_id],sales_Data[unit_price])</f>
        <v>12.5</v>
      </c>
    </row>
    <row r="1509" spans="1:10" x14ac:dyDescent="0.3">
      <c r="A1509" t="s">
        <v>1525</v>
      </c>
      <c r="B1509" s="1">
        <v>45959</v>
      </c>
      <c r="C1509" t="s">
        <v>15</v>
      </c>
      <c r="D1509" t="s">
        <v>16</v>
      </c>
      <c r="E1509">
        <v>35</v>
      </c>
      <c r="F1509">
        <v>16</v>
      </c>
      <c r="G1509">
        <v>0.1</v>
      </c>
      <c r="H1509">
        <v>504</v>
      </c>
      <c r="I1509">
        <f>AVERAGEIFS(sales_Data[units_sold], sales_Data[product_id],sales_Data[[#This Row],[product_id]])</f>
        <v>30.438356164383563</v>
      </c>
      <c r="J1509">
        <f>_xlfn.XLOOKUP(sales_Data[[#This Row],[product_id]],sales_Data[product_id],sales_Data[unit_price])</f>
        <v>35</v>
      </c>
    </row>
    <row r="1510" spans="1:10" x14ac:dyDescent="0.3">
      <c r="A1510" t="s">
        <v>1526</v>
      </c>
      <c r="B1510" s="1">
        <v>45959</v>
      </c>
      <c r="C1510" t="s">
        <v>18</v>
      </c>
      <c r="D1510" t="s">
        <v>19</v>
      </c>
      <c r="E1510">
        <v>120</v>
      </c>
      <c r="F1510">
        <v>14</v>
      </c>
      <c r="G1510">
        <v>0</v>
      </c>
      <c r="H1510">
        <v>1680</v>
      </c>
      <c r="I1510">
        <f>AVERAGEIFS(sales_Data[units_sold], sales_Data[product_id],sales_Data[[#This Row],[product_id]])</f>
        <v>30.473972602739725</v>
      </c>
      <c r="J1510">
        <f>_xlfn.XLOOKUP(sales_Data[[#This Row],[product_id]],sales_Data[product_id],sales_Data[unit_price])</f>
        <v>120</v>
      </c>
    </row>
    <row r="1511" spans="1:10" x14ac:dyDescent="0.3">
      <c r="A1511" t="s">
        <v>1527</v>
      </c>
      <c r="B1511" s="1">
        <v>45959</v>
      </c>
      <c r="C1511" t="s">
        <v>21</v>
      </c>
      <c r="D1511" t="s">
        <v>22</v>
      </c>
      <c r="E1511">
        <v>25</v>
      </c>
      <c r="F1511">
        <v>39</v>
      </c>
      <c r="G1511">
        <v>0.2</v>
      </c>
      <c r="H1511">
        <v>780</v>
      </c>
      <c r="I1511">
        <f>AVERAGEIFS(sales_Data[units_sold], sales_Data[product_id],sales_Data[[#This Row],[product_id]])</f>
        <v>29.463013698630139</v>
      </c>
      <c r="J1511">
        <f>_xlfn.XLOOKUP(sales_Data[[#This Row],[product_id]],sales_Data[product_id],sales_Data[unit_price])</f>
        <v>25</v>
      </c>
    </row>
    <row r="1512" spans="1:10" x14ac:dyDescent="0.3">
      <c r="A1512" t="s">
        <v>1528</v>
      </c>
      <c r="B1512" s="1">
        <v>45960</v>
      </c>
      <c r="C1512" t="s">
        <v>9</v>
      </c>
      <c r="D1512" t="s">
        <v>10</v>
      </c>
      <c r="E1512">
        <v>45</v>
      </c>
      <c r="F1512">
        <v>20</v>
      </c>
      <c r="G1512">
        <v>0</v>
      </c>
      <c r="H1512">
        <v>900</v>
      </c>
      <c r="I1512">
        <f>AVERAGEIFS(sales_Data[units_sold], sales_Data[product_id],sales_Data[[#This Row],[product_id]])</f>
        <v>31.479452054794521</v>
      </c>
      <c r="J1512">
        <f>_xlfn.XLOOKUP(sales_Data[[#This Row],[product_id]],sales_Data[product_id],sales_Data[unit_price])</f>
        <v>45</v>
      </c>
    </row>
    <row r="1513" spans="1:10" x14ac:dyDescent="0.3">
      <c r="A1513" t="s">
        <v>1529</v>
      </c>
      <c r="B1513" s="1">
        <v>45960</v>
      </c>
      <c r="C1513" t="s">
        <v>12</v>
      </c>
      <c r="D1513" t="s">
        <v>13</v>
      </c>
      <c r="E1513">
        <v>12.5</v>
      </c>
      <c r="F1513">
        <v>11</v>
      </c>
      <c r="G1513">
        <v>0.1</v>
      </c>
      <c r="H1513">
        <v>123.75</v>
      </c>
      <c r="I1513">
        <f>AVERAGEIFS(sales_Data[units_sold], sales_Data[product_id],sales_Data[[#This Row],[product_id]])</f>
        <v>31.794520547945204</v>
      </c>
      <c r="J1513">
        <f>_xlfn.XLOOKUP(sales_Data[[#This Row],[product_id]],sales_Data[product_id],sales_Data[unit_price])</f>
        <v>12.5</v>
      </c>
    </row>
    <row r="1514" spans="1:10" x14ac:dyDescent="0.3">
      <c r="A1514" t="s">
        <v>1530</v>
      </c>
      <c r="B1514" s="1">
        <v>45960</v>
      </c>
      <c r="C1514" t="s">
        <v>15</v>
      </c>
      <c r="D1514" t="s">
        <v>16</v>
      </c>
      <c r="E1514">
        <v>35</v>
      </c>
      <c r="F1514">
        <v>28</v>
      </c>
      <c r="G1514">
        <v>0.1</v>
      </c>
      <c r="H1514">
        <v>882</v>
      </c>
      <c r="I1514">
        <f>AVERAGEIFS(sales_Data[units_sold], sales_Data[product_id],sales_Data[[#This Row],[product_id]])</f>
        <v>30.438356164383563</v>
      </c>
      <c r="J1514">
        <f>_xlfn.XLOOKUP(sales_Data[[#This Row],[product_id]],sales_Data[product_id],sales_Data[unit_price])</f>
        <v>35</v>
      </c>
    </row>
    <row r="1515" spans="1:10" x14ac:dyDescent="0.3">
      <c r="A1515" t="s">
        <v>1531</v>
      </c>
      <c r="B1515" s="1">
        <v>45960</v>
      </c>
      <c r="C1515" t="s">
        <v>18</v>
      </c>
      <c r="D1515" t="s">
        <v>19</v>
      </c>
      <c r="E1515">
        <v>120</v>
      </c>
      <c r="F1515">
        <v>25</v>
      </c>
      <c r="G1515">
        <v>0</v>
      </c>
      <c r="H1515">
        <v>3000</v>
      </c>
      <c r="I1515">
        <f>AVERAGEIFS(sales_Data[units_sold], sales_Data[product_id],sales_Data[[#This Row],[product_id]])</f>
        <v>30.473972602739725</v>
      </c>
      <c r="J1515">
        <f>_xlfn.XLOOKUP(sales_Data[[#This Row],[product_id]],sales_Data[product_id],sales_Data[unit_price])</f>
        <v>120</v>
      </c>
    </row>
    <row r="1516" spans="1:10" x14ac:dyDescent="0.3">
      <c r="A1516" t="s">
        <v>1532</v>
      </c>
      <c r="B1516" s="1">
        <v>45960</v>
      </c>
      <c r="C1516" t="s">
        <v>21</v>
      </c>
      <c r="D1516" t="s">
        <v>22</v>
      </c>
      <c r="E1516">
        <v>25</v>
      </c>
      <c r="F1516">
        <v>36</v>
      </c>
      <c r="G1516">
        <v>0</v>
      </c>
      <c r="H1516">
        <v>900</v>
      </c>
      <c r="I1516">
        <f>AVERAGEIFS(sales_Data[units_sold], sales_Data[product_id],sales_Data[[#This Row],[product_id]])</f>
        <v>29.463013698630139</v>
      </c>
      <c r="J1516">
        <f>_xlfn.XLOOKUP(sales_Data[[#This Row],[product_id]],sales_Data[product_id],sales_Data[unit_price])</f>
        <v>25</v>
      </c>
    </row>
    <row r="1517" spans="1:10" x14ac:dyDescent="0.3">
      <c r="A1517" t="s">
        <v>1533</v>
      </c>
      <c r="B1517" s="1">
        <v>45961</v>
      </c>
      <c r="C1517" t="s">
        <v>9</v>
      </c>
      <c r="D1517" t="s">
        <v>10</v>
      </c>
      <c r="E1517">
        <v>45</v>
      </c>
      <c r="F1517">
        <v>49</v>
      </c>
      <c r="G1517">
        <v>0.1</v>
      </c>
      <c r="H1517">
        <v>1984.5</v>
      </c>
      <c r="I1517">
        <f>AVERAGEIFS(sales_Data[units_sold], sales_Data[product_id],sales_Data[[#This Row],[product_id]])</f>
        <v>31.479452054794521</v>
      </c>
      <c r="J1517">
        <f>_xlfn.XLOOKUP(sales_Data[[#This Row],[product_id]],sales_Data[product_id],sales_Data[unit_price])</f>
        <v>45</v>
      </c>
    </row>
    <row r="1518" spans="1:10" x14ac:dyDescent="0.3">
      <c r="A1518" t="s">
        <v>1534</v>
      </c>
      <c r="B1518" s="1">
        <v>45961</v>
      </c>
      <c r="C1518" t="s">
        <v>12</v>
      </c>
      <c r="D1518" t="s">
        <v>13</v>
      </c>
      <c r="E1518">
        <v>12.5</v>
      </c>
      <c r="F1518">
        <v>12</v>
      </c>
      <c r="G1518">
        <v>0</v>
      </c>
      <c r="H1518">
        <v>150</v>
      </c>
      <c r="I1518">
        <f>AVERAGEIFS(sales_Data[units_sold], sales_Data[product_id],sales_Data[[#This Row],[product_id]])</f>
        <v>31.794520547945204</v>
      </c>
      <c r="J1518">
        <f>_xlfn.XLOOKUP(sales_Data[[#This Row],[product_id]],sales_Data[product_id],sales_Data[unit_price])</f>
        <v>12.5</v>
      </c>
    </row>
    <row r="1519" spans="1:10" x14ac:dyDescent="0.3">
      <c r="A1519" t="s">
        <v>1535</v>
      </c>
      <c r="B1519" s="1">
        <v>45961</v>
      </c>
      <c r="C1519" t="s">
        <v>15</v>
      </c>
      <c r="D1519" t="s">
        <v>16</v>
      </c>
      <c r="E1519">
        <v>35</v>
      </c>
      <c r="F1519">
        <v>37</v>
      </c>
      <c r="G1519">
        <v>0.2</v>
      </c>
      <c r="H1519">
        <v>1036</v>
      </c>
      <c r="I1519">
        <f>AVERAGEIFS(sales_Data[units_sold], sales_Data[product_id],sales_Data[[#This Row],[product_id]])</f>
        <v>30.438356164383563</v>
      </c>
      <c r="J1519">
        <f>_xlfn.XLOOKUP(sales_Data[[#This Row],[product_id]],sales_Data[product_id],sales_Data[unit_price])</f>
        <v>35</v>
      </c>
    </row>
    <row r="1520" spans="1:10" x14ac:dyDescent="0.3">
      <c r="A1520" t="s">
        <v>1536</v>
      </c>
      <c r="B1520" s="1">
        <v>45961</v>
      </c>
      <c r="C1520" t="s">
        <v>18</v>
      </c>
      <c r="D1520" t="s">
        <v>19</v>
      </c>
      <c r="E1520">
        <v>120</v>
      </c>
      <c r="F1520">
        <v>17</v>
      </c>
      <c r="G1520">
        <v>0.1</v>
      </c>
      <c r="H1520">
        <v>1836</v>
      </c>
      <c r="I1520">
        <f>AVERAGEIFS(sales_Data[units_sold], sales_Data[product_id],sales_Data[[#This Row],[product_id]])</f>
        <v>30.473972602739725</v>
      </c>
      <c r="J1520">
        <f>_xlfn.XLOOKUP(sales_Data[[#This Row],[product_id]],sales_Data[product_id],sales_Data[unit_price])</f>
        <v>120</v>
      </c>
    </row>
    <row r="1521" spans="1:10" x14ac:dyDescent="0.3">
      <c r="A1521" t="s">
        <v>1537</v>
      </c>
      <c r="B1521" s="1">
        <v>45961</v>
      </c>
      <c r="C1521" t="s">
        <v>21</v>
      </c>
      <c r="D1521" t="s">
        <v>22</v>
      </c>
      <c r="E1521">
        <v>25</v>
      </c>
      <c r="F1521">
        <v>7</v>
      </c>
      <c r="G1521">
        <v>0</v>
      </c>
      <c r="H1521">
        <v>175</v>
      </c>
      <c r="I1521">
        <f>AVERAGEIFS(sales_Data[units_sold], sales_Data[product_id],sales_Data[[#This Row],[product_id]])</f>
        <v>29.463013698630139</v>
      </c>
      <c r="J1521">
        <f>_xlfn.XLOOKUP(sales_Data[[#This Row],[product_id]],sales_Data[product_id],sales_Data[unit_price])</f>
        <v>25</v>
      </c>
    </row>
    <row r="1522" spans="1:10" x14ac:dyDescent="0.3">
      <c r="A1522" t="s">
        <v>1538</v>
      </c>
      <c r="B1522" s="1">
        <v>45962</v>
      </c>
      <c r="C1522" t="s">
        <v>9</v>
      </c>
      <c r="D1522" t="s">
        <v>10</v>
      </c>
      <c r="E1522">
        <v>45</v>
      </c>
      <c r="F1522">
        <v>15</v>
      </c>
      <c r="G1522">
        <v>0</v>
      </c>
      <c r="H1522">
        <v>675</v>
      </c>
      <c r="I1522">
        <f>AVERAGEIFS(sales_Data[units_sold], sales_Data[product_id],sales_Data[[#This Row],[product_id]])</f>
        <v>31.479452054794521</v>
      </c>
      <c r="J1522">
        <f>_xlfn.XLOOKUP(sales_Data[[#This Row],[product_id]],sales_Data[product_id],sales_Data[unit_price])</f>
        <v>45</v>
      </c>
    </row>
    <row r="1523" spans="1:10" x14ac:dyDescent="0.3">
      <c r="A1523" t="s">
        <v>1539</v>
      </c>
      <c r="B1523" s="1">
        <v>45962</v>
      </c>
      <c r="C1523" t="s">
        <v>12</v>
      </c>
      <c r="D1523" t="s">
        <v>13</v>
      </c>
      <c r="E1523">
        <v>12.5</v>
      </c>
      <c r="F1523">
        <v>72</v>
      </c>
      <c r="G1523">
        <v>0</v>
      </c>
      <c r="H1523">
        <v>900</v>
      </c>
      <c r="I1523">
        <f>AVERAGEIFS(sales_Data[units_sold], sales_Data[product_id],sales_Data[[#This Row],[product_id]])</f>
        <v>31.794520547945204</v>
      </c>
      <c r="J1523">
        <f>_xlfn.XLOOKUP(sales_Data[[#This Row],[product_id]],sales_Data[product_id],sales_Data[unit_price])</f>
        <v>12.5</v>
      </c>
    </row>
    <row r="1524" spans="1:10" x14ac:dyDescent="0.3">
      <c r="A1524" t="s">
        <v>1540</v>
      </c>
      <c r="B1524" s="1">
        <v>45962</v>
      </c>
      <c r="C1524" t="s">
        <v>15</v>
      </c>
      <c r="D1524" t="s">
        <v>16</v>
      </c>
      <c r="E1524">
        <v>35</v>
      </c>
      <c r="F1524">
        <v>69</v>
      </c>
      <c r="G1524">
        <v>0</v>
      </c>
      <c r="H1524">
        <v>2415</v>
      </c>
      <c r="I1524">
        <f>AVERAGEIFS(sales_Data[units_sold], sales_Data[product_id],sales_Data[[#This Row],[product_id]])</f>
        <v>30.438356164383563</v>
      </c>
      <c r="J1524">
        <f>_xlfn.XLOOKUP(sales_Data[[#This Row],[product_id]],sales_Data[product_id],sales_Data[unit_price])</f>
        <v>35</v>
      </c>
    </row>
    <row r="1525" spans="1:10" x14ac:dyDescent="0.3">
      <c r="A1525" t="s">
        <v>1541</v>
      </c>
      <c r="B1525" s="1">
        <v>45962</v>
      </c>
      <c r="C1525" t="s">
        <v>18</v>
      </c>
      <c r="D1525" t="s">
        <v>19</v>
      </c>
      <c r="E1525">
        <v>120</v>
      </c>
      <c r="F1525">
        <v>39</v>
      </c>
      <c r="G1525">
        <v>0</v>
      </c>
      <c r="H1525">
        <v>4680</v>
      </c>
      <c r="I1525">
        <f>AVERAGEIFS(sales_Data[units_sold], sales_Data[product_id],sales_Data[[#This Row],[product_id]])</f>
        <v>30.473972602739725</v>
      </c>
      <c r="J1525">
        <f>_xlfn.XLOOKUP(sales_Data[[#This Row],[product_id]],sales_Data[product_id],sales_Data[unit_price])</f>
        <v>120</v>
      </c>
    </row>
    <row r="1526" spans="1:10" x14ac:dyDescent="0.3">
      <c r="A1526" t="s">
        <v>1542</v>
      </c>
      <c r="B1526" s="1">
        <v>45962</v>
      </c>
      <c r="C1526" t="s">
        <v>21</v>
      </c>
      <c r="D1526" t="s">
        <v>22</v>
      </c>
      <c r="E1526">
        <v>25</v>
      </c>
      <c r="F1526">
        <v>40</v>
      </c>
      <c r="G1526">
        <v>0</v>
      </c>
      <c r="H1526">
        <v>1000</v>
      </c>
      <c r="I1526">
        <f>AVERAGEIFS(sales_Data[units_sold], sales_Data[product_id],sales_Data[[#This Row],[product_id]])</f>
        <v>29.463013698630139</v>
      </c>
      <c r="J1526">
        <f>_xlfn.XLOOKUP(sales_Data[[#This Row],[product_id]],sales_Data[product_id],sales_Data[unit_price])</f>
        <v>25</v>
      </c>
    </row>
    <row r="1527" spans="1:10" x14ac:dyDescent="0.3">
      <c r="A1527" t="s">
        <v>1543</v>
      </c>
      <c r="B1527" s="1">
        <v>45963</v>
      </c>
      <c r="C1527" t="s">
        <v>9</v>
      </c>
      <c r="D1527" t="s">
        <v>10</v>
      </c>
      <c r="E1527">
        <v>45</v>
      </c>
      <c r="F1527">
        <v>36</v>
      </c>
      <c r="G1527">
        <v>0.2</v>
      </c>
      <c r="H1527">
        <v>1296</v>
      </c>
      <c r="I1527">
        <f>AVERAGEIFS(sales_Data[units_sold], sales_Data[product_id],sales_Data[[#This Row],[product_id]])</f>
        <v>31.479452054794521</v>
      </c>
      <c r="J1527">
        <f>_xlfn.XLOOKUP(sales_Data[[#This Row],[product_id]],sales_Data[product_id],sales_Data[unit_price])</f>
        <v>45</v>
      </c>
    </row>
    <row r="1528" spans="1:10" x14ac:dyDescent="0.3">
      <c r="A1528" t="s">
        <v>1544</v>
      </c>
      <c r="B1528" s="1">
        <v>45963</v>
      </c>
      <c r="C1528" t="s">
        <v>12</v>
      </c>
      <c r="D1528" t="s">
        <v>13</v>
      </c>
      <c r="E1528">
        <v>12.5</v>
      </c>
      <c r="F1528">
        <v>63</v>
      </c>
      <c r="G1528">
        <v>0</v>
      </c>
      <c r="H1528">
        <v>787.5</v>
      </c>
      <c r="I1528">
        <f>AVERAGEIFS(sales_Data[units_sold], sales_Data[product_id],sales_Data[[#This Row],[product_id]])</f>
        <v>31.794520547945204</v>
      </c>
      <c r="J1528">
        <f>_xlfn.XLOOKUP(sales_Data[[#This Row],[product_id]],sales_Data[product_id],sales_Data[unit_price])</f>
        <v>12.5</v>
      </c>
    </row>
    <row r="1529" spans="1:10" x14ac:dyDescent="0.3">
      <c r="A1529" t="s">
        <v>1545</v>
      </c>
      <c r="B1529" s="1">
        <v>45963</v>
      </c>
      <c r="C1529" t="s">
        <v>15</v>
      </c>
      <c r="D1529" t="s">
        <v>16</v>
      </c>
      <c r="E1529">
        <v>35</v>
      </c>
      <c r="F1529">
        <v>61</v>
      </c>
      <c r="G1529">
        <v>0</v>
      </c>
      <c r="H1529">
        <v>2135</v>
      </c>
      <c r="I1529">
        <f>AVERAGEIFS(sales_Data[units_sold], sales_Data[product_id],sales_Data[[#This Row],[product_id]])</f>
        <v>30.438356164383563</v>
      </c>
      <c r="J1529">
        <f>_xlfn.XLOOKUP(sales_Data[[#This Row],[product_id]],sales_Data[product_id],sales_Data[unit_price])</f>
        <v>35</v>
      </c>
    </row>
    <row r="1530" spans="1:10" x14ac:dyDescent="0.3">
      <c r="A1530" t="s">
        <v>1546</v>
      </c>
      <c r="B1530" s="1">
        <v>45963</v>
      </c>
      <c r="C1530" t="s">
        <v>18</v>
      </c>
      <c r="D1530" t="s">
        <v>19</v>
      </c>
      <c r="E1530">
        <v>120</v>
      </c>
      <c r="F1530">
        <v>67</v>
      </c>
      <c r="G1530">
        <v>0</v>
      </c>
      <c r="H1530">
        <v>8040</v>
      </c>
      <c r="I1530">
        <f>AVERAGEIFS(sales_Data[units_sold], sales_Data[product_id],sales_Data[[#This Row],[product_id]])</f>
        <v>30.473972602739725</v>
      </c>
      <c r="J1530">
        <f>_xlfn.XLOOKUP(sales_Data[[#This Row],[product_id]],sales_Data[product_id],sales_Data[unit_price])</f>
        <v>120</v>
      </c>
    </row>
    <row r="1531" spans="1:10" x14ac:dyDescent="0.3">
      <c r="A1531" t="s">
        <v>1547</v>
      </c>
      <c r="B1531" s="1">
        <v>45963</v>
      </c>
      <c r="C1531" t="s">
        <v>21</v>
      </c>
      <c r="D1531" t="s">
        <v>22</v>
      </c>
      <c r="E1531">
        <v>25</v>
      </c>
      <c r="F1531">
        <v>46</v>
      </c>
      <c r="G1531">
        <v>0.1</v>
      </c>
      <c r="H1531">
        <v>1035</v>
      </c>
      <c r="I1531">
        <f>AVERAGEIFS(sales_Data[units_sold], sales_Data[product_id],sales_Data[[#This Row],[product_id]])</f>
        <v>29.463013698630139</v>
      </c>
      <c r="J1531">
        <f>_xlfn.XLOOKUP(sales_Data[[#This Row],[product_id]],sales_Data[product_id],sales_Data[unit_price])</f>
        <v>25</v>
      </c>
    </row>
    <row r="1532" spans="1:10" x14ac:dyDescent="0.3">
      <c r="A1532" t="s">
        <v>1548</v>
      </c>
      <c r="B1532" s="1">
        <v>45964</v>
      </c>
      <c r="C1532" t="s">
        <v>9</v>
      </c>
      <c r="D1532" t="s">
        <v>10</v>
      </c>
      <c r="E1532">
        <v>45</v>
      </c>
      <c r="F1532">
        <v>42</v>
      </c>
      <c r="G1532">
        <v>0</v>
      </c>
      <c r="H1532">
        <v>1890</v>
      </c>
      <c r="I1532">
        <f>AVERAGEIFS(sales_Data[units_sold], sales_Data[product_id],sales_Data[[#This Row],[product_id]])</f>
        <v>31.479452054794521</v>
      </c>
      <c r="J1532">
        <f>_xlfn.XLOOKUP(sales_Data[[#This Row],[product_id]],sales_Data[product_id],sales_Data[unit_price])</f>
        <v>45</v>
      </c>
    </row>
    <row r="1533" spans="1:10" x14ac:dyDescent="0.3">
      <c r="A1533" t="s">
        <v>1549</v>
      </c>
      <c r="B1533" s="1">
        <v>45964</v>
      </c>
      <c r="C1533" t="s">
        <v>12</v>
      </c>
      <c r="D1533" t="s">
        <v>13</v>
      </c>
      <c r="E1533">
        <v>12.5</v>
      </c>
      <c r="F1533">
        <v>25</v>
      </c>
      <c r="G1533">
        <v>0</v>
      </c>
      <c r="H1533">
        <v>312.5</v>
      </c>
      <c r="I1533">
        <f>AVERAGEIFS(sales_Data[units_sold], sales_Data[product_id],sales_Data[[#This Row],[product_id]])</f>
        <v>31.794520547945204</v>
      </c>
      <c r="J1533">
        <f>_xlfn.XLOOKUP(sales_Data[[#This Row],[product_id]],sales_Data[product_id],sales_Data[unit_price])</f>
        <v>12.5</v>
      </c>
    </row>
    <row r="1534" spans="1:10" x14ac:dyDescent="0.3">
      <c r="A1534" t="s">
        <v>1550</v>
      </c>
      <c r="B1534" s="1">
        <v>45964</v>
      </c>
      <c r="C1534" t="s">
        <v>15</v>
      </c>
      <c r="D1534" t="s">
        <v>16</v>
      </c>
      <c r="E1534">
        <v>35</v>
      </c>
      <c r="F1534">
        <v>39</v>
      </c>
      <c r="G1534">
        <v>0</v>
      </c>
      <c r="H1534">
        <v>1365</v>
      </c>
      <c r="I1534">
        <f>AVERAGEIFS(sales_Data[units_sold], sales_Data[product_id],sales_Data[[#This Row],[product_id]])</f>
        <v>30.438356164383563</v>
      </c>
      <c r="J1534">
        <f>_xlfn.XLOOKUP(sales_Data[[#This Row],[product_id]],sales_Data[product_id],sales_Data[unit_price])</f>
        <v>35</v>
      </c>
    </row>
    <row r="1535" spans="1:10" x14ac:dyDescent="0.3">
      <c r="A1535" t="s">
        <v>1551</v>
      </c>
      <c r="B1535" s="1">
        <v>45964</v>
      </c>
      <c r="C1535" t="s">
        <v>18</v>
      </c>
      <c r="D1535" t="s">
        <v>19</v>
      </c>
      <c r="E1535">
        <v>120</v>
      </c>
      <c r="F1535">
        <v>44</v>
      </c>
      <c r="G1535">
        <v>0.1</v>
      </c>
      <c r="H1535">
        <v>4752</v>
      </c>
      <c r="I1535">
        <f>AVERAGEIFS(sales_Data[units_sold], sales_Data[product_id],sales_Data[[#This Row],[product_id]])</f>
        <v>30.473972602739725</v>
      </c>
      <c r="J1535">
        <f>_xlfn.XLOOKUP(sales_Data[[#This Row],[product_id]],sales_Data[product_id],sales_Data[unit_price])</f>
        <v>120</v>
      </c>
    </row>
    <row r="1536" spans="1:10" x14ac:dyDescent="0.3">
      <c r="A1536" t="s">
        <v>1552</v>
      </c>
      <c r="B1536" s="1">
        <v>45964</v>
      </c>
      <c r="C1536" t="s">
        <v>21</v>
      </c>
      <c r="D1536" t="s">
        <v>22</v>
      </c>
      <c r="E1536">
        <v>25</v>
      </c>
      <c r="F1536">
        <v>26</v>
      </c>
      <c r="G1536">
        <v>0.2</v>
      </c>
      <c r="H1536">
        <v>520</v>
      </c>
      <c r="I1536">
        <f>AVERAGEIFS(sales_Data[units_sold], sales_Data[product_id],sales_Data[[#This Row],[product_id]])</f>
        <v>29.463013698630139</v>
      </c>
      <c r="J1536">
        <f>_xlfn.XLOOKUP(sales_Data[[#This Row],[product_id]],sales_Data[product_id],sales_Data[unit_price])</f>
        <v>25</v>
      </c>
    </row>
    <row r="1537" spans="1:10" x14ac:dyDescent="0.3">
      <c r="A1537" t="s">
        <v>1553</v>
      </c>
      <c r="B1537" s="1">
        <v>45965</v>
      </c>
      <c r="C1537" t="s">
        <v>9</v>
      </c>
      <c r="D1537" t="s">
        <v>10</v>
      </c>
      <c r="E1537">
        <v>45</v>
      </c>
      <c r="F1537">
        <v>29</v>
      </c>
      <c r="G1537">
        <v>0.2</v>
      </c>
      <c r="H1537">
        <v>1044</v>
      </c>
      <c r="I1537">
        <f>AVERAGEIFS(sales_Data[units_sold], sales_Data[product_id],sales_Data[[#This Row],[product_id]])</f>
        <v>31.479452054794521</v>
      </c>
      <c r="J1537">
        <f>_xlfn.XLOOKUP(sales_Data[[#This Row],[product_id]],sales_Data[product_id],sales_Data[unit_price])</f>
        <v>45</v>
      </c>
    </row>
    <row r="1538" spans="1:10" x14ac:dyDescent="0.3">
      <c r="A1538" t="s">
        <v>1554</v>
      </c>
      <c r="B1538" s="1">
        <v>45965</v>
      </c>
      <c r="C1538" t="s">
        <v>12</v>
      </c>
      <c r="D1538" t="s">
        <v>13</v>
      </c>
      <c r="E1538">
        <v>12.5</v>
      </c>
      <c r="F1538">
        <v>31</v>
      </c>
      <c r="G1538">
        <v>0</v>
      </c>
      <c r="H1538">
        <v>387.5</v>
      </c>
      <c r="I1538">
        <f>AVERAGEIFS(sales_Data[units_sold], sales_Data[product_id],sales_Data[[#This Row],[product_id]])</f>
        <v>31.794520547945204</v>
      </c>
      <c r="J1538">
        <f>_xlfn.XLOOKUP(sales_Data[[#This Row],[product_id]],sales_Data[product_id],sales_Data[unit_price])</f>
        <v>12.5</v>
      </c>
    </row>
    <row r="1539" spans="1:10" x14ac:dyDescent="0.3">
      <c r="A1539" t="s">
        <v>1555</v>
      </c>
      <c r="B1539" s="1">
        <v>45965</v>
      </c>
      <c r="C1539" t="s">
        <v>15</v>
      </c>
      <c r="D1539" t="s">
        <v>16</v>
      </c>
      <c r="E1539">
        <v>35</v>
      </c>
      <c r="F1539">
        <v>30</v>
      </c>
      <c r="G1539">
        <v>0</v>
      </c>
      <c r="H1539">
        <v>1050</v>
      </c>
      <c r="I1539">
        <f>AVERAGEIFS(sales_Data[units_sold], sales_Data[product_id],sales_Data[[#This Row],[product_id]])</f>
        <v>30.438356164383563</v>
      </c>
      <c r="J1539">
        <f>_xlfn.XLOOKUP(sales_Data[[#This Row],[product_id]],sales_Data[product_id],sales_Data[unit_price])</f>
        <v>35</v>
      </c>
    </row>
    <row r="1540" spans="1:10" x14ac:dyDescent="0.3">
      <c r="A1540" t="s">
        <v>1556</v>
      </c>
      <c r="B1540" s="1">
        <v>45965</v>
      </c>
      <c r="C1540" t="s">
        <v>18</v>
      </c>
      <c r="D1540" t="s">
        <v>19</v>
      </c>
      <c r="E1540">
        <v>120</v>
      </c>
      <c r="F1540">
        <v>23</v>
      </c>
      <c r="G1540">
        <v>0.2</v>
      </c>
      <c r="H1540">
        <v>2208</v>
      </c>
      <c r="I1540">
        <f>AVERAGEIFS(sales_Data[units_sold], sales_Data[product_id],sales_Data[[#This Row],[product_id]])</f>
        <v>30.473972602739725</v>
      </c>
      <c r="J1540">
        <f>_xlfn.XLOOKUP(sales_Data[[#This Row],[product_id]],sales_Data[product_id],sales_Data[unit_price])</f>
        <v>120</v>
      </c>
    </row>
    <row r="1541" spans="1:10" x14ac:dyDescent="0.3">
      <c r="A1541" t="s">
        <v>1557</v>
      </c>
      <c r="B1541" s="1">
        <v>45965</v>
      </c>
      <c r="C1541" t="s">
        <v>21</v>
      </c>
      <c r="D1541" t="s">
        <v>22</v>
      </c>
      <c r="E1541">
        <v>25</v>
      </c>
      <c r="F1541">
        <v>44</v>
      </c>
      <c r="G1541">
        <v>0</v>
      </c>
      <c r="H1541">
        <v>1100</v>
      </c>
      <c r="I1541">
        <f>AVERAGEIFS(sales_Data[units_sold], sales_Data[product_id],sales_Data[[#This Row],[product_id]])</f>
        <v>29.463013698630139</v>
      </c>
      <c r="J1541">
        <f>_xlfn.XLOOKUP(sales_Data[[#This Row],[product_id]],sales_Data[product_id],sales_Data[unit_price])</f>
        <v>25</v>
      </c>
    </row>
    <row r="1542" spans="1:10" x14ac:dyDescent="0.3">
      <c r="A1542" t="s">
        <v>1558</v>
      </c>
      <c r="B1542" s="1">
        <v>45966</v>
      </c>
      <c r="C1542" t="s">
        <v>9</v>
      </c>
      <c r="D1542" t="s">
        <v>10</v>
      </c>
      <c r="E1542">
        <v>45</v>
      </c>
      <c r="F1542">
        <v>43</v>
      </c>
      <c r="G1542">
        <v>0</v>
      </c>
      <c r="H1542">
        <v>1935</v>
      </c>
      <c r="I1542">
        <f>AVERAGEIFS(sales_Data[units_sold], sales_Data[product_id],sales_Data[[#This Row],[product_id]])</f>
        <v>31.479452054794521</v>
      </c>
      <c r="J1542">
        <f>_xlfn.XLOOKUP(sales_Data[[#This Row],[product_id]],sales_Data[product_id],sales_Data[unit_price])</f>
        <v>45</v>
      </c>
    </row>
    <row r="1543" spans="1:10" x14ac:dyDescent="0.3">
      <c r="A1543" t="s">
        <v>1559</v>
      </c>
      <c r="B1543" s="1">
        <v>45966</v>
      </c>
      <c r="C1543" t="s">
        <v>12</v>
      </c>
      <c r="D1543" t="s">
        <v>13</v>
      </c>
      <c r="E1543">
        <v>12.5</v>
      </c>
      <c r="F1543">
        <v>36</v>
      </c>
      <c r="G1543">
        <v>0</v>
      </c>
      <c r="H1543">
        <v>450</v>
      </c>
      <c r="I1543">
        <f>AVERAGEIFS(sales_Data[units_sold], sales_Data[product_id],sales_Data[[#This Row],[product_id]])</f>
        <v>31.794520547945204</v>
      </c>
      <c r="J1543">
        <f>_xlfn.XLOOKUP(sales_Data[[#This Row],[product_id]],sales_Data[product_id],sales_Data[unit_price])</f>
        <v>12.5</v>
      </c>
    </row>
    <row r="1544" spans="1:10" x14ac:dyDescent="0.3">
      <c r="A1544" t="s">
        <v>1560</v>
      </c>
      <c r="B1544" s="1">
        <v>45966</v>
      </c>
      <c r="C1544" t="s">
        <v>15</v>
      </c>
      <c r="D1544" t="s">
        <v>16</v>
      </c>
      <c r="E1544">
        <v>35</v>
      </c>
      <c r="F1544">
        <v>10</v>
      </c>
      <c r="G1544">
        <v>0</v>
      </c>
      <c r="H1544">
        <v>350</v>
      </c>
      <c r="I1544">
        <f>AVERAGEIFS(sales_Data[units_sold], sales_Data[product_id],sales_Data[[#This Row],[product_id]])</f>
        <v>30.438356164383563</v>
      </c>
      <c r="J1544">
        <f>_xlfn.XLOOKUP(sales_Data[[#This Row],[product_id]],sales_Data[product_id],sales_Data[unit_price])</f>
        <v>35</v>
      </c>
    </row>
    <row r="1545" spans="1:10" x14ac:dyDescent="0.3">
      <c r="A1545" t="s">
        <v>1561</v>
      </c>
      <c r="B1545" s="1">
        <v>45966</v>
      </c>
      <c r="C1545" t="s">
        <v>18</v>
      </c>
      <c r="D1545" t="s">
        <v>19</v>
      </c>
      <c r="E1545">
        <v>120</v>
      </c>
      <c r="F1545">
        <v>28</v>
      </c>
      <c r="G1545">
        <v>0</v>
      </c>
      <c r="H1545">
        <v>3360</v>
      </c>
      <c r="I1545">
        <f>AVERAGEIFS(sales_Data[units_sold], sales_Data[product_id],sales_Data[[#This Row],[product_id]])</f>
        <v>30.473972602739725</v>
      </c>
      <c r="J1545">
        <f>_xlfn.XLOOKUP(sales_Data[[#This Row],[product_id]],sales_Data[product_id],sales_Data[unit_price])</f>
        <v>120</v>
      </c>
    </row>
    <row r="1546" spans="1:10" x14ac:dyDescent="0.3">
      <c r="A1546" t="s">
        <v>1562</v>
      </c>
      <c r="B1546" s="1">
        <v>45966</v>
      </c>
      <c r="C1546" t="s">
        <v>21</v>
      </c>
      <c r="D1546" t="s">
        <v>22</v>
      </c>
      <c r="E1546">
        <v>25</v>
      </c>
      <c r="F1546">
        <v>15</v>
      </c>
      <c r="G1546">
        <v>0</v>
      </c>
      <c r="H1546">
        <v>375</v>
      </c>
      <c r="I1546">
        <f>AVERAGEIFS(sales_Data[units_sold], sales_Data[product_id],sales_Data[[#This Row],[product_id]])</f>
        <v>29.463013698630139</v>
      </c>
      <c r="J1546">
        <f>_xlfn.XLOOKUP(sales_Data[[#This Row],[product_id]],sales_Data[product_id],sales_Data[unit_price])</f>
        <v>25</v>
      </c>
    </row>
    <row r="1547" spans="1:10" x14ac:dyDescent="0.3">
      <c r="A1547" t="s">
        <v>1563</v>
      </c>
      <c r="B1547" s="1">
        <v>45967</v>
      </c>
      <c r="C1547" t="s">
        <v>9</v>
      </c>
      <c r="D1547" t="s">
        <v>10</v>
      </c>
      <c r="E1547">
        <v>45</v>
      </c>
      <c r="F1547">
        <v>14</v>
      </c>
      <c r="G1547">
        <v>0.1</v>
      </c>
      <c r="H1547">
        <v>567</v>
      </c>
      <c r="I1547">
        <f>AVERAGEIFS(sales_Data[units_sold], sales_Data[product_id],sales_Data[[#This Row],[product_id]])</f>
        <v>31.479452054794521</v>
      </c>
      <c r="J1547">
        <f>_xlfn.XLOOKUP(sales_Data[[#This Row],[product_id]],sales_Data[product_id],sales_Data[unit_price])</f>
        <v>45</v>
      </c>
    </row>
    <row r="1548" spans="1:10" x14ac:dyDescent="0.3">
      <c r="A1548" t="s">
        <v>1564</v>
      </c>
      <c r="B1548" s="1">
        <v>45967</v>
      </c>
      <c r="C1548" t="s">
        <v>12</v>
      </c>
      <c r="D1548" t="s">
        <v>13</v>
      </c>
      <c r="E1548">
        <v>12.5</v>
      </c>
      <c r="F1548">
        <v>17</v>
      </c>
      <c r="G1548">
        <v>0</v>
      </c>
      <c r="H1548">
        <v>212.5</v>
      </c>
      <c r="I1548">
        <f>AVERAGEIFS(sales_Data[units_sold], sales_Data[product_id],sales_Data[[#This Row],[product_id]])</f>
        <v>31.794520547945204</v>
      </c>
      <c r="J1548">
        <f>_xlfn.XLOOKUP(sales_Data[[#This Row],[product_id]],sales_Data[product_id],sales_Data[unit_price])</f>
        <v>12.5</v>
      </c>
    </row>
    <row r="1549" spans="1:10" x14ac:dyDescent="0.3">
      <c r="A1549" t="s">
        <v>1565</v>
      </c>
      <c r="B1549" s="1">
        <v>45967</v>
      </c>
      <c r="C1549" t="s">
        <v>15</v>
      </c>
      <c r="D1549" t="s">
        <v>16</v>
      </c>
      <c r="E1549">
        <v>35</v>
      </c>
      <c r="F1549">
        <v>21</v>
      </c>
      <c r="G1549">
        <v>0</v>
      </c>
      <c r="H1549">
        <v>735</v>
      </c>
      <c r="I1549">
        <f>AVERAGEIFS(sales_Data[units_sold], sales_Data[product_id],sales_Data[[#This Row],[product_id]])</f>
        <v>30.438356164383563</v>
      </c>
      <c r="J1549">
        <f>_xlfn.XLOOKUP(sales_Data[[#This Row],[product_id]],sales_Data[product_id],sales_Data[unit_price])</f>
        <v>35</v>
      </c>
    </row>
    <row r="1550" spans="1:10" x14ac:dyDescent="0.3">
      <c r="A1550" t="s">
        <v>1566</v>
      </c>
      <c r="B1550" s="1">
        <v>45967</v>
      </c>
      <c r="C1550" t="s">
        <v>18</v>
      </c>
      <c r="D1550" t="s">
        <v>19</v>
      </c>
      <c r="E1550">
        <v>120</v>
      </c>
      <c r="F1550">
        <v>24</v>
      </c>
      <c r="G1550">
        <v>0</v>
      </c>
      <c r="H1550">
        <v>2880</v>
      </c>
      <c r="I1550">
        <f>AVERAGEIFS(sales_Data[units_sold], sales_Data[product_id],sales_Data[[#This Row],[product_id]])</f>
        <v>30.473972602739725</v>
      </c>
      <c r="J1550">
        <f>_xlfn.XLOOKUP(sales_Data[[#This Row],[product_id]],sales_Data[product_id],sales_Data[unit_price])</f>
        <v>120</v>
      </c>
    </row>
    <row r="1551" spans="1:10" x14ac:dyDescent="0.3">
      <c r="A1551" t="s">
        <v>1567</v>
      </c>
      <c r="B1551" s="1">
        <v>45967</v>
      </c>
      <c r="C1551" t="s">
        <v>21</v>
      </c>
      <c r="D1551" t="s">
        <v>22</v>
      </c>
      <c r="E1551">
        <v>25</v>
      </c>
      <c r="F1551">
        <v>33</v>
      </c>
      <c r="G1551">
        <v>0</v>
      </c>
      <c r="H1551">
        <v>825</v>
      </c>
      <c r="I1551">
        <f>AVERAGEIFS(sales_Data[units_sold], sales_Data[product_id],sales_Data[[#This Row],[product_id]])</f>
        <v>29.463013698630139</v>
      </c>
      <c r="J1551">
        <f>_xlfn.XLOOKUP(sales_Data[[#This Row],[product_id]],sales_Data[product_id],sales_Data[unit_price])</f>
        <v>25</v>
      </c>
    </row>
    <row r="1552" spans="1:10" x14ac:dyDescent="0.3">
      <c r="A1552" t="s">
        <v>1568</v>
      </c>
      <c r="B1552" s="1">
        <v>45968</v>
      </c>
      <c r="C1552" t="s">
        <v>9</v>
      </c>
      <c r="D1552" t="s">
        <v>10</v>
      </c>
      <c r="E1552">
        <v>45</v>
      </c>
      <c r="F1552">
        <v>22</v>
      </c>
      <c r="G1552">
        <v>0</v>
      </c>
      <c r="H1552">
        <v>990</v>
      </c>
      <c r="I1552">
        <f>AVERAGEIFS(sales_Data[units_sold], sales_Data[product_id],sales_Data[[#This Row],[product_id]])</f>
        <v>31.479452054794521</v>
      </c>
      <c r="J1552">
        <f>_xlfn.XLOOKUP(sales_Data[[#This Row],[product_id]],sales_Data[product_id],sales_Data[unit_price])</f>
        <v>45</v>
      </c>
    </row>
    <row r="1553" spans="1:10" x14ac:dyDescent="0.3">
      <c r="A1553" t="s">
        <v>1569</v>
      </c>
      <c r="B1553" s="1">
        <v>45968</v>
      </c>
      <c r="C1553" t="s">
        <v>12</v>
      </c>
      <c r="D1553" t="s">
        <v>13</v>
      </c>
      <c r="E1553">
        <v>12.5</v>
      </c>
      <c r="F1553">
        <v>35</v>
      </c>
      <c r="G1553">
        <v>0</v>
      </c>
      <c r="H1553">
        <v>437.5</v>
      </c>
      <c r="I1553">
        <f>AVERAGEIFS(sales_Data[units_sold], sales_Data[product_id],sales_Data[[#This Row],[product_id]])</f>
        <v>31.794520547945204</v>
      </c>
      <c r="J1553">
        <f>_xlfn.XLOOKUP(sales_Data[[#This Row],[product_id]],sales_Data[product_id],sales_Data[unit_price])</f>
        <v>12.5</v>
      </c>
    </row>
    <row r="1554" spans="1:10" x14ac:dyDescent="0.3">
      <c r="A1554" t="s">
        <v>1570</v>
      </c>
      <c r="B1554" s="1">
        <v>45968</v>
      </c>
      <c r="C1554" t="s">
        <v>15</v>
      </c>
      <c r="D1554" t="s">
        <v>16</v>
      </c>
      <c r="E1554">
        <v>35</v>
      </c>
      <c r="F1554">
        <v>40</v>
      </c>
      <c r="G1554">
        <v>0</v>
      </c>
      <c r="H1554">
        <v>1400</v>
      </c>
      <c r="I1554">
        <f>AVERAGEIFS(sales_Data[units_sold], sales_Data[product_id],sales_Data[[#This Row],[product_id]])</f>
        <v>30.438356164383563</v>
      </c>
      <c r="J1554">
        <f>_xlfn.XLOOKUP(sales_Data[[#This Row],[product_id]],sales_Data[product_id],sales_Data[unit_price])</f>
        <v>35</v>
      </c>
    </row>
    <row r="1555" spans="1:10" x14ac:dyDescent="0.3">
      <c r="A1555" t="s">
        <v>1571</v>
      </c>
      <c r="B1555" s="1">
        <v>45968</v>
      </c>
      <c r="C1555" t="s">
        <v>18</v>
      </c>
      <c r="D1555" t="s">
        <v>19</v>
      </c>
      <c r="E1555">
        <v>120</v>
      </c>
      <c r="F1555">
        <v>46</v>
      </c>
      <c r="G1555">
        <v>0</v>
      </c>
      <c r="H1555">
        <v>5520</v>
      </c>
      <c r="I1555">
        <f>AVERAGEIFS(sales_Data[units_sold], sales_Data[product_id],sales_Data[[#This Row],[product_id]])</f>
        <v>30.473972602739725</v>
      </c>
      <c r="J1555">
        <f>_xlfn.XLOOKUP(sales_Data[[#This Row],[product_id]],sales_Data[product_id],sales_Data[unit_price])</f>
        <v>120</v>
      </c>
    </row>
    <row r="1556" spans="1:10" x14ac:dyDescent="0.3">
      <c r="A1556" t="s">
        <v>1572</v>
      </c>
      <c r="B1556" s="1">
        <v>45968</v>
      </c>
      <c r="C1556" t="s">
        <v>21</v>
      </c>
      <c r="D1556" t="s">
        <v>22</v>
      </c>
      <c r="E1556">
        <v>25</v>
      </c>
      <c r="F1556">
        <v>5</v>
      </c>
      <c r="G1556">
        <v>0</v>
      </c>
      <c r="H1556">
        <v>125</v>
      </c>
      <c r="I1556">
        <f>AVERAGEIFS(sales_Data[units_sold], sales_Data[product_id],sales_Data[[#This Row],[product_id]])</f>
        <v>29.463013698630139</v>
      </c>
      <c r="J1556">
        <f>_xlfn.XLOOKUP(sales_Data[[#This Row],[product_id]],sales_Data[product_id],sales_Data[unit_price])</f>
        <v>25</v>
      </c>
    </row>
    <row r="1557" spans="1:10" x14ac:dyDescent="0.3">
      <c r="A1557" t="s">
        <v>1573</v>
      </c>
      <c r="B1557" s="1">
        <v>45969</v>
      </c>
      <c r="C1557" t="s">
        <v>9</v>
      </c>
      <c r="D1557" t="s">
        <v>10</v>
      </c>
      <c r="E1557">
        <v>45</v>
      </c>
      <c r="F1557">
        <v>10</v>
      </c>
      <c r="G1557">
        <v>0.2</v>
      </c>
      <c r="H1557">
        <v>360</v>
      </c>
      <c r="I1557">
        <f>AVERAGEIFS(sales_Data[units_sold], sales_Data[product_id],sales_Data[[#This Row],[product_id]])</f>
        <v>31.479452054794521</v>
      </c>
      <c r="J1557">
        <f>_xlfn.XLOOKUP(sales_Data[[#This Row],[product_id]],sales_Data[product_id],sales_Data[unit_price])</f>
        <v>45</v>
      </c>
    </row>
    <row r="1558" spans="1:10" x14ac:dyDescent="0.3">
      <c r="A1558" t="s">
        <v>1574</v>
      </c>
      <c r="B1558" s="1">
        <v>45969</v>
      </c>
      <c r="C1558" t="s">
        <v>12</v>
      </c>
      <c r="D1558" t="s">
        <v>13</v>
      </c>
      <c r="E1558">
        <v>12.5</v>
      </c>
      <c r="F1558">
        <v>51</v>
      </c>
      <c r="G1558">
        <v>0</v>
      </c>
      <c r="H1558">
        <v>637.5</v>
      </c>
      <c r="I1558">
        <f>AVERAGEIFS(sales_Data[units_sold], sales_Data[product_id],sales_Data[[#This Row],[product_id]])</f>
        <v>31.794520547945204</v>
      </c>
      <c r="J1558">
        <f>_xlfn.XLOOKUP(sales_Data[[#This Row],[product_id]],sales_Data[product_id],sales_Data[unit_price])</f>
        <v>12.5</v>
      </c>
    </row>
    <row r="1559" spans="1:10" x14ac:dyDescent="0.3">
      <c r="A1559" t="s">
        <v>1575</v>
      </c>
      <c r="B1559" s="1">
        <v>45969</v>
      </c>
      <c r="C1559" t="s">
        <v>15</v>
      </c>
      <c r="D1559" t="s">
        <v>16</v>
      </c>
      <c r="E1559">
        <v>35</v>
      </c>
      <c r="F1559">
        <v>39</v>
      </c>
      <c r="G1559">
        <v>0.1</v>
      </c>
      <c r="H1559">
        <v>1228.5</v>
      </c>
      <c r="I1559">
        <f>AVERAGEIFS(sales_Data[units_sold], sales_Data[product_id],sales_Data[[#This Row],[product_id]])</f>
        <v>30.438356164383563</v>
      </c>
      <c r="J1559">
        <f>_xlfn.XLOOKUP(sales_Data[[#This Row],[product_id]],sales_Data[product_id],sales_Data[unit_price])</f>
        <v>35</v>
      </c>
    </row>
    <row r="1560" spans="1:10" x14ac:dyDescent="0.3">
      <c r="A1560" t="s">
        <v>1576</v>
      </c>
      <c r="B1560" s="1">
        <v>45969</v>
      </c>
      <c r="C1560" t="s">
        <v>18</v>
      </c>
      <c r="D1560" t="s">
        <v>19</v>
      </c>
      <c r="E1560">
        <v>120</v>
      </c>
      <c r="F1560">
        <v>46</v>
      </c>
      <c r="G1560">
        <v>0</v>
      </c>
      <c r="H1560">
        <v>5520</v>
      </c>
      <c r="I1560">
        <f>AVERAGEIFS(sales_Data[units_sold], sales_Data[product_id],sales_Data[[#This Row],[product_id]])</f>
        <v>30.473972602739725</v>
      </c>
      <c r="J1560">
        <f>_xlfn.XLOOKUP(sales_Data[[#This Row],[product_id]],sales_Data[product_id],sales_Data[unit_price])</f>
        <v>120</v>
      </c>
    </row>
    <row r="1561" spans="1:10" x14ac:dyDescent="0.3">
      <c r="A1561" t="s">
        <v>1577</v>
      </c>
      <c r="B1561" s="1">
        <v>45969</v>
      </c>
      <c r="C1561" t="s">
        <v>21</v>
      </c>
      <c r="D1561" t="s">
        <v>22</v>
      </c>
      <c r="E1561">
        <v>25</v>
      </c>
      <c r="F1561">
        <v>37</v>
      </c>
      <c r="G1561">
        <v>0</v>
      </c>
      <c r="H1561">
        <v>925</v>
      </c>
      <c r="I1561">
        <f>AVERAGEIFS(sales_Data[units_sold], sales_Data[product_id],sales_Data[[#This Row],[product_id]])</f>
        <v>29.463013698630139</v>
      </c>
      <c r="J1561">
        <f>_xlfn.XLOOKUP(sales_Data[[#This Row],[product_id]],sales_Data[product_id],sales_Data[unit_price])</f>
        <v>25</v>
      </c>
    </row>
    <row r="1562" spans="1:10" x14ac:dyDescent="0.3">
      <c r="A1562" t="s">
        <v>1578</v>
      </c>
      <c r="B1562" s="1">
        <v>45970</v>
      </c>
      <c r="C1562" t="s">
        <v>9</v>
      </c>
      <c r="D1562" t="s">
        <v>10</v>
      </c>
      <c r="E1562">
        <v>45</v>
      </c>
      <c r="F1562">
        <v>12</v>
      </c>
      <c r="G1562">
        <v>0.2</v>
      </c>
      <c r="H1562">
        <v>432</v>
      </c>
      <c r="I1562">
        <f>AVERAGEIFS(sales_Data[units_sold], sales_Data[product_id],sales_Data[[#This Row],[product_id]])</f>
        <v>31.479452054794521</v>
      </c>
      <c r="J1562">
        <f>_xlfn.XLOOKUP(sales_Data[[#This Row],[product_id]],sales_Data[product_id],sales_Data[unit_price])</f>
        <v>45</v>
      </c>
    </row>
    <row r="1563" spans="1:10" x14ac:dyDescent="0.3">
      <c r="A1563" t="s">
        <v>1579</v>
      </c>
      <c r="B1563" s="1">
        <v>45970</v>
      </c>
      <c r="C1563" t="s">
        <v>12</v>
      </c>
      <c r="D1563" t="s">
        <v>13</v>
      </c>
      <c r="E1563">
        <v>12.5</v>
      </c>
      <c r="F1563">
        <v>27</v>
      </c>
      <c r="G1563">
        <v>0</v>
      </c>
      <c r="H1563">
        <v>337.5</v>
      </c>
      <c r="I1563">
        <f>AVERAGEIFS(sales_Data[units_sold], sales_Data[product_id],sales_Data[[#This Row],[product_id]])</f>
        <v>31.794520547945204</v>
      </c>
      <c r="J1563">
        <f>_xlfn.XLOOKUP(sales_Data[[#This Row],[product_id]],sales_Data[product_id],sales_Data[unit_price])</f>
        <v>12.5</v>
      </c>
    </row>
    <row r="1564" spans="1:10" x14ac:dyDescent="0.3">
      <c r="A1564" t="s">
        <v>1580</v>
      </c>
      <c r="B1564" s="1">
        <v>45970</v>
      </c>
      <c r="C1564" t="s">
        <v>15</v>
      </c>
      <c r="D1564" t="s">
        <v>16</v>
      </c>
      <c r="E1564">
        <v>35</v>
      </c>
      <c r="F1564">
        <v>10</v>
      </c>
      <c r="G1564">
        <v>0</v>
      </c>
      <c r="H1564">
        <v>350</v>
      </c>
      <c r="I1564">
        <f>AVERAGEIFS(sales_Data[units_sold], sales_Data[product_id],sales_Data[[#This Row],[product_id]])</f>
        <v>30.438356164383563</v>
      </c>
      <c r="J1564">
        <f>_xlfn.XLOOKUP(sales_Data[[#This Row],[product_id]],sales_Data[product_id],sales_Data[unit_price])</f>
        <v>35</v>
      </c>
    </row>
    <row r="1565" spans="1:10" x14ac:dyDescent="0.3">
      <c r="A1565" t="s">
        <v>1581</v>
      </c>
      <c r="B1565" s="1">
        <v>45970</v>
      </c>
      <c r="C1565" t="s">
        <v>18</v>
      </c>
      <c r="D1565" t="s">
        <v>19</v>
      </c>
      <c r="E1565">
        <v>120</v>
      </c>
      <c r="F1565">
        <v>30</v>
      </c>
      <c r="G1565">
        <v>0.1</v>
      </c>
      <c r="H1565">
        <v>3240</v>
      </c>
      <c r="I1565">
        <f>AVERAGEIFS(sales_Data[units_sold], sales_Data[product_id],sales_Data[[#This Row],[product_id]])</f>
        <v>30.473972602739725</v>
      </c>
      <c r="J1565">
        <f>_xlfn.XLOOKUP(sales_Data[[#This Row],[product_id]],sales_Data[product_id],sales_Data[unit_price])</f>
        <v>120</v>
      </c>
    </row>
    <row r="1566" spans="1:10" x14ac:dyDescent="0.3">
      <c r="A1566" t="s">
        <v>1582</v>
      </c>
      <c r="B1566" s="1">
        <v>45970</v>
      </c>
      <c r="C1566" t="s">
        <v>21</v>
      </c>
      <c r="D1566" t="s">
        <v>22</v>
      </c>
      <c r="E1566">
        <v>25</v>
      </c>
      <c r="F1566">
        <v>33</v>
      </c>
      <c r="G1566">
        <v>0</v>
      </c>
      <c r="H1566">
        <v>825</v>
      </c>
      <c r="I1566">
        <f>AVERAGEIFS(sales_Data[units_sold], sales_Data[product_id],sales_Data[[#This Row],[product_id]])</f>
        <v>29.463013698630139</v>
      </c>
      <c r="J1566">
        <f>_xlfn.XLOOKUP(sales_Data[[#This Row],[product_id]],sales_Data[product_id],sales_Data[unit_price])</f>
        <v>25</v>
      </c>
    </row>
    <row r="1567" spans="1:10" x14ac:dyDescent="0.3">
      <c r="A1567" t="s">
        <v>1583</v>
      </c>
      <c r="B1567" s="1">
        <v>45971</v>
      </c>
      <c r="C1567" t="s">
        <v>9</v>
      </c>
      <c r="D1567" t="s">
        <v>10</v>
      </c>
      <c r="E1567">
        <v>45</v>
      </c>
      <c r="F1567">
        <v>26</v>
      </c>
      <c r="G1567">
        <v>0</v>
      </c>
      <c r="H1567">
        <v>1170</v>
      </c>
      <c r="I1567">
        <f>AVERAGEIFS(sales_Data[units_sold], sales_Data[product_id],sales_Data[[#This Row],[product_id]])</f>
        <v>31.479452054794521</v>
      </c>
      <c r="J1567">
        <f>_xlfn.XLOOKUP(sales_Data[[#This Row],[product_id]],sales_Data[product_id],sales_Data[unit_price])</f>
        <v>45</v>
      </c>
    </row>
    <row r="1568" spans="1:10" x14ac:dyDescent="0.3">
      <c r="A1568" t="s">
        <v>1584</v>
      </c>
      <c r="B1568" s="1">
        <v>45971</v>
      </c>
      <c r="C1568" t="s">
        <v>12</v>
      </c>
      <c r="D1568" t="s">
        <v>13</v>
      </c>
      <c r="E1568">
        <v>12.5</v>
      </c>
      <c r="F1568">
        <v>11</v>
      </c>
      <c r="G1568">
        <v>0</v>
      </c>
      <c r="H1568">
        <v>137.5</v>
      </c>
      <c r="I1568">
        <f>AVERAGEIFS(sales_Data[units_sold], sales_Data[product_id],sales_Data[[#This Row],[product_id]])</f>
        <v>31.794520547945204</v>
      </c>
      <c r="J1568">
        <f>_xlfn.XLOOKUP(sales_Data[[#This Row],[product_id]],sales_Data[product_id],sales_Data[unit_price])</f>
        <v>12.5</v>
      </c>
    </row>
    <row r="1569" spans="1:10" x14ac:dyDescent="0.3">
      <c r="A1569" t="s">
        <v>1585</v>
      </c>
      <c r="B1569" s="1">
        <v>45971</v>
      </c>
      <c r="C1569" t="s">
        <v>15</v>
      </c>
      <c r="D1569" t="s">
        <v>16</v>
      </c>
      <c r="E1569">
        <v>35</v>
      </c>
      <c r="F1569">
        <v>9</v>
      </c>
      <c r="G1569">
        <v>0</v>
      </c>
      <c r="H1569">
        <v>315</v>
      </c>
      <c r="I1569">
        <f>AVERAGEIFS(sales_Data[units_sold], sales_Data[product_id],sales_Data[[#This Row],[product_id]])</f>
        <v>30.438356164383563</v>
      </c>
      <c r="J1569">
        <f>_xlfn.XLOOKUP(sales_Data[[#This Row],[product_id]],sales_Data[product_id],sales_Data[unit_price])</f>
        <v>35</v>
      </c>
    </row>
    <row r="1570" spans="1:10" x14ac:dyDescent="0.3">
      <c r="A1570" t="s">
        <v>1586</v>
      </c>
      <c r="B1570" s="1">
        <v>45971</v>
      </c>
      <c r="C1570" t="s">
        <v>18</v>
      </c>
      <c r="D1570" t="s">
        <v>19</v>
      </c>
      <c r="E1570">
        <v>120</v>
      </c>
      <c r="F1570">
        <v>13</v>
      </c>
      <c r="G1570">
        <v>0</v>
      </c>
      <c r="H1570">
        <v>1560</v>
      </c>
      <c r="I1570">
        <f>AVERAGEIFS(sales_Data[units_sold], sales_Data[product_id],sales_Data[[#This Row],[product_id]])</f>
        <v>30.473972602739725</v>
      </c>
      <c r="J1570">
        <f>_xlfn.XLOOKUP(sales_Data[[#This Row],[product_id]],sales_Data[product_id],sales_Data[unit_price])</f>
        <v>120</v>
      </c>
    </row>
    <row r="1571" spans="1:10" x14ac:dyDescent="0.3">
      <c r="A1571" t="s">
        <v>1587</v>
      </c>
      <c r="B1571" s="1">
        <v>45971</v>
      </c>
      <c r="C1571" t="s">
        <v>21</v>
      </c>
      <c r="D1571" t="s">
        <v>22</v>
      </c>
      <c r="E1571">
        <v>25</v>
      </c>
      <c r="F1571">
        <v>9</v>
      </c>
      <c r="G1571">
        <v>0</v>
      </c>
      <c r="H1571">
        <v>225</v>
      </c>
      <c r="I1571">
        <f>AVERAGEIFS(sales_Data[units_sold], sales_Data[product_id],sales_Data[[#This Row],[product_id]])</f>
        <v>29.463013698630139</v>
      </c>
      <c r="J1571">
        <f>_xlfn.XLOOKUP(sales_Data[[#This Row],[product_id]],sales_Data[product_id],sales_Data[unit_price])</f>
        <v>25</v>
      </c>
    </row>
    <row r="1572" spans="1:10" x14ac:dyDescent="0.3">
      <c r="A1572" t="s">
        <v>1588</v>
      </c>
      <c r="B1572" s="1">
        <v>45972</v>
      </c>
      <c r="C1572" t="s">
        <v>9</v>
      </c>
      <c r="D1572" t="s">
        <v>10</v>
      </c>
      <c r="E1572">
        <v>45</v>
      </c>
      <c r="F1572">
        <v>15</v>
      </c>
      <c r="G1572">
        <v>0</v>
      </c>
      <c r="H1572">
        <v>675</v>
      </c>
      <c r="I1572">
        <f>AVERAGEIFS(sales_Data[units_sold], sales_Data[product_id],sales_Data[[#This Row],[product_id]])</f>
        <v>31.479452054794521</v>
      </c>
      <c r="J1572">
        <f>_xlfn.XLOOKUP(sales_Data[[#This Row],[product_id]],sales_Data[product_id],sales_Data[unit_price])</f>
        <v>45</v>
      </c>
    </row>
    <row r="1573" spans="1:10" x14ac:dyDescent="0.3">
      <c r="A1573" t="s">
        <v>1589</v>
      </c>
      <c r="B1573" s="1">
        <v>45972</v>
      </c>
      <c r="C1573" t="s">
        <v>12</v>
      </c>
      <c r="D1573" t="s">
        <v>13</v>
      </c>
      <c r="E1573">
        <v>12.5</v>
      </c>
      <c r="F1573">
        <v>14</v>
      </c>
      <c r="G1573">
        <v>0</v>
      </c>
      <c r="H1573">
        <v>175</v>
      </c>
      <c r="I1573">
        <f>AVERAGEIFS(sales_Data[units_sold], sales_Data[product_id],sales_Data[[#This Row],[product_id]])</f>
        <v>31.794520547945204</v>
      </c>
      <c r="J1573">
        <f>_xlfn.XLOOKUP(sales_Data[[#This Row],[product_id]],sales_Data[product_id],sales_Data[unit_price])</f>
        <v>12.5</v>
      </c>
    </row>
    <row r="1574" spans="1:10" x14ac:dyDescent="0.3">
      <c r="A1574" t="s">
        <v>1590</v>
      </c>
      <c r="B1574" s="1">
        <v>45972</v>
      </c>
      <c r="C1574" t="s">
        <v>15</v>
      </c>
      <c r="D1574" t="s">
        <v>16</v>
      </c>
      <c r="E1574">
        <v>35</v>
      </c>
      <c r="F1574">
        <v>10</v>
      </c>
      <c r="G1574">
        <v>0.1</v>
      </c>
      <c r="H1574">
        <v>315</v>
      </c>
      <c r="I1574">
        <f>AVERAGEIFS(sales_Data[units_sold], sales_Data[product_id],sales_Data[[#This Row],[product_id]])</f>
        <v>30.438356164383563</v>
      </c>
      <c r="J1574">
        <f>_xlfn.XLOOKUP(sales_Data[[#This Row],[product_id]],sales_Data[product_id],sales_Data[unit_price])</f>
        <v>35</v>
      </c>
    </row>
    <row r="1575" spans="1:10" x14ac:dyDescent="0.3">
      <c r="A1575" t="s">
        <v>1591</v>
      </c>
      <c r="B1575" s="1">
        <v>45972</v>
      </c>
      <c r="C1575" t="s">
        <v>18</v>
      </c>
      <c r="D1575" t="s">
        <v>19</v>
      </c>
      <c r="E1575">
        <v>120</v>
      </c>
      <c r="F1575">
        <v>28</v>
      </c>
      <c r="G1575">
        <v>0.1</v>
      </c>
      <c r="H1575">
        <v>3024</v>
      </c>
      <c r="I1575">
        <f>AVERAGEIFS(sales_Data[units_sold], sales_Data[product_id],sales_Data[[#This Row],[product_id]])</f>
        <v>30.473972602739725</v>
      </c>
      <c r="J1575">
        <f>_xlfn.XLOOKUP(sales_Data[[#This Row],[product_id]],sales_Data[product_id],sales_Data[unit_price])</f>
        <v>120</v>
      </c>
    </row>
    <row r="1576" spans="1:10" x14ac:dyDescent="0.3">
      <c r="A1576" t="s">
        <v>1592</v>
      </c>
      <c r="B1576" s="1">
        <v>45972</v>
      </c>
      <c r="C1576" t="s">
        <v>21</v>
      </c>
      <c r="D1576" t="s">
        <v>22</v>
      </c>
      <c r="E1576">
        <v>25</v>
      </c>
      <c r="F1576">
        <v>20</v>
      </c>
      <c r="G1576">
        <v>0</v>
      </c>
      <c r="H1576">
        <v>500</v>
      </c>
      <c r="I1576">
        <f>AVERAGEIFS(sales_Data[units_sold], sales_Data[product_id],sales_Data[[#This Row],[product_id]])</f>
        <v>29.463013698630139</v>
      </c>
      <c r="J1576">
        <f>_xlfn.XLOOKUP(sales_Data[[#This Row],[product_id]],sales_Data[product_id],sales_Data[unit_price])</f>
        <v>25</v>
      </c>
    </row>
    <row r="1577" spans="1:10" x14ac:dyDescent="0.3">
      <c r="A1577" t="s">
        <v>1593</v>
      </c>
      <c r="B1577" s="1">
        <v>45973</v>
      </c>
      <c r="C1577" t="s">
        <v>9</v>
      </c>
      <c r="D1577" t="s">
        <v>10</v>
      </c>
      <c r="E1577">
        <v>45</v>
      </c>
      <c r="F1577">
        <v>14</v>
      </c>
      <c r="G1577">
        <v>0</v>
      </c>
      <c r="H1577">
        <v>630</v>
      </c>
      <c r="I1577">
        <f>AVERAGEIFS(sales_Data[units_sold], sales_Data[product_id],sales_Data[[#This Row],[product_id]])</f>
        <v>31.479452054794521</v>
      </c>
      <c r="J1577">
        <f>_xlfn.XLOOKUP(sales_Data[[#This Row],[product_id]],sales_Data[product_id],sales_Data[unit_price])</f>
        <v>45</v>
      </c>
    </row>
    <row r="1578" spans="1:10" x14ac:dyDescent="0.3">
      <c r="A1578" t="s">
        <v>1594</v>
      </c>
      <c r="B1578" s="1">
        <v>45973</v>
      </c>
      <c r="C1578" t="s">
        <v>12</v>
      </c>
      <c r="D1578" t="s">
        <v>13</v>
      </c>
      <c r="E1578">
        <v>12.5</v>
      </c>
      <c r="F1578">
        <v>44</v>
      </c>
      <c r="G1578">
        <v>0</v>
      </c>
      <c r="H1578">
        <v>550</v>
      </c>
      <c r="I1578">
        <f>AVERAGEIFS(sales_Data[units_sold], sales_Data[product_id],sales_Data[[#This Row],[product_id]])</f>
        <v>31.794520547945204</v>
      </c>
      <c r="J1578">
        <f>_xlfn.XLOOKUP(sales_Data[[#This Row],[product_id]],sales_Data[product_id],sales_Data[unit_price])</f>
        <v>12.5</v>
      </c>
    </row>
    <row r="1579" spans="1:10" x14ac:dyDescent="0.3">
      <c r="A1579" t="s">
        <v>1595</v>
      </c>
      <c r="B1579" s="1">
        <v>45973</v>
      </c>
      <c r="C1579" t="s">
        <v>15</v>
      </c>
      <c r="D1579" t="s">
        <v>16</v>
      </c>
      <c r="E1579">
        <v>35</v>
      </c>
      <c r="F1579">
        <v>41</v>
      </c>
      <c r="G1579">
        <v>0</v>
      </c>
      <c r="H1579">
        <v>1435</v>
      </c>
      <c r="I1579">
        <f>AVERAGEIFS(sales_Data[units_sold], sales_Data[product_id],sales_Data[[#This Row],[product_id]])</f>
        <v>30.438356164383563</v>
      </c>
      <c r="J1579">
        <f>_xlfn.XLOOKUP(sales_Data[[#This Row],[product_id]],sales_Data[product_id],sales_Data[unit_price])</f>
        <v>35</v>
      </c>
    </row>
    <row r="1580" spans="1:10" x14ac:dyDescent="0.3">
      <c r="A1580" t="s">
        <v>1596</v>
      </c>
      <c r="B1580" s="1">
        <v>45973</v>
      </c>
      <c r="C1580" t="s">
        <v>18</v>
      </c>
      <c r="D1580" t="s">
        <v>19</v>
      </c>
      <c r="E1580">
        <v>120</v>
      </c>
      <c r="F1580">
        <v>20</v>
      </c>
      <c r="G1580">
        <v>0.1</v>
      </c>
      <c r="H1580">
        <v>2160</v>
      </c>
      <c r="I1580">
        <f>AVERAGEIFS(sales_Data[units_sold], sales_Data[product_id],sales_Data[[#This Row],[product_id]])</f>
        <v>30.473972602739725</v>
      </c>
      <c r="J1580">
        <f>_xlfn.XLOOKUP(sales_Data[[#This Row],[product_id]],sales_Data[product_id],sales_Data[unit_price])</f>
        <v>120</v>
      </c>
    </row>
    <row r="1581" spans="1:10" x14ac:dyDescent="0.3">
      <c r="A1581" t="s">
        <v>1597</v>
      </c>
      <c r="B1581" s="1">
        <v>45973</v>
      </c>
      <c r="C1581" t="s">
        <v>21</v>
      </c>
      <c r="D1581" t="s">
        <v>22</v>
      </c>
      <c r="E1581">
        <v>25</v>
      </c>
      <c r="F1581">
        <v>23</v>
      </c>
      <c r="G1581">
        <v>0</v>
      </c>
      <c r="H1581">
        <v>575</v>
      </c>
      <c r="I1581">
        <f>AVERAGEIFS(sales_Data[units_sold], sales_Data[product_id],sales_Data[[#This Row],[product_id]])</f>
        <v>29.463013698630139</v>
      </c>
      <c r="J1581">
        <f>_xlfn.XLOOKUP(sales_Data[[#This Row],[product_id]],sales_Data[product_id],sales_Data[unit_price])</f>
        <v>25</v>
      </c>
    </row>
    <row r="1582" spans="1:10" x14ac:dyDescent="0.3">
      <c r="A1582" t="s">
        <v>1598</v>
      </c>
      <c r="B1582" s="1">
        <v>45974</v>
      </c>
      <c r="C1582" t="s">
        <v>9</v>
      </c>
      <c r="D1582" t="s">
        <v>10</v>
      </c>
      <c r="E1582">
        <v>45</v>
      </c>
      <c r="F1582">
        <v>35</v>
      </c>
      <c r="G1582">
        <v>0</v>
      </c>
      <c r="H1582">
        <v>1575</v>
      </c>
      <c r="I1582">
        <f>AVERAGEIFS(sales_Data[units_sold], sales_Data[product_id],sales_Data[[#This Row],[product_id]])</f>
        <v>31.479452054794521</v>
      </c>
      <c r="J1582">
        <f>_xlfn.XLOOKUP(sales_Data[[#This Row],[product_id]],sales_Data[product_id],sales_Data[unit_price])</f>
        <v>45</v>
      </c>
    </row>
    <row r="1583" spans="1:10" x14ac:dyDescent="0.3">
      <c r="A1583" t="s">
        <v>1599</v>
      </c>
      <c r="B1583" s="1">
        <v>45974</v>
      </c>
      <c r="C1583" t="s">
        <v>12</v>
      </c>
      <c r="D1583" t="s">
        <v>13</v>
      </c>
      <c r="E1583">
        <v>12.5</v>
      </c>
      <c r="F1583">
        <v>33</v>
      </c>
      <c r="G1583">
        <v>0</v>
      </c>
      <c r="H1583">
        <v>412.5</v>
      </c>
      <c r="I1583">
        <f>AVERAGEIFS(sales_Data[units_sold], sales_Data[product_id],sales_Data[[#This Row],[product_id]])</f>
        <v>31.794520547945204</v>
      </c>
      <c r="J1583">
        <f>_xlfn.XLOOKUP(sales_Data[[#This Row],[product_id]],sales_Data[product_id],sales_Data[unit_price])</f>
        <v>12.5</v>
      </c>
    </row>
    <row r="1584" spans="1:10" x14ac:dyDescent="0.3">
      <c r="A1584" t="s">
        <v>1600</v>
      </c>
      <c r="B1584" s="1">
        <v>45974</v>
      </c>
      <c r="C1584" t="s">
        <v>15</v>
      </c>
      <c r="D1584" t="s">
        <v>16</v>
      </c>
      <c r="E1584">
        <v>35</v>
      </c>
      <c r="F1584">
        <v>27</v>
      </c>
      <c r="G1584">
        <v>0.1</v>
      </c>
      <c r="H1584">
        <v>850.5</v>
      </c>
      <c r="I1584">
        <f>AVERAGEIFS(sales_Data[units_sold], sales_Data[product_id],sales_Data[[#This Row],[product_id]])</f>
        <v>30.438356164383563</v>
      </c>
      <c r="J1584">
        <f>_xlfn.XLOOKUP(sales_Data[[#This Row],[product_id]],sales_Data[product_id],sales_Data[unit_price])</f>
        <v>35</v>
      </c>
    </row>
    <row r="1585" spans="1:10" x14ac:dyDescent="0.3">
      <c r="A1585" t="s">
        <v>1601</v>
      </c>
      <c r="B1585" s="1">
        <v>45974</v>
      </c>
      <c r="C1585" t="s">
        <v>18</v>
      </c>
      <c r="D1585" t="s">
        <v>19</v>
      </c>
      <c r="E1585">
        <v>120</v>
      </c>
      <c r="F1585">
        <v>25</v>
      </c>
      <c r="G1585">
        <v>0</v>
      </c>
      <c r="H1585">
        <v>3000</v>
      </c>
      <c r="I1585">
        <f>AVERAGEIFS(sales_Data[units_sold], sales_Data[product_id],sales_Data[[#This Row],[product_id]])</f>
        <v>30.473972602739725</v>
      </c>
      <c r="J1585">
        <f>_xlfn.XLOOKUP(sales_Data[[#This Row],[product_id]],sales_Data[product_id],sales_Data[unit_price])</f>
        <v>120</v>
      </c>
    </row>
    <row r="1586" spans="1:10" x14ac:dyDescent="0.3">
      <c r="A1586" t="s">
        <v>1602</v>
      </c>
      <c r="B1586" s="1">
        <v>45974</v>
      </c>
      <c r="C1586" t="s">
        <v>21</v>
      </c>
      <c r="D1586" t="s">
        <v>22</v>
      </c>
      <c r="E1586">
        <v>25</v>
      </c>
      <c r="F1586">
        <v>29</v>
      </c>
      <c r="G1586">
        <v>0</v>
      </c>
      <c r="H1586">
        <v>725</v>
      </c>
      <c r="I1586">
        <f>AVERAGEIFS(sales_Data[units_sold], sales_Data[product_id],sales_Data[[#This Row],[product_id]])</f>
        <v>29.463013698630139</v>
      </c>
      <c r="J1586">
        <f>_xlfn.XLOOKUP(sales_Data[[#This Row],[product_id]],sales_Data[product_id],sales_Data[unit_price])</f>
        <v>25</v>
      </c>
    </row>
    <row r="1587" spans="1:10" x14ac:dyDescent="0.3">
      <c r="A1587" t="s">
        <v>1603</v>
      </c>
      <c r="B1587" s="1">
        <v>45975</v>
      </c>
      <c r="C1587" t="s">
        <v>9</v>
      </c>
      <c r="D1587" t="s">
        <v>10</v>
      </c>
      <c r="E1587">
        <v>45</v>
      </c>
      <c r="F1587">
        <v>49</v>
      </c>
      <c r="G1587">
        <v>0.2</v>
      </c>
      <c r="H1587">
        <v>1764</v>
      </c>
      <c r="I1587">
        <f>AVERAGEIFS(sales_Data[units_sold], sales_Data[product_id],sales_Data[[#This Row],[product_id]])</f>
        <v>31.479452054794521</v>
      </c>
      <c r="J1587">
        <f>_xlfn.XLOOKUP(sales_Data[[#This Row],[product_id]],sales_Data[product_id],sales_Data[unit_price])</f>
        <v>45</v>
      </c>
    </row>
    <row r="1588" spans="1:10" x14ac:dyDescent="0.3">
      <c r="A1588" t="s">
        <v>1604</v>
      </c>
      <c r="B1588" s="1">
        <v>45975</v>
      </c>
      <c r="C1588" t="s">
        <v>12</v>
      </c>
      <c r="D1588" t="s">
        <v>13</v>
      </c>
      <c r="E1588">
        <v>12.5</v>
      </c>
      <c r="F1588">
        <v>11</v>
      </c>
      <c r="G1588">
        <v>0</v>
      </c>
      <c r="H1588">
        <v>137.5</v>
      </c>
      <c r="I1588">
        <f>AVERAGEIFS(sales_Data[units_sold], sales_Data[product_id],sales_Data[[#This Row],[product_id]])</f>
        <v>31.794520547945204</v>
      </c>
      <c r="J1588">
        <f>_xlfn.XLOOKUP(sales_Data[[#This Row],[product_id]],sales_Data[product_id],sales_Data[unit_price])</f>
        <v>12.5</v>
      </c>
    </row>
    <row r="1589" spans="1:10" x14ac:dyDescent="0.3">
      <c r="A1589" t="s">
        <v>1605</v>
      </c>
      <c r="B1589" s="1">
        <v>45975</v>
      </c>
      <c r="C1589" t="s">
        <v>15</v>
      </c>
      <c r="D1589" t="s">
        <v>16</v>
      </c>
      <c r="E1589">
        <v>35</v>
      </c>
      <c r="F1589">
        <v>27</v>
      </c>
      <c r="G1589">
        <v>0</v>
      </c>
      <c r="H1589">
        <v>945</v>
      </c>
      <c r="I1589">
        <f>AVERAGEIFS(sales_Data[units_sold], sales_Data[product_id],sales_Data[[#This Row],[product_id]])</f>
        <v>30.438356164383563</v>
      </c>
      <c r="J1589">
        <f>_xlfn.XLOOKUP(sales_Data[[#This Row],[product_id]],sales_Data[product_id],sales_Data[unit_price])</f>
        <v>35</v>
      </c>
    </row>
    <row r="1590" spans="1:10" x14ac:dyDescent="0.3">
      <c r="A1590" t="s">
        <v>1606</v>
      </c>
      <c r="B1590" s="1">
        <v>45975</v>
      </c>
      <c r="C1590" t="s">
        <v>18</v>
      </c>
      <c r="D1590" t="s">
        <v>19</v>
      </c>
      <c r="E1590">
        <v>120</v>
      </c>
      <c r="F1590">
        <v>37</v>
      </c>
      <c r="G1590">
        <v>0</v>
      </c>
      <c r="H1590">
        <v>4440</v>
      </c>
      <c r="I1590">
        <f>AVERAGEIFS(sales_Data[units_sold], sales_Data[product_id],sales_Data[[#This Row],[product_id]])</f>
        <v>30.473972602739725</v>
      </c>
      <c r="J1590">
        <f>_xlfn.XLOOKUP(sales_Data[[#This Row],[product_id]],sales_Data[product_id],sales_Data[unit_price])</f>
        <v>120</v>
      </c>
    </row>
    <row r="1591" spans="1:10" x14ac:dyDescent="0.3">
      <c r="A1591" t="s">
        <v>1607</v>
      </c>
      <c r="B1591" s="1">
        <v>45975</v>
      </c>
      <c r="C1591" t="s">
        <v>21</v>
      </c>
      <c r="D1591" t="s">
        <v>22</v>
      </c>
      <c r="E1591">
        <v>25</v>
      </c>
      <c r="F1591">
        <v>12</v>
      </c>
      <c r="G1591">
        <v>0.1</v>
      </c>
      <c r="H1591">
        <v>270</v>
      </c>
      <c r="I1591">
        <f>AVERAGEIFS(sales_Data[units_sold], sales_Data[product_id],sales_Data[[#This Row],[product_id]])</f>
        <v>29.463013698630139</v>
      </c>
      <c r="J1591">
        <f>_xlfn.XLOOKUP(sales_Data[[#This Row],[product_id]],sales_Data[product_id],sales_Data[unit_price])</f>
        <v>25</v>
      </c>
    </row>
    <row r="1592" spans="1:10" x14ac:dyDescent="0.3">
      <c r="A1592" t="s">
        <v>1608</v>
      </c>
      <c r="B1592" s="1">
        <v>45976</v>
      </c>
      <c r="C1592" t="s">
        <v>9</v>
      </c>
      <c r="D1592" t="s">
        <v>10</v>
      </c>
      <c r="E1592">
        <v>45</v>
      </c>
      <c r="F1592">
        <v>37</v>
      </c>
      <c r="G1592">
        <v>0.2</v>
      </c>
      <c r="H1592">
        <v>1332</v>
      </c>
      <c r="I1592">
        <f>AVERAGEIFS(sales_Data[units_sold], sales_Data[product_id],sales_Data[[#This Row],[product_id]])</f>
        <v>31.479452054794521</v>
      </c>
      <c r="J1592">
        <f>_xlfn.XLOOKUP(sales_Data[[#This Row],[product_id]],sales_Data[product_id],sales_Data[unit_price])</f>
        <v>45</v>
      </c>
    </row>
    <row r="1593" spans="1:10" x14ac:dyDescent="0.3">
      <c r="A1593" t="s">
        <v>1609</v>
      </c>
      <c r="B1593" s="1">
        <v>45976</v>
      </c>
      <c r="C1593" t="s">
        <v>12</v>
      </c>
      <c r="D1593" t="s">
        <v>13</v>
      </c>
      <c r="E1593">
        <v>12.5</v>
      </c>
      <c r="F1593">
        <v>28</v>
      </c>
      <c r="G1593">
        <v>0</v>
      </c>
      <c r="H1593">
        <v>350</v>
      </c>
      <c r="I1593">
        <f>AVERAGEIFS(sales_Data[units_sold], sales_Data[product_id],sales_Data[[#This Row],[product_id]])</f>
        <v>31.794520547945204</v>
      </c>
      <c r="J1593">
        <f>_xlfn.XLOOKUP(sales_Data[[#This Row],[product_id]],sales_Data[product_id],sales_Data[unit_price])</f>
        <v>12.5</v>
      </c>
    </row>
    <row r="1594" spans="1:10" x14ac:dyDescent="0.3">
      <c r="A1594" t="s">
        <v>1610</v>
      </c>
      <c r="B1594" s="1">
        <v>45976</v>
      </c>
      <c r="C1594" t="s">
        <v>15</v>
      </c>
      <c r="D1594" t="s">
        <v>16</v>
      </c>
      <c r="E1594">
        <v>35</v>
      </c>
      <c r="F1594">
        <v>27</v>
      </c>
      <c r="G1594">
        <v>0</v>
      </c>
      <c r="H1594">
        <v>945</v>
      </c>
      <c r="I1594">
        <f>AVERAGEIFS(sales_Data[units_sold], sales_Data[product_id],sales_Data[[#This Row],[product_id]])</f>
        <v>30.438356164383563</v>
      </c>
      <c r="J1594">
        <f>_xlfn.XLOOKUP(sales_Data[[#This Row],[product_id]],sales_Data[product_id],sales_Data[unit_price])</f>
        <v>35</v>
      </c>
    </row>
    <row r="1595" spans="1:10" x14ac:dyDescent="0.3">
      <c r="A1595" t="s">
        <v>1611</v>
      </c>
      <c r="B1595" s="1">
        <v>45976</v>
      </c>
      <c r="C1595" t="s">
        <v>18</v>
      </c>
      <c r="D1595" t="s">
        <v>19</v>
      </c>
      <c r="E1595">
        <v>120</v>
      </c>
      <c r="F1595">
        <v>7</v>
      </c>
      <c r="G1595">
        <v>0</v>
      </c>
      <c r="H1595">
        <v>840</v>
      </c>
      <c r="I1595">
        <f>AVERAGEIFS(sales_Data[units_sold], sales_Data[product_id],sales_Data[[#This Row],[product_id]])</f>
        <v>30.473972602739725</v>
      </c>
      <c r="J1595">
        <f>_xlfn.XLOOKUP(sales_Data[[#This Row],[product_id]],sales_Data[product_id],sales_Data[unit_price])</f>
        <v>120</v>
      </c>
    </row>
    <row r="1596" spans="1:10" x14ac:dyDescent="0.3">
      <c r="A1596" t="s">
        <v>1612</v>
      </c>
      <c r="B1596" s="1">
        <v>45976</v>
      </c>
      <c r="C1596" t="s">
        <v>21</v>
      </c>
      <c r="D1596" t="s">
        <v>22</v>
      </c>
      <c r="E1596">
        <v>25</v>
      </c>
      <c r="F1596">
        <v>39</v>
      </c>
      <c r="G1596">
        <v>0.2</v>
      </c>
      <c r="H1596">
        <v>780</v>
      </c>
      <c r="I1596">
        <f>AVERAGEIFS(sales_Data[units_sold], sales_Data[product_id],sales_Data[[#This Row],[product_id]])</f>
        <v>29.463013698630139</v>
      </c>
      <c r="J1596">
        <f>_xlfn.XLOOKUP(sales_Data[[#This Row],[product_id]],sales_Data[product_id],sales_Data[unit_price])</f>
        <v>25</v>
      </c>
    </row>
    <row r="1597" spans="1:10" x14ac:dyDescent="0.3">
      <c r="A1597" t="s">
        <v>1613</v>
      </c>
      <c r="B1597" s="1">
        <v>45977</v>
      </c>
      <c r="C1597" t="s">
        <v>9</v>
      </c>
      <c r="D1597" t="s">
        <v>10</v>
      </c>
      <c r="E1597">
        <v>45</v>
      </c>
      <c r="F1597">
        <v>13</v>
      </c>
      <c r="G1597">
        <v>0</v>
      </c>
      <c r="H1597">
        <v>585</v>
      </c>
      <c r="I1597">
        <f>AVERAGEIFS(sales_Data[units_sold], sales_Data[product_id],sales_Data[[#This Row],[product_id]])</f>
        <v>31.479452054794521</v>
      </c>
      <c r="J1597">
        <f>_xlfn.XLOOKUP(sales_Data[[#This Row],[product_id]],sales_Data[product_id],sales_Data[unit_price])</f>
        <v>45</v>
      </c>
    </row>
    <row r="1598" spans="1:10" x14ac:dyDescent="0.3">
      <c r="A1598" t="s">
        <v>1614</v>
      </c>
      <c r="B1598" s="1">
        <v>45977</v>
      </c>
      <c r="C1598" t="s">
        <v>12</v>
      </c>
      <c r="D1598" t="s">
        <v>13</v>
      </c>
      <c r="E1598">
        <v>12.5</v>
      </c>
      <c r="F1598">
        <v>54</v>
      </c>
      <c r="G1598">
        <v>0</v>
      </c>
      <c r="H1598">
        <v>675</v>
      </c>
      <c r="I1598">
        <f>AVERAGEIFS(sales_Data[units_sold], sales_Data[product_id],sales_Data[[#This Row],[product_id]])</f>
        <v>31.794520547945204</v>
      </c>
      <c r="J1598">
        <f>_xlfn.XLOOKUP(sales_Data[[#This Row],[product_id]],sales_Data[product_id],sales_Data[unit_price])</f>
        <v>12.5</v>
      </c>
    </row>
    <row r="1599" spans="1:10" x14ac:dyDescent="0.3">
      <c r="A1599" t="s">
        <v>1615</v>
      </c>
      <c r="B1599" s="1">
        <v>45977</v>
      </c>
      <c r="C1599" t="s">
        <v>15</v>
      </c>
      <c r="D1599" t="s">
        <v>16</v>
      </c>
      <c r="E1599">
        <v>35</v>
      </c>
      <c r="F1599">
        <v>61</v>
      </c>
      <c r="G1599">
        <v>0</v>
      </c>
      <c r="H1599">
        <v>2135</v>
      </c>
      <c r="I1599">
        <f>AVERAGEIFS(sales_Data[units_sold], sales_Data[product_id],sales_Data[[#This Row],[product_id]])</f>
        <v>30.438356164383563</v>
      </c>
      <c r="J1599">
        <f>_xlfn.XLOOKUP(sales_Data[[#This Row],[product_id]],sales_Data[product_id],sales_Data[unit_price])</f>
        <v>35</v>
      </c>
    </row>
    <row r="1600" spans="1:10" x14ac:dyDescent="0.3">
      <c r="A1600" t="s">
        <v>1616</v>
      </c>
      <c r="B1600" s="1">
        <v>45977</v>
      </c>
      <c r="C1600" t="s">
        <v>18</v>
      </c>
      <c r="D1600" t="s">
        <v>19</v>
      </c>
      <c r="E1600">
        <v>120</v>
      </c>
      <c r="F1600">
        <v>34</v>
      </c>
      <c r="G1600">
        <v>0.2</v>
      </c>
      <c r="H1600">
        <v>3264</v>
      </c>
      <c r="I1600">
        <f>AVERAGEIFS(sales_Data[units_sold], sales_Data[product_id],sales_Data[[#This Row],[product_id]])</f>
        <v>30.473972602739725</v>
      </c>
      <c r="J1600">
        <f>_xlfn.XLOOKUP(sales_Data[[#This Row],[product_id]],sales_Data[product_id],sales_Data[unit_price])</f>
        <v>120</v>
      </c>
    </row>
    <row r="1601" spans="1:10" x14ac:dyDescent="0.3">
      <c r="A1601" t="s">
        <v>1617</v>
      </c>
      <c r="B1601" s="1">
        <v>45977</v>
      </c>
      <c r="C1601" t="s">
        <v>21</v>
      </c>
      <c r="D1601" t="s">
        <v>22</v>
      </c>
      <c r="E1601">
        <v>25</v>
      </c>
      <c r="F1601">
        <v>13</v>
      </c>
      <c r="G1601">
        <v>0.1</v>
      </c>
      <c r="H1601">
        <v>292.5</v>
      </c>
      <c r="I1601">
        <f>AVERAGEIFS(sales_Data[units_sold], sales_Data[product_id],sales_Data[[#This Row],[product_id]])</f>
        <v>29.463013698630139</v>
      </c>
      <c r="J1601">
        <f>_xlfn.XLOOKUP(sales_Data[[#This Row],[product_id]],sales_Data[product_id],sales_Data[unit_price])</f>
        <v>25</v>
      </c>
    </row>
    <row r="1602" spans="1:10" x14ac:dyDescent="0.3">
      <c r="A1602" t="s">
        <v>1618</v>
      </c>
      <c r="B1602" s="1">
        <v>45978</v>
      </c>
      <c r="C1602" t="s">
        <v>9</v>
      </c>
      <c r="D1602" t="s">
        <v>10</v>
      </c>
      <c r="E1602">
        <v>45</v>
      </c>
      <c r="F1602">
        <v>10</v>
      </c>
      <c r="G1602">
        <v>0.2</v>
      </c>
      <c r="H1602">
        <v>360</v>
      </c>
      <c r="I1602">
        <f>AVERAGEIFS(sales_Data[units_sold], sales_Data[product_id],sales_Data[[#This Row],[product_id]])</f>
        <v>31.479452054794521</v>
      </c>
      <c r="J1602">
        <f>_xlfn.XLOOKUP(sales_Data[[#This Row],[product_id]],sales_Data[product_id],sales_Data[unit_price])</f>
        <v>45</v>
      </c>
    </row>
    <row r="1603" spans="1:10" x14ac:dyDescent="0.3">
      <c r="A1603" t="s">
        <v>1619</v>
      </c>
      <c r="B1603" s="1">
        <v>45978</v>
      </c>
      <c r="C1603" t="s">
        <v>12</v>
      </c>
      <c r="D1603" t="s">
        <v>13</v>
      </c>
      <c r="E1603">
        <v>12.5</v>
      </c>
      <c r="F1603">
        <v>19</v>
      </c>
      <c r="G1603">
        <v>0.1</v>
      </c>
      <c r="H1603">
        <v>213.75</v>
      </c>
      <c r="I1603">
        <f>AVERAGEIFS(sales_Data[units_sold], sales_Data[product_id],sales_Data[[#This Row],[product_id]])</f>
        <v>31.794520547945204</v>
      </c>
      <c r="J1603">
        <f>_xlfn.XLOOKUP(sales_Data[[#This Row],[product_id]],sales_Data[product_id],sales_Data[unit_price])</f>
        <v>12.5</v>
      </c>
    </row>
    <row r="1604" spans="1:10" x14ac:dyDescent="0.3">
      <c r="A1604" t="s">
        <v>1620</v>
      </c>
      <c r="B1604" s="1">
        <v>45978</v>
      </c>
      <c r="C1604" t="s">
        <v>15</v>
      </c>
      <c r="D1604" t="s">
        <v>16</v>
      </c>
      <c r="E1604">
        <v>35</v>
      </c>
      <c r="F1604">
        <v>38</v>
      </c>
      <c r="G1604">
        <v>0</v>
      </c>
      <c r="H1604">
        <v>1330</v>
      </c>
      <c r="I1604">
        <f>AVERAGEIFS(sales_Data[units_sold], sales_Data[product_id],sales_Data[[#This Row],[product_id]])</f>
        <v>30.438356164383563</v>
      </c>
      <c r="J1604">
        <f>_xlfn.XLOOKUP(sales_Data[[#This Row],[product_id]],sales_Data[product_id],sales_Data[unit_price])</f>
        <v>35</v>
      </c>
    </row>
    <row r="1605" spans="1:10" x14ac:dyDescent="0.3">
      <c r="A1605" t="s">
        <v>1621</v>
      </c>
      <c r="B1605" s="1">
        <v>45978</v>
      </c>
      <c r="C1605" t="s">
        <v>18</v>
      </c>
      <c r="D1605" t="s">
        <v>19</v>
      </c>
      <c r="E1605">
        <v>120</v>
      </c>
      <c r="F1605">
        <v>48</v>
      </c>
      <c r="G1605">
        <v>0</v>
      </c>
      <c r="H1605">
        <v>5760</v>
      </c>
      <c r="I1605">
        <f>AVERAGEIFS(sales_Data[units_sold], sales_Data[product_id],sales_Data[[#This Row],[product_id]])</f>
        <v>30.473972602739725</v>
      </c>
      <c r="J1605">
        <f>_xlfn.XLOOKUP(sales_Data[[#This Row],[product_id]],sales_Data[product_id],sales_Data[unit_price])</f>
        <v>120</v>
      </c>
    </row>
    <row r="1606" spans="1:10" x14ac:dyDescent="0.3">
      <c r="A1606" t="s">
        <v>1622</v>
      </c>
      <c r="B1606" s="1">
        <v>45978</v>
      </c>
      <c r="C1606" t="s">
        <v>21</v>
      </c>
      <c r="D1606" t="s">
        <v>22</v>
      </c>
      <c r="E1606">
        <v>25</v>
      </c>
      <c r="F1606">
        <v>18</v>
      </c>
      <c r="G1606">
        <v>0</v>
      </c>
      <c r="H1606">
        <v>450</v>
      </c>
      <c r="I1606">
        <f>AVERAGEIFS(sales_Data[units_sold], sales_Data[product_id],sales_Data[[#This Row],[product_id]])</f>
        <v>29.463013698630139</v>
      </c>
      <c r="J1606">
        <f>_xlfn.XLOOKUP(sales_Data[[#This Row],[product_id]],sales_Data[product_id],sales_Data[unit_price])</f>
        <v>25</v>
      </c>
    </row>
    <row r="1607" spans="1:10" x14ac:dyDescent="0.3">
      <c r="A1607" t="s">
        <v>1623</v>
      </c>
      <c r="B1607" s="1">
        <v>45979</v>
      </c>
      <c r="C1607" t="s">
        <v>9</v>
      </c>
      <c r="D1607" t="s">
        <v>10</v>
      </c>
      <c r="E1607">
        <v>45</v>
      </c>
      <c r="F1607">
        <v>27</v>
      </c>
      <c r="G1607">
        <v>0</v>
      </c>
      <c r="H1607">
        <v>1215</v>
      </c>
      <c r="I1607">
        <f>AVERAGEIFS(sales_Data[units_sold], sales_Data[product_id],sales_Data[[#This Row],[product_id]])</f>
        <v>31.479452054794521</v>
      </c>
      <c r="J1607">
        <f>_xlfn.XLOOKUP(sales_Data[[#This Row],[product_id]],sales_Data[product_id],sales_Data[unit_price])</f>
        <v>45</v>
      </c>
    </row>
    <row r="1608" spans="1:10" x14ac:dyDescent="0.3">
      <c r="A1608" t="s">
        <v>1624</v>
      </c>
      <c r="B1608" s="1">
        <v>45979</v>
      </c>
      <c r="C1608" t="s">
        <v>12</v>
      </c>
      <c r="D1608" t="s">
        <v>13</v>
      </c>
      <c r="E1608">
        <v>12.5</v>
      </c>
      <c r="F1608">
        <v>24</v>
      </c>
      <c r="G1608">
        <v>0</v>
      </c>
      <c r="H1608">
        <v>300</v>
      </c>
      <c r="I1608">
        <f>AVERAGEIFS(sales_Data[units_sold], sales_Data[product_id],sales_Data[[#This Row],[product_id]])</f>
        <v>31.794520547945204</v>
      </c>
      <c r="J1608">
        <f>_xlfn.XLOOKUP(sales_Data[[#This Row],[product_id]],sales_Data[product_id],sales_Data[unit_price])</f>
        <v>12.5</v>
      </c>
    </row>
    <row r="1609" spans="1:10" x14ac:dyDescent="0.3">
      <c r="A1609" t="s">
        <v>1625</v>
      </c>
      <c r="B1609" s="1">
        <v>45979</v>
      </c>
      <c r="C1609" t="s">
        <v>15</v>
      </c>
      <c r="D1609" t="s">
        <v>16</v>
      </c>
      <c r="E1609">
        <v>35</v>
      </c>
      <c r="F1609">
        <v>15</v>
      </c>
      <c r="G1609">
        <v>0</v>
      </c>
      <c r="H1609">
        <v>525</v>
      </c>
      <c r="I1609">
        <f>AVERAGEIFS(sales_Data[units_sold], sales_Data[product_id],sales_Data[[#This Row],[product_id]])</f>
        <v>30.438356164383563</v>
      </c>
      <c r="J1609">
        <f>_xlfn.XLOOKUP(sales_Data[[#This Row],[product_id]],sales_Data[product_id],sales_Data[unit_price])</f>
        <v>35</v>
      </c>
    </row>
    <row r="1610" spans="1:10" x14ac:dyDescent="0.3">
      <c r="A1610" t="s">
        <v>1626</v>
      </c>
      <c r="B1610" s="1">
        <v>45979</v>
      </c>
      <c r="C1610" t="s">
        <v>18</v>
      </c>
      <c r="D1610" t="s">
        <v>19</v>
      </c>
      <c r="E1610">
        <v>120</v>
      </c>
      <c r="F1610">
        <v>27</v>
      </c>
      <c r="G1610">
        <v>0.1</v>
      </c>
      <c r="H1610">
        <v>2916</v>
      </c>
      <c r="I1610">
        <f>AVERAGEIFS(sales_Data[units_sold], sales_Data[product_id],sales_Data[[#This Row],[product_id]])</f>
        <v>30.473972602739725</v>
      </c>
      <c r="J1610">
        <f>_xlfn.XLOOKUP(sales_Data[[#This Row],[product_id]],sales_Data[product_id],sales_Data[unit_price])</f>
        <v>120</v>
      </c>
    </row>
    <row r="1611" spans="1:10" x14ac:dyDescent="0.3">
      <c r="A1611" t="s">
        <v>1627</v>
      </c>
      <c r="B1611" s="1">
        <v>45979</v>
      </c>
      <c r="C1611" t="s">
        <v>21</v>
      </c>
      <c r="D1611" t="s">
        <v>22</v>
      </c>
      <c r="E1611">
        <v>25</v>
      </c>
      <c r="F1611">
        <v>14</v>
      </c>
      <c r="G1611">
        <v>0</v>
      </c>
      <c r="H1611">
        <v>350</v>
      </c>
      <c r="I1611">
        <f>AVERAGEIFS(sales_Data[units_sold], sales_Data[product_id],sales_Data[[#This Row],[product_id]])</f>
        <v>29.463013698630139</v>
      </c>
      <c r="J1611">
        <f>_xlfn.XLOOKUP(sales_Data[[#This Row],[product_id]],sales_Data[product_id],sales_Data[unit_price])</f>
        <v>25</v>
      </c>
    </row>
    <row r="1612" spans="1:10" x14ac:dyDescent="0.3">
      <c r="A1612" t="s">
        <v>1628</v>
      </c>
      <c r="B1612" s="1">
        <v>45980</v>
      </c>
      <c r="C1612" t="s">
        <v>9</v>
      </c>
      <c r="D1612" t="s">
        <v>10</v>
      </c>
      <c r="E1612">
        <v>45</v>
      </c>
      <c r="F1612">
        <v>24</v>
      </c>
      <c r="G1612">
        <v>0</v>
      </c>
      <c r="H1612">
        <v>1080</v>
      </c>
      <c r="I1612">
        <f>AVERAGEIFS(sales_Data[units_sold], sales_Data[product_id],sales_Data[[#This Row],[product_id]])</f>
        <v>31.479452054794521</v>
      </c>
      <c r="J1612">
        <f>_xlfn.XLOOKUP(sales_Data[[#This Row],[product_id]],sales_Data[product_id],sales_Data[unit_price])</f>
        <v>45</v>
      </c>
    </row>
    <row r="1613" spans="1:10" x14ac:dyDescent="0.3">
      <c r="A1613" t="s">
        <v>1629</v>
      </c>
      <c r="B1613" s="1">
        <v>45980</v>
      </c>
      <c r="C1613" t="s">
        <v>12</v>
      </c>
      <c r="D1613" t="s">
        <v>13</v>
      </c>
      <c r="E1613">
        <v>12.5</v>
      </c>
      <c r="F1613">
        <v>26</v>
      </c>
      <c r="G1613">
        <v>0</v>
      </c>
      <c r="H1613">
        <v>325</v>
      </c>
      <c r="I1613">
        <f>AVERAGEIFS(sales_Data[units_sold], sales_Data[product_id],sales_Data[[#This Row],[product_id]])</f>
        <v>31.794520547945204</v>
      </c>
      <c r="J1613">
        <f>_xlfn.XLOOKUP(sales_Data[[#This Row],[product_id]],sales_Data[product_id],sales_Data[unit_price])</f>
        <v>12.5</v>
      </c>
    </row>
    <row r="1614" spans="1:10" x14ac:dyDescent="0.3">
      <c r="A1614" t="s">
        <v>1630</v>
      </c>
      <c r="B1614" s="1">
        <v>45980</v>
      </c>
      <c r="C1614" t="s">
        <v>15</v>
      </c>
      <c r="D1614" t="s">
        <v>16</v>
      </c>
      <c r="E1614">
        <v>35</v>
      </c>
      <c r="F1614">
        <v>7</v>
      </c>
      <c r="G1614">
        <v>0.2</v>
      </c>
      <c r="H1614">
        <v>196</v>
      </c>
      <c r="I1614">
        <f>AVERAGEIFS(sales_Data[units_sold], sales_Data[product_id],sales_Data[[#This Row],[product_id]])</f>
        <v>30.438356164383563</v>
      </c>
      <c r="J1614">
        <f>_xlfn.XLOOKUP(sales_Data[[#This Row],[product_id]],sales_Data[product_id],sales_Data[unit_price])</f>
        <v>35</v>
      </c>
    </row>
    <row r="1615" spans="1:10" x14ac:dyDescent="0.3">
      <c r="A1615" t="s">
        <v>1631</v>
      </c>
      <c r="B1615" s="1">
        <v>45980</v>
      </c>
      <c r="C1615" t="s">
        <v>18</v>
      </c>
      <c r="D1615" t="s">
        <v>19</v>
      </c>
      <c r="E1615">
        <v>120</v>
      </c>
      <c r="F1615">
        <v>33</v>
      </c>
      <c r="G1615">
        <v>0</v>
      </c>
      <c r="H1615">
        <v>3960</v>
      </c>
      <c r="I1615">
        <f>AVERAGEIFS(sales_Data[units_sold], sales_Data[product_id],sales_Data[[#This Row],[product_id]])</f>
        <v>30.473972602739725</v>
      </c>
      <c r="J1615">
        <f>_xlfn.XLOOKUP(sales_Data[[#This Row],[product_id]],sales_Data[product_id],sales_Data[unit_price])</f>
        <v>120</v>
      </c>
    </row>
    <row r="1616" spans="1:10" x14ac:dyDescent="0.3">
      <c r="A1616" t="s">
        <v>1632</v>
      </c>
      <c r="B1616" s="1">
        <v>45980</v>
      </c>
      <c r="C1616" t="s">
        <v>21</v>
      </c>
      <c r="D1616" t="s">
        <v>22</v>
      </c>
      <c r="E1616">
        <v>25</v>
      </c>
      <c r="F1616">
        <v>29</v>
      </c>
      <c r="G1616">
        <v>0.2</v>
      </c>
      <c r="H1616">
        <v>580</v>
      </c>
      <c r="I1616">
        <f>AVERAGEIFS(sales_Data[units_sold], sales_Data[product_id],sales_Data[[#This Row],[product_id]])</f>
        <v>29.463013698630139</v>
      </c>
      <c r="J1616">
        <f>_xlfn.XLOOKUP(sales_Data[[#This Row],[product_id]],sales_Data[product_id],sales_Data[unit_price])</f>
        <v>25</v>
      </c>
    </row>
    <row r="1617" spans="1:10" x14ac:dyDescent="0.3">
      <c r="A1617" t="s">
        <v>1633</v>
      </c>
      <c r="B1617" s="1">
        <v>45981</v>
      </c>
      <c r="C1617" t="s">
        <v>9</v>
      </c>
      <c r="D1617" t="s">
        <v>10</v>
      </c>
      <c r="E1617">
        <v>45</v>
      </c>
      <c r="F1617">
        <v>41</v>
      </c>
      <c r="G1617">
        <v>0</v>
      </c>
      <c r="H1617">
        <v>1845</v>
      </c>
      <c r="I1617">
        <f>AVERAGEIFS(sales_Data[units_sold], sales_Data[product_id],sales_Data[[#This Row],[product_id]])</f>
        <v>31.479452054794521</v>
      </c>
      <c r="J1617">
        <f>_xlfn.XLOOKUP(sales_Data[[#This Row],[product_id]],sales_Data[product_id],sales_Data[unit_price])</f>
        <v>45</v>
      </c>
    </row>
    <row r="1618" spans="1:10" x14ac:dyDescent="0.3">
      <c r="A1618" t="s">
        <v>1634</v>
      </c>
      <c r="B1618" s="1">
        <v>45981</v>
      </c>
      <c r="C1618" t="s">
        <v>12</v>
      </c>
      <c r="D1618" t="s">
        <v>13</v>
      </c>
      <c r="E1618">
        <v>12.5</v>
      </c>
      <c r="F1618">
        <v>5</v>
      </c>
      <c r="G1618">
        <v>0</v>
      </c>
      <c r="H1618">
        <v>62.5</v>
      </c>
      <c r="I1618">
        <f>AVERAGEIFS(sales_Data[units_sold], sales_Data[product_id],sales_Data[[#This Row],[product_id]])</f>
        <v>31.794520547945204</v>
      </c>
      <c r="J1618">
        <f>_xlfn.XLOOKUP(sales_Data[[#This Row],[product_id]],sales_Data[product_id],sales_Data[unit_price])</f>
        <v>12.5</v>
      </c>
    </row>
    <row r="1619" spans="1:10" x14ac:dyDescent="0.3">
      <c r="A1619" t="s">
        <v>1635</v>
      </c>
      <c r="B1619" s="1">
        <v>45981</v>
      </c>
      <c r="C1619" t="s">
        <v>15</v>
      </c>
      <c r="D1619" t="s">
        <v>16</v>
      </c>
      <c r="E1619">
        <v>35</v>
      </c>
      <c r="F1619">
        <v>35</v>
      </c>
      <c r="G1619">
        <v>0.2</v>
      </c>
      <c r="H1619">
        <v>980</v>
      </c>
      <c r="I1619">
        <f>AVERAGEIFS(sales_Data[units_sold], sales_Data[product_id],sales_Data[[#This Row],[product_id]])</f>
        <v>30.438356164383563</v>
      </c>
      <c r="J1619">
        <f>_xlfn.XLOOKUP(sales_Data[[#This Row],[product_id]],sales_Data[product_id],sales_Data[unit_price])</f>
        <v>35</v>
      </c>
    </row>
    <row r="1620" spans="1:10" x14ac:dyDescent="0.3">
      <c r="A1620" t="s">
        <v>1636</v>
      </c>
      <c r="B1620" s="1">
        <v>45981</v>
      </c>
      <c r="C1620" t="s">
        <v>18</v>
      </c>
      <c r="D1620" t="s">
        <v>19</v>
      </c>
      <c r="E1620">
        <v>120</v>
      </c>
      <c r="F1620">
        <v>26</v>
      </c>
      <c r="G1620">
        <v>0</v>
      </c>
      <c r="H1620">
        <v>3120</v>
      </c>
      <c r="I1620">
        <f>AVERAGEIFS(sales_Data[units_sold], sales_Data[product_id],sales_Data[[#This Row],[product_id]])</f>
        <v>30.473972602739725</v>
      </c>
      <c r="J1620">
        <f>_xlfn.XLOOKUP(sales_Data[[#This Row],[product_id]],sales_Data[product_id],sales_Data[unit_price])</f>
        <v>120</v>
      </c>
    </row>
    <row r="1621" spans="1:10" x14ac:dyDescent="0.3">
      <c r="A1621" t="s">
        <v>1637</v>
      </c>
      <c r="B1621" s="1">
        <v>45981</v>
      </c>
      <c r="C1621" t="s">
        <v>21</v>
      </c>
      <c r="D1621" t="s">
        <v>22</v>
      </c>
      <c r="E1621">
        <v>25</v>
      </c>
      <c r="F1621">
        <v>21</v>
      </c>
      <c r="G1621">
        <v>0</v>
      </c>
      <c r="H1621">
        <v>525</v>
      </c>
      <c r="I1621">
        <f>AVERAGEIFS(sales_Data[units_sold], sales_Data[product_id],sales_Data[[#This Row],[product_id]])</f>
        <v>29.463013698630139</v>
      </c>
      <c r="J1621">
        <f>_xlfn.XLOOKUP(sales_Data[[#This Row],[product_id]],sales_Data[product_id],sales_Data[unit_price])</f>
        <v>25</v>
      </c>
    </row>
    <row r="1622" spans="1:10" x14ac:dyDescent="0.3">
      <c r="A1622" t="s">
        <v>1638</v>
      </c>
      <c r="B1622" s="1">
        <v>45982</v>
      </c>
      <c r="C1622" t="s">
        <v>9</v>
      </c>
      <c r="D1622" t="s">
        <v>10</v>
      </c>
      <c r="E1622">
        <v>45</v>
      </c>
      <c r="F1622">
        <v>10</v>
      </c>
      <c r="G1622">
        <v>0</v>
      </c>
      <c r="H1622">
        <v>450</v>
      </c>
      <c r="I1622">
        <f>AVERAGEIFS(sales_Data[units_sold], sales_Data[product_id],sales_Data[[#This Row],[product_id]])</f>
        <v>31.479452054794521</v>
      </c>
      <c r="J1622">
        <f>_xlfn.XLOOKUP(sales_Data[[#This Row],[product_id]],sales_Data[product_id],sales_Data[unit_price])</f>
        <v>45</v>
      </c>
    </row>
    <row r="1623" spans="1:10" x14ac:dyDescent="0.3">
      <c r="A1623" t="s">
        <v>1639</v>
      </c>
      <c r="B1623" s="1">
        <v>45982</v>
      </c>
      <c r="C1623" t="s">
        <v>12</v>
      </c>
      <c r="D1623" t="s">
        <v>13</v>
      </c>
      <c r="E1623">
        <v>12.5</v>
      </c>
      <c r="F1623">
        <v>38</v>
      </c>
      <c r="G1623">
        <v>0</v>
      </c>
      <c r="H1623">
        <v>475</v>
      </c>
      <c r="I1623">
        <f>AVERAGEIFS(sales_Data[units_sold], sales_Data[product_id],sales_Data[[#This Row],[product_id]])</f>
        <v>31.794520547945204</v>
      </c>
      <c r="J1623">
        <f>_xlfn.XLOOKUP(sales_Data[[#This Row],[product_id]],sales_Data[product_id],sales_Data[unit_price])</f>
        <v>12.5</v>
      </c>
    </row>
    <row r="1624" spans="1:10" x14ac:dyDescent="0.3">
      <c r="A1624" t="s">
        <v>1640</v>
      </c>
      <c r="B1624" s="1">
        <v>45982</v>
      </c>
      <c r="C1624" t="s">
        <v>15</v>
      </c>
      <c r="D1624" t="s">
        <v>16</v>
      </c>
      <c r="E1624">
        <v>35</v>
      </c>
      <c r="F1624">
        <v>17</v>
      </c>
      <c r="G1624">
        <v>0</v>
      </c>
      <c r="H1624">
        <v>595</v>
      </c>
      <c r="I1624">
        <f>AVERAGEIFS(sales_Data[units_sold], sales_Data[product_id],sales_Data[[#This Row],[product_id]])</f>
        <v>30.438356164383563</v>
      </c>
      <c r="J1624">
        <f>_xlfn.XLOOKUP(sales_Data[[#This Row],[product_id]],sales_Data[product_id],sales_Data[unit_price])</f>
        <v>35</v>
      </c>
    </row>
    <row r="1625" spans="1:10" x14ac:dyDescent="0.3">
      <c r="A1625" t="s">
        <v>1641</v>
      </c>
      <c r="B1625" s="1">
        <v>45982</v>
      </c>
      <c r="C1625" t="s">
        <v>18</v>
      </c>
      <c r="D1625" t="s">
        <v>19</v>
      </c>
      <c r="E1625">
        <v>120</v>
      </c>
      <c r="F1625">
        <v>24</v>
      </c>
      <c r="G1625">
        <v>0.2</v>
      </c>
      <c r="H1625">
        <v>2304</v>
      </c>
      <c r="I1625">
        <f>AVERAGEIFS(sales_Data[units_sold], sales_Data[product_id],sales_Data[[#This Row],[product_id]])</f>
        <v>30.473972602739725</v>
      </c>
      <c r="J1625">
        <f>_xlfn.XLOOKUP(sales_Data[[#This Row],[product_id]],sales_Data[product_id],sales_Data[unit_price])</f>
        <v>120</v>
      </c>
    </row>
    <row r="1626" spans="1:10" x14ac:dyDescent="0.3">
      <c r="A1626" t="s">
        <v>1642</v>
      </c>
      <c r="B1626" s="1">
        <v>45982</v>
      </c>
      <c r="C1626" t="s">
        <v>21</v>
      </c>
      <c r="D1626" t="s">
        <v>22</v>
      </c>
      <c r="E1626">
        <v>25</v>
      </c>
      <c r="F1626">
        <v>30</v>
      </c>
      <c r="G1626">
        <v>0</v>
      </c>
      <c r="H1626">
        <v>750</v>
      </c>
      <c r="I1626">
        <f>AVERAGEIFS(sales_Data[units_sold], sales_Data[product_id],sales_Data[[#This Row],[product_id]])</f>
        <v>29.463013698630139</v>
      </c>
      <c r="J1626">
        <f>_xlfn.XLOOKUP(sales_Data[[#This Row],[product_id]],sales_Data[product_id],sales_Data[unit_price])</f>
        <v>25</v>
      </c>
    </row>
    <row r="1627" spans="1:10" x14ac:dyDescent="0.3">
      <c r="A1627" t="s">
        <v>1643</v>
      </c>
      <c r="B1627" s="1">
        <v>45983</v>
      </c>
      <c r="C1627" t="s">
        <v>9</v>
      </c>
      <c r="D1627" t="s">
        <v>10</v>
      </c>
      <c r="E1627">
        <v>45</v>
      </c>
      <c r="F1627">
        <v>39</v>
      </c>
      <c r="G1627">
        <v>0</v>
      </c>
      <c r="H1627">
        <v>1755</v>
      </c>
      <c r="I1627">
        <f>AVERAGEIFS(sales_Data[units_sold], sales_Data[product_id],sales_Data[[#This Row],[product_id]])</f>
        <v>31.479452054794521</v>
      </c>
      <c r="J1627">
        <f>_xlfn.XLOOKUP(sales_Data[[#This Row],[product_id]],sales_Data[product_id],sales_Data[unit_price])</f>
        <v>45</v>
      </c>
    </row>
    <row r="1628" spans="1:10" x14ac:dyDescent="0.3">
      <c r="A1628" t="s">
        <v>1644</v>
      </c>
      <c r="B1628" s="1">
        <v>45983</v>
      </c>
      <c r="C1628" t="s">
        <v>12</v>
      </c>
      <c r="D1628" t="s">
        <v>13</v>
      </c>
      <c r="E1628">
        <v>12.5</v>
      </c>
      <c r="F1628">
        <v>42</v>
      </c>
      <c r="G1628">
        <v>0</v>
      </c>
      <c r="H1628">
        <v>525</v>
      </c>
      <c r="I1628">
        <f>AVERAGEIFS(sales_Data[units_sold], sales_Data[product_id],sales_Data[[#This Row],[product_id]])</f>
        <v>31.794520547945204</v>
      </c>
      <c r="J1628">
        <f>_xlfn.XLOOKUP(sales_Data[[#This Row],[product_id]],sales_Data[product_id],sales_Data[unit_price])</f>
        <v>12.5</v>
      </c>
    </row>
    <row r="1629" spans="1:10" x14ac:dyDescent="0.3">
      <c r="A1629" t="s">
        <v>1645</v>
      </c>
      <c r="B1629" s="1">
        <v>45983</v>
      </c>
      <c r="C1629" t="s">
        <v>15</v>
      </c>
      <c r="D1629" t="s">
        <v>16</v>
      </c>
      <c r="E1629">
        <v>35</v>
      </c>
      <c r="F1629">
        <v>66</v>
      </c>
      <c r="G1629">
        <v>0.2</v>
      </c>
      <c r="H1629">
        <v>1848</v>
      </c>
      <c r="I1629">
        <f>AVERAGEIFS(sales_Data[units_sold], sales_Data[product_id],sales_Data[[#This Row],[product_id]])</f>
        <v>30.438356164383563</v>
      </c>
      <c r="J1629">
        <f>_xlfn.XLOOKUP(sales_Data[[#This Row],[product_id]],sales_Data[product_id],sales_Data[unit_price])</f>
        <v>35</v>
      </c>
    </row>
    <row r="1630" spans="1:10" x14ac:dyDescent="0.3">
      <c r="A1630" t="s">
        <v>1646</v>
      </c>
      <c r="B1630" s="1">
        <v>45983</v>
      </c>
      <c r="C1630" t="s">
        <v>18</v>
      </c>
      <c r="D1630" t="s">
        <v>19</v>
      </c>
      <c r="E1630">
        <v>120</v>
      </c>
      <c r="F1630">
        <v>19</v>
      </c>
      <c r="G1630">
        <v>0.1</v>
      </c>
      <c r="H1630">
        <v>2052</v>
      </c>
      <c r="I1630">
        <f>AVERAGEIFS(sales_Data[units_sold], sales_Data[product_id],sales_Data[[#This Row],[product_id]])</f>
        <v>30.473972602739725</v>
      </c>
      <c r="J1630">
        <f>_xlfn.XLOOKUP(sales_Data[[#This Row],[product_id]],sales_Data[product_id],sales_Data[unit_price])</f>
        <v>120</v>
      </c>
    </row>
    <row r="1631" spans="1:10" x14ac:dyDescent="0.3">
      <c r="A1631" t="s">
        <v>1647</v>
      </c>
      <c r="B1631" s="1">
        <v>45983</v>
      </c>
      <c r="C1631" t="s">
        <v>21</v>
      </c>
      <c r="D1631" t="s">
        <v>22</v>
      </c>
      <c r="E1631">
        <v>25</v>
      </c>
      <c r="F1631">
        <v>16</v>
      </c>
      <c r="G1631">
        <v>0</v>
      </c>
      <c r="H1631">
        <v>400</v>
      </c>
      <c r="I1631">
        <f>AVERAGEIFS(sales_Data[units_sold], sales_Data[product_id],sales_Data[[#This Row],[product_id]])</f>
        <v>29.463013698630139</v>
      </c>
      <c r="J1631">
        <f>_xlfn.XLOOKUP(sales_Data[[#This Row],[product_id]],sales_Data[product_id],sales_Data[unit_price])</f>
        <v>25</v>
      </c>
    </row>
    <row r="1632" spans="1:10" x14ac:dyDescent="0.3">
      <c r="A1632" t="s">
        <v>1648</v>
      </c>
      <c r="B1632" s="1">
        <v>45984</v>
      </c>
      <c r="C1632" t="s">
        <v>9</v>
      </c>
      <c r="D1632" t="s">
        <v>10</v>
      </c>
      <c r="E1632">
        <v>45</v>
      </c>
      <c r="F1632">
        <v>31</v>
      </c>
      <c r="G1632">
        <v>0</v>
      </c>
      <c r="H1632">
        <v>1395</v>
      </c>
      <c r="I1632">
        <f>AVERAGEIFS(sales_Data[units_sold], sales_Data[product_id],sales_Data[[#This Row],[product_id]])</f>
        <v>31.479452054794521</v>
      </c>
      <c r="J1632">
        <f>_xlfn.XLOOKUP(sales_Data[[#This Row],[product_id]],sales_Data[product_id],sales_Data[unit_price])</f>
        <v>45</v>
      </c>
    </row>
    <row r="1633" spans="1:10" x14ac:dyDescent="0.3">
      <c r="A1633" t="s">
        <v>1649</v>
      </c>
      <c r="B1633" s="1">
        <v>45984</v>
      </c>
      <c r="C1633" t="s">
        <v>12</v>
      </c>
      <c r="D1633" t="s">
        <v>13</v>
      </c>
      <c r="E1633">
        <v>12.5</v>
      </c>
      <c r="F1633">
        <v>40</v>
      </c>
      <c r="G1633">
        <v>0</v>
      </c>
      <c r="H1633">
        <v>500</v>
      </c>
      <c r="I1633">
        <f>AVERAGEIFS(sales_Data[units_sold], sales_Data[product_id],sales_Data[[#This Row],[product_id]])</f>
        <v>31.794520547945204</v>
      </c>
      <c r="J1633">
        <f>_xlfn.XLOOKUP(sales_Data[[#This Row],[product_id]],sales_Data[product_id],sales_Data[unit_price])</f>
        <v>12.5</v>
      </c>
    </row>
    <row r="1634" spans="1:10" x14ac:dyDescent="0.3">
      <c r="A1634" t="s">
        <v>1650</v>
      </c>
      <c r="B1634" s="1">
        <v>45984</v>
      </c>
      <c r="C1634" t="s">
        <v>15</v>
      </c>
      <c r="D1634" t="s">
        <v>16</v>
      </c>
      <c r="E1634">
        <v>35</v>
      </c>
      <c r="F1634">
        <v>69</v>
      </c>
      <c r="G1634">
        <v>0</v>
      </c>
      <c r="H1634">
        <v>2415</v>
      </c>
      <c r="I1634">
        <f>AVERAGEIFS(sales_Data[units_sold], sales_Data[product_id],sales_Data[[#This Row],[product_id]])</f>
        <v>30.438356164383563</v>
      </c>
      <c r="J1634">
        <f>_xlfn.XLOOKUP(sales_Data[[#This Row],[product_id]],sales_Data[product_id],sales_Data[unit_price])</f>
        <v>35</v>
      </c>
    </row>
    <row r="1635" spans="1:10" x14ac:dyDescent="0.3">
      <c r="A1635" t="s">
        <v>1651</v>
      </c>
      <c r="B1635" s="1">
        <v>45984</v>
      </c>
      <c r="C1635" t="s">
        <v>18</v>
      </c>
      <c r="D1635" t="s">
        <v>19</v>
      </c>
      <c r="E1635">
        <v>120</v>
      </c>
      <c r="F1635">
        <v>54</v>
      </c>
      <c r="G1635">
        <v>0</v>
      </c>
      <c r="H1635">
        <v>6480</v>
      </c>
      <c r="I1635">
        <f>AVERAGEIFS(sales_Data[units_sold], sales_Data[product_id],sales_Data[[#This Row],[product_id]])</f>
        <v>30.473972602739725</v>
      </c>
      <c r="J1635">
        <f>_xlfn.XLOOKUP(sales_Data[[#This Row],[product_id]],sales_Data[product_id],sales_Data[unit_price])</f>
        <v>120</v>
      </c>
    </row>
    <row r="1636" spans="1:10" x14ac:dyDescent="0.3">
      <c r="A1636" t="s">
        <v>1652</v>
      </c>
      <c r="B1636" s="1">
        <v>45984</v>
      </c>
      <c r="C1636" t="s">
        <v>21</v>
      </c>
      <c r="D1636" t="s">
        <v>22</v>
      </c>
      <c r="E1636">
        <v>25</v>
      </c>
      <c r="F1636">
        <v>13</v>
      </c>
      <c r="G1636">
        <v>0</v>
      </c>
      <c r="H1636">
        <v>325</v>
      </c>
      <c r="I1636">
        <f>AVERAGEIFS(sales_Data[units_sold], sales_Data[product_id],sales_Data[[#This Row],[product_id]])</f>
        <v>29.463013698630139</v>
      </c>
      <c r="J1636">
        <f>_xlfn.XLOOKUP(sales_Data[[#This Row],[product_id]],sales_Data[product_id],sales_Data[unit_price])</f>
        <v>25</v>
      </c>
    </row>
    <row r="1637" spans="1:10" x14ac:dyDescent="0.3">
      <c r="A1637" t="s">
        <v>1653</v>
      </c>
      <c r="B1637" s="1">
        <v>45985</v>
      </c>
      <c r="C1637" t="s">
        <v>9</v>
      </c>
      <c r="D1637" t="s">
        <v>10</v>
      </c>
      <c r="E1637">
        <v>45</v>
      </c>
      <c r="F1637">
        <v>45</v>
      </c>
      <c r="G1637">
        <v>0</v>
      </c>
      <c r="H1637">
        <v>2025</v>
      </c>
      <c r="I1637">
        <f>AVERAGEIFS(sales_Data[units_sold], sales_Data[product_id],sales_Data[[#This Row],[product_id]])</f>
        <v>31.479452054794521</v>
      </c>
      <c r="J1637">
        <f>_xlfn.XLOOKUP(sales_Data[[#This Row],[product_id]],sales_Data[product_id],sales_Data[unit_price])</f>
        <v>45</v>
      </c>
    </row>
    <row r="1638" spans="1:10" x14ac:dyDescent="0.3">
      <c r="A1638" t="s">
        <v>1654</v>
      </c>
      <c r="B1638" s="1">
        <v>45985</v>
      </c>
      <c r="C1638" t="s">
        <v>12</v>
      </c>
      <c r="D1638" t="s">
        <v>13</v>
      </c>
      <c r="E1638">
        <v>12.5</v>
      </c>
      <c r="F1638">
        <v>44</v>
      </c>
      <c r="G1638">
        <v>0.2</v>
      </c>
      <c r="H1638">
        <v>440</v>
      </c>
      <c r="I1638">
        <f>AVERAGEIFS(sales_Data[units_sold], sales_Data[product_id],sales_Data[[#This Row],[product_id]])</f>
        <v>31.794520547945204</v>
      </c>
      <c r="J1638">
        <f>_xlfn.XLOOKUP(sales_Data[[#This Row],[product_id]],sales_Data[product_id],sales_Data[unit_price])</f>
        <v>12.5</v>
      </c>
    </row>
    <row r="1639" spans="1:10" x14ac:dyDescent="0.3">
      <c r="A1639" t="s">
        <v>1655</v>
      </c>
      <c r="B1639" s="1">
        <v>45985</v>
      </c>
      <c r="C1639" t="s">
        <v>15</v>
      </c>
      <c r="D1639" t="s">
        <v>16</v>
      </c>
      <c r="E1639">
        <v>35</v>
      </c>
      <c r="F1639">
        <v>18</v>
      </c>
      <c r="G1639">
        <v>0.1</v>
      </c>
      <c r="H1639">
        <v>567</v>
      </c>
      <c r="I1639">
        <f>AVERAGEIFS(sales_Data[units_sold], sales_Data[product_id],sales_Data[[#This Row],[product_id]])</f>
        <v>30.438356164383563</v>
      </c>
      <c r="J1639">
        <f>_xlfn.XLOOKUP(sales_Data[[#This Row],[product_id]],sales_Data[product_id],sales_Data[unit_price])</f>
        <v>35</v>
      </c>
    </row>
    <row r="1640" spans="1:10" x14ac:dyDescent="0.3">
      <c r="A1640" t="s">
        <v>1656</v>
      </c>
      <c r="B1640" s="1">
        <v>45985</v>
      </c>
      <c r="C1640" t="s">
        <v>18</v>
      </c>
      <c r="D1640" t="s">
        <v>19</v>
      </c>
      <c r="E1640">
        <v>120</v>
      </c>
      <c r="F1640">
        <v>28</v>
      </c>
      <c r="G1640">
        <v>0.1</v>
      </c>
      <c r="H1640">
        <v>3024</v>
      </c>
      <c r="I1640">
        <f>AVERAGEIFS(sales_Data[units_sold], sales_Data[product_id],sales_Data[[#This Row],[product_id]])</f>
        <v>30.473972602739725</v>
      </c>
      <c r="J1640">
        <f>_xlfn.XLOOKUP(sales_Data[[#This Row],[product_id]],sales_Data[product_id],sales_Data[unit_price])</f>
        <v>120</v>
      </c>
    </row>
    <row r="1641" spans="1:10" x14ac:dyDescent="0.3">
      <c r="A1641" t="s">
        <v>1657</v>
      </c>
      <c r="B1641" s="1">
        <v>45985</v>
      </c>
      <c r="C1641" t="s">
        <v>21</v>
      </c>
      <c r="D1641" t="s">
        <v>22</v>
      </c>
      <c r="E1641">
        <v>25</v>
      </c>
      <c r="F1641">
        <v>6</v>
      </c>
      <c r="G1641">
        <v>0.1</v>
      </c>
      <c r="H1641">
        <v>135</v>
      </c>
      <c r="I1641">
        <f>AVERAGEIFS(sales_Data[units_sold], sales_Data[product_id],sales_Data[[#This Row],[product_id]])</f>
        <v>29.463013698630139</v>
      </c>
      <c r="J1641">
        <f>_xlfn.XLOOKUP(sales_Data[[#This Row],[product_id]],sales_Data[product_id],sales_Data[unit_price])</f>
        <v>25</v>
      </c>
    </row>
    <row r="1642" spans="1:10" x14ac:dyDescent="0.3">
      <c r="A1642" t="s">
        <v>1658</v>
      </c>
      <c r="B1642" s="1">
        <v>45986</v>
      </c>
      <c r="C1642" t="s">
        <v>9</v>
      </c>
      <c r="D1642" t="s">
        <v>10</v>
      </c>
      <c r="E1642">
        <v>45</v>
      </c>
      <c r="F1642">
        <v>7</v>
      </c>
      <c r="G1642">
        <v>0</v>
      </c>
      <c r="H1642">
        <v>315</v>
      </c>
      <c r="I1642">
        <f>AVERAGEIFS(sales_Data[units_sold], sales_Data[product_id],sales_Data[[#This Row],[product_id]])</f>
        <v>31.479452054794521</v>
      </c>
      <c r="J1642">
        <f>_xlfn.XLOOKUP(sales_Data[[#This Row],[product_id]],sales_Data[product_id],sales_Data[unit_price])</f>
        <v>45</v>
      </c>
    </row>
    <row r="1643" spans="1:10" x14ac:dyDescent="0.3">
      <c r="A1643" t="s">
        <v>1659</v>
      </c>
      <c r="B1643" s="1">
        <v>45986</v>
      </c>
      <c r="C1643" t="s">
        <v>12</v>
      </c>
      <c r="D1643" t="s">
        <v>13</v>
      </c>
      <c r="E1643">
        <v>12.5</v>
      </c>
      <c r="F1643">
        <v>21</v>
      </c>
      <c r="G1643">
        <v>0</v>
      </c>
      <c r="H1643">
        <v>262.5</v>
      </c>
      <c r="I1643">
        <f>AVERAGEIFS(sales_Data[units_sold], sales_Data[product_id],sales_Data[[#This Row],[product_id]])</f>
        <v>31.794520547945204</v>
      </c>
      <c r="J1643">
        <f>_xlfn.XLOOKUP(sales_Data[[#This Row],[product_id]],sales_Data[product_id],sales_Data[unit_price])</f>
        <v>12.5</v>
      </c>
    </row>
    <row r="1644" spans="1:10" x14ac:dyDescent="0.3">
      <c r="A1644" t="s">
        <v>1660</v>
      </c>
      <c r="B1644" s="1">
        <v>45986</v>
      </c>
      <c r="C1644" t="s">
        <v>15</v>
      </c>
      <c r="D1644" t="s">
        <v>16</v>
      </c>
      <c r="E1644">
        <v>35</v>
      </c>
      <c r="F1644">
        <v>41</v>
      </c>
      <c r="G1644">
        <v>0</v>
      </c>
      <c r="H1644">
        <v>1435</v>
      </c>
      <c r="I1644">
        <f>AVERAGEIFS(sales_Data[units_sold], sales_Data[product_id],sales_Data[[#This Row],[product_id]])</f>
        <v>30.438356164383563</v>
      </c>
      <c r="J1644">
        <f>_xlfn.XLOOKUP(sales_Data[[#This Row],[product_id]],sales_Data[product_id],sales_Data[unit_price])</f>
        <v>35</v>
      </c>
    </row>
    <row r="1645" spans="1:10" x14ac:dyDescent="0.3">
      <c r="A1645" t="s">
        <v>1661</v>
      </c>
      <c r="B1645" s="1">
        <v>45986</v>
      </c>
      <c r="C1645" t="s">
        <v>18</v>
      </c>
      <c r="D1645" t="s">
        <v>19</v>
      </c>
      <c r="E1645">
        <v>120</v>
      </c>
      <c r="F1645">
        <v>14</v>
      </c>
      <c r="G1645">
        <v>0</v>
      </c>
      <c r="H1645">
        <v>1680</v>
      </c>
      <c r="I1645">
        <f>AVERAGEIFS(sales_Data[units_sold], sales_Data[product_id],sales_Data[[#This Row],[product_id]])</f>
        <v>30.473972602739725</v>
      </c>
      <c r="J1645">
        <f>_xlfn.XLOOKUP(sales_Data[[#This Row],[product_id]],sales_Data[product_id],sales_Data[unit_price])</f>
        <v>120</v>
      </c>
    </row>
    <row r="1646" spans="1:10" x14ac:dyDescent="0.3">
      <c r="A1646" t="s">
        <v>1662</v>
      </c>
      <c r="B1646" s="1">
        <v>45986</v>
      </c>
      <c r="C1646" t="s">
        <v>21</v>
      </c>
      <c r="D1646" t="s">
        <v>22</v>
      </c>
      <c r="E1646">
        <v>25</v>
      </c>
      <c r="F1646">
        <v>36</v>
      </c>
      <c r="G1646">
        <v>0.1</v>
      </c>
      <c r="H1646">
        <v>810</v>
      </c>
      <c r="I1646">
        <f>AVERAGEIFS(sales_Data[units_sold], sales_Data[product_id],sales_Data[[#This Row],[product_id]])</f>
        <v>29.463013698630139</v>
      </c>
      <c r="J1646">
        <f>_xlfn.XLOOKUP(sales_Data[[#This Row],[product_id]],sales_Data[product_id],sales_Data[unit_price])</f>
        <v>25</v>
      </c>
    </row>
    <row r="1647" spans="1:10" x14ac:dyDescent="0.3">
      <c r="A1647" t="s">
        <v>1663</v>
      </c>
      <c r="B1647" s="1">
        <v>45987</v>
      </c>
      <c r="C1647" t="s">
        <v>9</v>
      </c>
      <c r="D1647" t="s">
        <v>10</v>
      </c>
      <c r="E1647">
        <v>45</v>
      </c>
      <c r="F1647">
        <v>27</v>
      </c>
      <c r="G1647">
        <v>0.1</v>
      </c>
      <c r="H1647">
        <v>1093.5</v>
      </c>
      <c r="I1647">
        <f>AVERAGEIFS(sales_Data[units_sold], sales_Data[product_id],sales_Data[[#This Row],[product_id]])</f>
        <v>31.479452054794521</v>
      </c>
      <c r="J1647">
        <f>_xlfn.XLOOKUP(sales_Data[[#This Row],[product_id]],sales_Data[product_id],sales_Data[unit_price])</f>
        <v>45</v>
      </c>
    </row>
    <row r="1648" spans="1:10" x14ac:dyDescent="0.3">
      <c r="A1648" t="s">
        <v>1664</v>
      </c>
      <c r="B1648" s="1">
        <v>45987</v>
      </c>
      <c r="C1648" t="s">
        <v>12</v>
      </c>
      <c r="D1648" t="s">
        <v>13</v>
      </c>
      <c r="E1648">
        <v>12.5</v>
      </c>
      <c r="F1648">
        <v>41</v>
      </c>
      <c r="G1648">
        <v>0</v>
      </c>
      <c r="H1648">
        <v>512.5</v>
      </c>
      <c r="I1648">
        <f>AVERAGEIFS(sales_Data[units_sold], sales_Data[product_id],sales_Data[[#This Row],[product_id]])</f>
        <v>31.794520547945204</v>
      </c>
      <c r="J1648">
        <f>_xlfn.XLOOKUP(sales_Data[[#This Row],[product_id]],sales_Data[product_id],sales_Data[unit_price])</f>
        <v>12.5</v>
      </c>
    </row>
    <row r="1649" spans="1:10" x14ac:dyDescent="0.3">
      <c r="A1649" t="s">
        <v>1665</v>
      </c>
      <c r="B1649" s="1">
        <v>45987</v>
      </c>
      <c r="C1649" t="s">
        <v>15</v>
      </c>
      <c r="D1649" t="s">
        <v>16</v>
      </c>
      <c r="E1649">
        <v>35</v>
      </c>
      <c r="F1649">
        <v>31</v>
      </c>
      <c r="G1649">
        <v>0.1</v>
      </c>
      <c r="H1649">
        <v>976.5</v>
      </c>
      <c r="I1649">
        <f>AVERAGEIFS(sales_Data[units_sold], sales_Data[product_id],sales_Data[[#This Row],[product_id]])</f>
        <v>30.438356164383563</v>
      </c>
      <c r="J1649">
        <f>_xlfn.XLOOKUP(sales_Data[[#This Row],[product_id]],sales_Data[product_id],sales_Data[unit_price])</f>
        <v>35</v>
      </c>
    </row>
    <row r="1650" spans="1:10" x14ac:dyDescent="0.3">
      <c r="A1650" t="s">
        <v>1666</v>
      </c>
      <c r="B1650" s="1">
        <v>45987</v>
      </c>
      <c r="C1650" t="s">
        <v>18</v>
      </c>
      <c r="D1650" t="s">
        <v>19</v>
      </c>
      <c r="E1650">
        <v>120</v>
      </c>
      <c r="F1650">
        <v>47</v>
      </c>
      <c r="G1650">
        <v>0</v>
      </c>
      <c r="H1650">
        <v>5640</v>
      </c>
      <c r="I1650">
        <f>AVERAGEIFS(sales_Data[units_sold], sales_Data[product_id],sales_Data[[#This Row],[product_id]])</f>
        <v>30.473972602739725</v>
      </c>
      <c r="J1650">
        <f>_xlfn.XLOOKUP(sales_Data[[#This Row],[product_id]],sales_Data[product_id],sales_Data[unit_price])</f>
        <v>120</v>
      </c>
    </row>
    <row r="1651" spans="1:10" x14ac:dyDescent="0.3">
      <c r="A1651" t="s">
        <v>1667</v>
      </c>
      <c r="B1651" s="1">
        <v>45987</v>
      </c>
      <c r="C1651" t="s">
        <v>21</v>
      </c>
      <c r="D1651" t="s">
        <v>22</v>
      </c>
      <c r="E1651">
        <v>25</v>
      </c>
      <c r="F1651">
        <v>32</v>
      </c>
      <c r="G1651">
        <v>0</v>
      </c>
      <c r="H1651">
        <v>800</v>
      </c>
      <c r="I1651">
        <f>AVERAGEIFS(sales_Data[units_sold], sales_Data[product_id],sales_Data[[#This Row],[product_id]])</f>
        <v>29.463013698630139</v>
      </c>
      <c r="J1651">
        <f>_xlfn.XLOOKUP(sales_Data[[#This Row],[product_id]],sales_Data[product_id],sales_Data[unit_price])</f>
        <v>25</v>
      </c>
    </row>
    <row r="1652" spans="1:10" x14ac:dyDescent="0.3">
      <c r="A1652" t="s">
        <v>1668</v>
      </c>
      <c r="B1652" s="1">
        <v>45988</v>
      </c>
      <c r="C1652" t="s">
        <v>9</v>
      </c>
      <c r="D1652" t="s">
        <v>10</v>
      </c>
      <c r="E1652">
        <v>45</v>
      </c>
      <c r="F1652">
        <v>20</v>
      </c>
      <c r="G1652">
        <v>0</v>
      </c>
      <c r="H1652">
        <v>900</v>
      </c>
      <c r="I1652">
        <f>AVERAGEIFS(sales_Data[units_sold], sales_Data[product_id],sales_Data[[#This Row],[product_id]])</f>
        <v>31.479452054794521</v>
      </c>
      <c r="J1652">
        <f>_xlfn.XLOOKUP(sales_Data[[#This Row],[product_id]],sales_Data[product_id],sales_Data[unit_price])</f>
        <v>45</v>
      </c>
    </row>
    <row r="1653" spans="1:10" x14ac:dyDescent="0.3">
      <c r="A1653" t="s">
        <v>1669</v>
      </c>
      <c r="B1653" s="1">
        <v>45988</v>
      </c>
      <c r="C1653" t="s">
        <v>12</v>
      </c>
      <c r="D1653" t="s">
        <v>13</v>
      </c>
      <c r="E1653">
        <v>12.5</v>
      </c>
      <c r="F1653">
        <v>30</v>
      </c>
      <c r="G1653">
        <v>0</v>
      </c>
      <c r="H1653">
        <v>375</v>
      </c>
      <c r="I1653">
        <f>AVERAGEIFS(sales_Data[units_sold], sales_Data[product_id],sales_Data[[#This Row],[product_id]])</f>
        <v>31.794520547945204</v>
      </c>
      <c r="J1653">
        <f>_xlfn.XLOOKUP(sales_Data[[#This Row],[product_id]],sales_Data[product_id],sales_Data[unit_price])</f>
        <v>12.5</v>
      </c>
    </row>
    <row r="1654" spans="1:10" x14ac:dyDescent="0.3">
      <c r="A1654" t="s">
        <v>1670</v>
      </c>
      <c r="B1654" s="1">
        <v>45988</v>
      </c>
      <c r="C1654" t="s">
        <v>15</v>
      </c>
      <c r="D1654" t="s">
        <v>16</v>
      </c>
      <c r="E1654">
        <v>35</v>
      </c>
      <c r="F1654">
        <v>32</v>
      </c>
      <c r="G1654">
        <v>0</v>
      </c>
      <c r="H1654">
        <v>1120</v>
      </c>
      <c r="I1654">
        <f>AVERAGEIFS(sales_Data[units_sold], sales_Data[product_id],sales_Data[[#This Row],[product_id]])</f>
        <v>30.438356164383563</v>
      </c>
      <c r="J1654">
        <f>_xlfn.XLOOKUP(sales_Data[[#This Row],[product_id]],sales_Data[product_id],sales_Data[unit_price])</f>
        <v>35</v>
      </c>
    </row>
    <row r="1655" spans="1:10" x14ac:dyDescent="0.3">
      <c r="A1655" t="s">
        <v>1671</v>
      </c>
      <c r="B1655" s="1">
        <v>45988</v>
      </c>
      <c r="C1655" t="s">
        <v>18</v>
      </c>
      <c r="D1655" t="s">
        <v>19</v>
      </c>
      <c r="E1655">
        <v>120</v>
      </c>
      <c r="F1655">
        <v>10</v>
      </c>
      <c r="G1655">
        <v>0.2</v>
      </c>
      <c r="H1655">
        <v>960</v>
      </c>
      <c r="I1655">
        <f>AVERAGEIFS(sales_Data[units_sold], sales_Data[product_id],sales_Data[[#This Row],[product_id]])</f>
        <v>30.473972602739725</v>
      </c>
      <c r="J1655">
        <f>_xlfn.XLOOKUP(sales_Data[[#This Row],[product_id]],sales_Data[product_id],sales_Data[unit_price])</f>
        <v>120</v>
      </c>
    </row>
    <row r="1656" spans="1:10" x14ac:dyDescent="0.3">
      <c r="A1656" t="s">
        <v>1672</v>
      </c>
      <c r="B1656" s="1">
        <v>45988</v>
      </c>
      <c r="C1656" t="s">
        <v>21</v>
      </c>
      <c r="D1656" t="s">
        <v>22</v>
      </c>
      <c r="E1656">
        <v>25</v>
      </c>
      <c r="F1656">
        <v>42</v>
      </c>
      <c r="G1656">
        <v>0</v>
      </c>
      <c r="H1656">
        <v>1050</v>
      </c>
      <c r="I1656">
        <f>AVERAGEIFS(sales_Data[units_sold], sales_Data[product_id],sales_Data[[#This Row],[product_id]])</f>
        <v>29.463013698630139</v>
      </c>
      <c r="J1656">
        <f>_xlfn.XLOOKUP(sales_Data[[#This Row],[product_id]],sales_Data[product_id],sales_Data[unit_price])</f>
        <v>25</v>
      </c>
    </row>
    <row r="1657" spans="1:10" x14ac:dyDescent="0.3">
      <c r="A1657" t="s">
        <v>1673</v>
      </c>
      <c r="B1657" s="1">
        <v>45989</v>
      </c>
      <c r="C1657" t="s">
        <v>9</v>
      </c>
      <c r="D1657" t="s">
        <v>10</v>
      </c>
      <c r="E1657">
        <v>45</v>
      </c>
      <c r="F1657">
        <v>20</v>
      </c>
      <c r="G1657">
        <v>0</v>
      </c>
      <c r="H1657">
        <v>900</v>
      </c>
      <c r="I1657">
        <f>AVERAGEIFS(sales_Data[units_sold], sales_Data[product_id],sales_Data[[#This Row],[product_id]])</f>
        <v>31.479452054794521</v>
      </c>
      <c r="J1657">
        <f>_xlfn.XLOOKUP(sales_Data[[#This Row],[product_id]],sales_Data[product_id],sales_Data[unit_price])</f>
        <v>45</v>
      </c>
    </row>
    <row r="1658" spans="1:10" x14ac:dyDescent="0.3">
      <c r="A1658" t="s">
        <v>1674</v>
      </c>
      <c r="B1658" s="1">
        <v>45989</v>
      </c>
      <c r="C1658" t="s">
        <v>12</v>
      </c>
      <c r="D1658" t="s">
        <v>13</v>
      </c>
      <c r="E1658">
        <v>12.5</v>
      </c>
      <c r="F1658">
        <v>17</v>
      </c>
      <c r="G1658">
        <v>0</v>
      </c>
      <c r="H1658">
        <v>212.5</v>
      </c>
      <c r="I1658">
        <f>AVERAGEIFS(sales_Data[units_sold], sales_Data[product_id],sales_Data[[#This Row],[product_id]])</f>
        <v>31.794520547945204</v>
      </c>
      <c r="J1658">
        <f>_xlfn.XLOOKUP(sales_Data[[#This Row],[product_id]],sales_Data[product_id],sales_Data[unit_price])</f>
        <v>12.5</v>
      </c>
    </row>
    <row r="1659" spans="1:10" x14ac:dyDescent="0.3">
      <c r="A1659" t="s">
        <v>1675</v>
      </c>
      <c r="B1659" s="1">
        <v>45989</v>
      </c>
      <c r="C1659" t="s">
        <v>15</v>
      </c>
      <c r="D1659" t="s">
        <v>16</v>
      </c>
      <c r="E1659">
        <v>35</v>
      </c>
      <c r="F1659">
        <v>23</v>
      </c>
      <c r="G1659">
        <v>0</v>
      </c>
      <c r="H1659">
        <v>805</v>
      </c>
      <c r="I1659">
        <f>AVERAGEIFS(sales_Data[units_sold], sales_Data[product_id],sales_Data[[#This Row],[product_id]])</f>
        <v>30.438356164383563</v>
      </c>
      <c r="J1659">
        <f>_xlfn.XLOOKUP(sales_Data[[#This Row],[product_id]],sales_Data[product_id],sales_Data[unit_price])</f>
        <v>35</v>
      </c>
    </row>
    <row r="1660" spans="1:10" x14ac:dyDescent="0.3">
      <c r="A1660" t="s">
        <v>1676</v>
      </c>
      <c r="B1660" s="1">
        <v>45989</v>
      </c>
      <c r="C1660" t="s">
        <v>18</v>
      </c>
      <c r="D1660" t="s">
        <v>19</v>
      </c>
      <c r="E1660">
        <v>120</v>
      </c>
      <c r="F1660">
        <v>26</v>
      </c>
      <c r="G1660">
        <v>0</v>
      </c>
      <c r="H1660">
        <v>3120</v>
      </c>
      <c r="I1660">
        <f>AVERAGEIFS(sales_Data[units_sold], sales_Data[product_id],sales_Data[[#This Row],[product_id]])</f>
        <v>30.473972602739725</v>
      </c>
      <c r="J1660">
        <f>_xlfn.XLOOKUP(sales_Data[[#This Row],[product_id]],sales_Data[product_id],sales_Data[unit_price])</f>
        <v>120</v>
      </c>
    </row>
    <row r="1661" spans="1:10" x14ac:dyDescent="0.3">
      <c r="A1661" t="s">
        <v>1677</v>
      </c>
      <c r="B1661" s="1">
        <v>45989</v>
      </c>
      <c r="C1661" t="s">
        <v>21</v>
      </c>
      <c r="D1661" t="s">
        <v>22</v>
      </c>
      <c r="E1661">
        <v>25</v>
      </c>
      <c r="F1661">
        <v>31</v>
      </c>
      <c r="G1661">
        <v>0</v>
      </c>
      <c r="H1661">
        <v>775</v>
      </c>
      <c r="I1661">
        <f>AVERAGEIFS(sales_Data[units_sold], sales_Data[product_id],sales_Data[[#This Row],[product_id]])</f>
        <v>29.463013698630139</v>
      </c>
      <c r="J1661">
        <f>_xlfn.XLOOKUP(sales_Data[[#This Row],[product_id]],sales_Data[product_id],sales_Data[unit_price])</f>
        <v>25</v>
      </c>
    </row>
    <row r="1662" spans="1:10" x14ac:dyDescent="0.3">
      <c r="A1662" t="s">
        <v>1678</v>
      </c>
      <c r="B1662" s="1">
        <v>45990</v>
      </c>
      <c r="C1662" t="s">
        <v>9</v>
      </c>
      <c r="D1662" t="s">
        <v>10</v>
      </c>
      <c r="E1662">
        <v>45</v>
      </c>
      <c r="F1662">
        <v>73</v>
      </c>
      <c r="G1662">
        <v>0</v>
      </c>
      <c r="H1662">
        <v>3285</v>
      </c>
      <c r="I1662">
        <f>AVERAGEIFS(sales_Data[units_sold], sales_Data[product_id],sales_Data[[#This Row],[product_id]])</f>
        <v>31.479452054794521</v>
      </c>
      <c r="J1662">
        <f>_xlfn.XLOOKUP(sales_Data[[#This Row],[product_id]],sales_Data[product_id],sales_Data[unit_price])</f>
        <v>45</v>
      </c>
    </row>
    <row r="1663" spans="1:10" x14ac:dyDescent="0.3">
      <c r="A1663" t="s">
        <v>1679</v>
      </c>
      <c r="B1663" s="1">
        <v>45990</v>
      </c>
      <c r="C1663" t="s">
        <v>12</v>
      </c>
      <c r="D1663" t="s">
        <v>13</v>
      </c>
      <c r="E1663">
        <v>12.5</v>
      </c>
      <c r="F1663">
        <v>12</v>
      </c>
      <c r="G1663">
        <v>0.1</v>
      </c>
      <c r="H1663">
        <v>135</v>
      </c>
      <c r="I1663">
        <f>AVERAGEIFS(sales_Data[units_sold], sales_Data[product_id],sales_Data[[#This Row],[product_id]])</f>
        <v>31.794520547945204</v>
      </c>
      <c r="J1663">
        <f>_xlfn.XLOOKUP(sales_Data[[#This Row],[product_id]],sales_Data[product_id],sales_Data[unit_price])</f>
        <v>12.5</v>
      </c>
    </row>
    <row r="1664" spans="1:10" x14ac:dyDescent="0.3">
      <c r="A1664" t="s">
        <v>1680</v>
      </c>
      <c r="B1664" s="1">
        <v>45990</v>
      </c>
      <c r="C1664" t="s">
        <v>15</v>
      </c>
      <c r="D1664" t="s">
        <v>16</v>
      </c>
      <c r="E1664">
        <v>35</v>
      </c>
      <c r="F1664">
        <v>73</v>
      </c>
      <c r="G1664">
        <v>0.1</v>
      </c>
      <c r="H1664">
        <v>2299.5</v>
      </c>
      <c r="I1664">
        <f>AVERAGEIFS(sales_Data[units_sold], sales_Data[product_id],sales_Data[[#This Row],[product_id]])</f>
        <v>30.438356164383563</v>
      </c>
      <c r="J1664">
        <f>_xlfn.XLOOKUP(sales_Data[[#This Row],[product_id]],sales_Data[product_id],sales_Data[unit_price])</f>
        <v>35</v>
      </c>
    </row>
    <row r="1665" spans="1:10" x14ac:dyDescent="0.3">
      <c r="A1665" t="s">
        <v>1681</v>
      </c>
      <c r="B1665" s="1">
        <v>45990</v>
      </c>
      <c r="C1665" t="s">
        <v>18</v>
      </c>
      <c r="D1665" t="s">
        <v>19</v>
      </c>
      <c r="E1665">
        <v>120</v>
      </c>
      <c r="F1665">
        <v>61</v>
      </c>
      <c r="G1665">
        <v>0.2</v>
      </c>
      <c r="H1665">
        <v>5856</v>
      </c>
      <c r="I1665">
        <f>AVERAGEIFS(sales_Data[units_sold], sales_Data[product_id],sales_Data[[#This Row],[product_id]])</f>
        <v>30.473972602739725</v>
      </c>
      <c r="J1665">
        <f>_xlfn.XLOOKUP(sales_Data[[#This Row],[product_id]],sales_Data[product_id],sales_Data[unit_price])</f>
        <v>120</v>
      </c>
    </row>
    <row r="1666" spans="1:10" x14ac:dyDescent="0.3">
      <c r="A1666" t="s">
        <v>1682</v>
      </c>
      <c r="B1666" s="1">
        <v>45990</v>
      </c>
      <c r="C1666" t="s">
        <v>21</v>
      </c>
      <c r="D1666" t="s">
        <v>22</v>
      </c>
      <c r="E1666">
        <v>25</v>
      </c>
      <c r="F1666">
        <v>30</v>
      </c>
      <c r="G1666">
        <v>0</v>
      </c>
      <c r="H1666">
        <v>750</v>
      </c>
      <c r="I1666">
        <f>AVERAGEIFS(sales_Data[units_sold], sales_Data[product_id],sales_Data[[#This Row],[product_id]])</f>
        <v>29.463013698630139</v>
      </c>
      <c r="J1666">
        <f>_xlfn.XLOOKUP(sales_Data[[#This Row],[product_id]],sales_Data[product_id],sales_Data[unit_price])</f>
        <v>25</v>
      </c>
    </row>
    <row r="1667" spans="1:10" x14ac:dyDescent="0.3">
      <c r="A1667" t="s">
        <v>1683</v>
      </c>
      <c r="B1667" s="1">
        <v>45991</v>
      </c>
      <c r="C1667" t="s">
        <v>9</v>
      </c>
      <c r="D1667" t="s">
        <v>10</v>
      </c>
      <c r="E1667">
        <v>45</v>
      </c>
      <c r="F1667">
        <v>43</v>
      </c>
      <c r="G1667">
        <v>0</v>
      </c>
      <c r="H1667">
        <v>1935</v>
      </c>
      <c r="I1667">
        <f>AVERAGEIFS(sales_Data[units_sold], sales_Data[product_id],sales_Data[[#This Row],[product_id]])</f>
        <v>31.479452054794521</v>
      </c>
      <c r="J1667">
        <f>_xlfn.XLOOKUP(sales_Data[[#This Row],[product_id]],sales_Data[product_id],sales_Data[unit_price])</f>
        <v>45</v>
      </c>
    </row>
    <row r="1668" spans="1:10" x14ac:dyDescent="0.3">
      <c r="A1668" t="s">
        <v>1684</v>
      </c>
      <c r="B1668" s="1">
        <v>45991</v>
      </c>
      <c r="C1668" t="s">
        <v>12</v>
      </c>
      <c r="D1668" t="s">
        <v>13</v>
      </c>
      <c r="E1668">
        <v>12.5</v>
      </c>
      <c r="F1668">
        <v>54</v>
      </c>
      <c r="G1668">
        <v>0.1</v>
      </c>
      <c r="H1668">
        <v>607.5</v>
      </c>
      <c r="I1668">
        <f>AVERAGEIFS(sales_Data[units_sold], sales_Data[product_id],sales_Data[[#This Row],[product_id]])</f>
        <v>31.794520547945204</v>
      </c>
      <c r="J1668">
        <f>_xlfn.XLOOKUP(sales_Data[[#This Row],[product_id]],sales_Data[product_id],sales_Data[unit_price])</f>
        <v>12.5</v>
      </c>
    </row>
    <row r="1669" spans="1:10" x14ac:dyDescent="0.3">
      <c r="A1669" t="s">
        <v>1685</v>
      </c>
      <c r="B1669" s="1">
        <v>45991</v>
      </c>
      <c r="C1669" t="s">
        <v>15</v>
      </c>
      <c r="D1669" t="s">
        <v>16</v>
      </c>
      <c r="E1669">
        <v>35</v>
      </c>
      <c r="F1669">
        <v>25</v>
      </c>
      <c r="G1669">
        <v>0</v>
      </c>
      <c r="H1669">
        <v>875</v>
      </c>
      <c r="I1669">
        <f>AVERAGEIFS(sales_Data[units_sold], sales_Data[product_id],sales_Data[[#This Row],[product_id]])</f>
        <v>30.438356164383563</v>
      </c>
      <c r="J1669">
        <f>_xlfn.XLOOKUP(sales_Data[[#This Row],[product_id]],sales_Data[product_id],sales_Data[unit_price])</f>
        <v>35</v>
      </c>
    </row>
    <row r="1670" spans="1:10" x14ac:dyDescent="0.3">
      <c r="A1670" t="s">
        <v>1686</v>
      </c>
      <c r="B1670" s="1">
        <v>45991</v>
      </c>
      <c r="C1670" t="s">
        <v>18</v>
      </c>
      <c r="D1670" t="s">
        <v>19</v>
      </c>
      <c r="E1670">
        <v>120</v>
      </c>
      <c r="F1670">
        <v>57</v>
      </c>
      <c r="G1670">
        <v>0.2</v>
      </c>
      <c r="H1670">
        <v>5472</v>
      </c>
      <c r="I1670">
        <f>AVERAGEIFS(sales_Data[units_sold], sales_Data[product_id],sales_Data[[#This Row],[product_id]])</f>
        <v>30.473972602739725</v>
      </c>
      <c r="J1670">
        <f>_xlfn.XLOOKUP(sales_Data[[#This Row],[product_id]],sales_Data[product_id],sales_Data[unit_price])</f>
        <v>120</v>
      </c>
    </row>
    <row r="1671" spans="1:10" x14ac:dyDescent="0.3">
      <c r="A1671" t="s">
        <v>1687</v>
      </c>
      <c r="B1671" s="1">
        <v>45991</v>
      </c>
      <c r="C1671" t="s">
        <v>21</v>
      </c>
      <c r="D1671" t="s">
        <v>22</v>
      </c>
      <c r="E1671">
        <v>25</v>
      </c>
      <c r="F1671">
        <v>46</v>
      </c>
      <c r="G1671">
        <v>0</v>
      </c>
      <c r="H1671">
        <v>1150</v>
      </c>
      <c r="I1671">
        <f>AVERAGEIFS(sales_Data[units_sold], sales_Data[product_id],sales_Data[[#This Row],[product_id]])</f>
        <v>29.463013698630139</v>
      </c>
      <c r="J1671">
        <f>_xlfn.XLOOKUP(sales_Data[[#This Row],[product_id]],sales_Data[product_id],sales_Data[unit_price])</f>
        <v>25</v>
      </c>
    </row>
    <row r="1672" spans="1:10" x14ac:dyDescent="0.3">
      <c r="A1672" t="s">
        <v>1688</v>
      </c>
      <c r="B1672" s="1">
        <v>45992</v>
      </c>
      <c r="C1672" t="s">
        <v>9</v>
      </c>
      <c r="D1672" t="s">
        <v>10</v>
      </c>
      <c r="E1672">
        <v>45</v>
      </c>
      <c r="F1672">
        <v>25</v>
      </c>
      <c r="G1672">
        <v>0</v>
      </c>
      <c r="H1672">
        <v>1125</v>
      </c>
      <c r="I1672">
        <f>AVERAGEIFS(sales_Data[units_sold], sales_Data[product_id],sales_Data[[#This Row],[product_id]])</f>
        <v>31.479452054794521</v>
      </c>
      <c r="J1672">
        <f>_xlfn.XLOOKUP(sales_Data[[#This Row],[product_id]],sales_Data[product_id],sales_Data[unit_price])</f>
        <v>45</v>
      </c>
    </row>
    <row r="1673" spans="1:10" x14ac:dyDescent="0.3">
      <c r="A1673" t="s">
        <v>1689</v>
      </c>
      <c r="B1673" s="1">
        <v>45992</v>
      </c>
      <c r="C1673" t="s">
        <v>12</v>
      </c>
      <c r="D1673" t="s">
        <v>13</v>
      </c>
      <c r="E1673">
        <v>12.5</v>
      </c>
      <c r="F1673">
        <v>6</v>
      </c>
      <c r="G1673">
        <v>0</v>
      </c>
      <c r="H1673">
        <v>75</v>
      </c>
      <c r="I1673">
        <f>AVERAGEIFS(sales_Data[units_sold], sales_Data[product_id],sales_Data[[#This Row],[product_id]])</f>
        <v>31.794520547945204</v>
      </c>
      <c r="J1673">
        <f>_xlfn.XLOOKUP(sales_Data[[#This Row],[product_id]],sales_Data[product_id],sales_Data[unit_price])</f>
        <v>12.5</v>
      </c>
    </row>
    <row r="1674" spans="1:10" x14ac:dyDescent="0.3">
      <c r="A1674" t="s">
        <v>1690</v>
      </c>
      <c r="B1674" s="1">
        <v>45992</v>
      </c>
      <c r="C1674" t="s">
        <v>15</v>
      </c>
      <c r="D1674" t="s">
        <v>16</v>
      </c>
      <c r="E1674">
        <v>35</v>
      </c>
      <c r="F1674">
        <v>13</v>
      </c>
      <c r="G1674">
        <v>0</v>
      </c>
      <c r="H1674">
        <v>455</v>
      </c>
      <c r="I1674">
        <f>AVERAGEIFS(sales_Data[units_sold], sales_Data[product_id],sales_Data[[#This Row],[product_id]])</f>
        <v>30.438356164383563</v>
      </c>
      <c r="J1674">
        <f>_xlfn.XLOOKUP(sales_Data[[#This Row],[product_id]],sales_Data[product_id],sales_Data[unit_price])</f>
        <v>35</v>
      </c>
    </row>
    <row r="1675" spans="1:10" x14ac:dyDescent="0.3">
      <c r="A1675" t="s">
        <v>1691</v>
      </c>
      <c r="B1675" s="1">
        <v>45992</v>
      </c>
      <c r="C1675" t="s">
        <v>18</v>
      </c>
      <c r="D1675" t="s">
        <v>19</v>
      </c>
      <c r="E1675">
        <v>120</v>
      </c>
      <c r="F1675">
        <v>23</v>
      </c>
      <c r="G1675">
        <v>0</v>
      </c>
      <c r="H1675">
        <v>2760</v>
      </c>
      <c r="I1675">
        <f>AVERAGEIFS(sales_Data[units_sold], sales_Data[product_id],sales_Data[[#This Row],[product_id]])</f>
        <v>30.473972602739725</v>
      </c>
      <c r="J1675">
        <f>_xlfn.XLOOKUP(sales_Data[[#This Row],[product_id]],sales_Data[product_id],sales_Data[unit_price])</f>
        <v>120</v>
      </c>
    </row>
    <row r="1676" spans="1:10" x14ac:dyDescent="0.3">
      <c r="A1676" t="s">
        <v>1692</v>
      </c>
      <c r="B1676" s="1">
        <v>45992</v>
      </c>
      <c r="C1676" t="s">
        <v>21</v>
      </c>
      <c r="D1676" t="s">
        <v>22</v>
      </c>
      <c r="E1676">
        <v>25</v>
      </c>
      <c r="F1676">
        <v>12</v>
      </c>
      <c r="G1676">
        <v>0</v>
      </c>
      <c r="H1676">
        <v>300</v>
      </c>
      <c r="I1676">
        <f>AVERAGEIFS(sales_Data[units_sold], sales_Data[product_id],sales_Data[[#This Row],[product_id]])</f>
        <v>29.463013698630139</v>
      </c>
      <c r="J1676">
        <f>_xlfn.XLOOKUP(sales_Data[[#This Row],[product_id]],sales_Data[product_id],sales_Data[unit_price])</f>
        <v>25</v>
      </c>
    </row>
    <row r="1677" spans="1:10" x14ac:dyDescent="0.3">
      <c r="A1677" t="s">
        <v>1693</v>
      </c>
      <c r="B1677" s="1">
        <v>45993</v>
      </c>
      <c r="C1677" t="s">
        <v>9</v>
      </c>
      <c r="D1677" t="s">
        <v>10</v>
      </c>
      <c r="E1677">
        <v>45</v>
      </c>
      <c r="F1677">
        <v>49</v>
      </c>
      <c r="G1677">
        <v>0</v>
      </c>
      <c r="H1677">
        <v>2205</v>
      </c>
      <c r="I1677">
        <f>AVERAGEIFS(sales_Data[units_sold], sales_Data[product_id],sales_Data[[#This Row],[product_id]])</f>
        <v>31.479452054794521</v>
      </c>
      <c r="J1677">
        <f>_xlfn.XLOOKUP(sales_Data[[#This Row],[product_id]],sales_Data[product_id],sales_Data[unit_price])</f>
        <v>45</v>
      </c>
    </row>
    <row r="1678" spans="1:10" x14ac:dyDescent="0.3">
      <c r="A1678" t="s">
        <v>1694</v>
      </c>
      <c r="B1678" s="1">
        <v>45993</v>
      </c>
      <c r="C1678" t="s">
        <v>12</v>
      </c>
      <c r="D1678" t="s">
        <v>13</v>
      </c>
      <c r="E1678">
        <v>12.5</v>
      </c>
      <c r="F1678">
        <v>44</v>
      </c>
      <c r="G1678">
        <v>0.1</v>
      </c>
      <c r="H1678">
        <v>495</v>
      </c>
      <c r="I1678">
        <f>AVERAGEIFS(sales_Data[units_sold], sales_Data[product_id],sales_Data[[#This Row],[product_id]])</f>
        <v>31.794520547945204</v>
      </c>
      <c r="J1678">
        <f>_xlfn.XLOOKUP(sales_Data[[#This Row],[product_id]],sales_Data[product_id],sales_Data[unit_price])</f>
        <v>12.5</v>
      </c>
    </row>
    <row r="1679" spans="1:10" x14ac:dyDescent="0.3">
      <c r="A1679" t="s">
        <v>1695</v>
      </c>
      <c r="B1679" s="1">
        <v>45993</v>
      </c>
      <c r="C1679" t="s">
        <v>15</v>
      </c>
      <c r="D1679" t="s">
        <v>16</v>
      </c>
      <c r="E1679">
        <v>35</v>
      </c>
      <c r="F1679">
        <v>21</v>
      </c>
      <c r="G1679">
        <v>0</v>
      </c>
      <c r="H1679">
        <v>735</v>
      </c>
      <c r="I1679">
        <f>AVERAGEIFS(sales_Data[units_sold], sales_Data[product_id],sales_Data[[#This Row],[product_id]])</f>
        <v>30.438356164383563</v>
      </c>
      <c r="J1679">
        <f>_xlfn.XLOOKUP(sales_Data[[#This Row],[product_id]],sales_Data[product_id],sales_Data[unit_price])</f>
        <v>35</v>
      </c>
    </row>
    <row r="1680" spans="1:10" x14ac:dyDescent="0.3">
      <c r="A1680" t="s">
        <v>1696</v>
      </c>
      <c r="B1680" s="1">
        <v>45993</v>
      </c>
      <c r="C1680" t="s">
        <v>18</v>
      </c>
      <c r="D1680" t="s">
        <v>19</v>
      </c>
      <c r="E1680">
        <v>120</v>
      </c>
      <c r="F1680">
        <v>20</v>
      </c>
      <c r="G1680">
        <v>0</v>
      </c>
      <c r="H1680">
        <v>2400</v>
      </c>
      <c r="I1680">
        <f>AVERAGEIFS(sales_Data[units_sold], sales_Data[product_id],sales_Data[[#This Row],[product_id]])</f>
        <v>30.473972602739725</v>
      </c>
      <c r="J1680">
        <f>_xlfn.XLOOKUP(sales_Data[[#This Row],[product_id]],sales_Data[product_id],sales_Data[unit_price])</f>
        <v>120</v>
      </c>
    </row>
    <row r="1681" spans="1:10" x14ac:dyDescent="0.3">
      <c r="A1681" t="s">
        <v>1697</v>
      </c>
      <c r="B1681" s="1">
        <v>45993</v>
      </c>
      <c r="C1681" t="s">
        <v>21</v>
      </c>
      <c r="D1681" t="s">
        <v>22</v>
      </c>
      <c r="E1681">
        <v>25</v>
      </c>
      <c r="F1681">
        <v>24</v>
      </c>
      <c r="G1681">
        <v>0.2</v>
      </c>
      <c r="H1681">
        <v>480</v>
      </c>
      <c r="I1681">
        <f>AVERAGEIFS(sales_Data[units_sold], sales_Data[product_id],sales_Data[[#This Row],[product_id]])</f>
        <v>29.463013698630139</v>
      </c>
      <c r="J1681">
        <f>_xlfn.XLOOKUP(sales_Data[[#This Row],[product_id]],sales_Data[product_id],sales_Data[unit_price])</f>
        <v>25</v>
      </c>
    </row>
    <row r="1682" spans="1:10" x14ac:dyDescent="0.3">
      <c r="A1682" t="s">
        <v>1698</v>
      </c>
      <c r="B1682" s="1">
        <v>45994</v>
      </c>
      <c r="C1682" t="s">
        <v>9</v>
      </c>
      <c r="D1682" t="s">
        <v>10</v>
      </c>
      <c r="E1682">
        <v>45</v>
      </c>
      <c r="F1682">
        <v>10</v>
      </c>
      <c r="G1682">
        <v>0</v>
      </c>
      <c r="H1682">
        <v>450</v>
      </c>
      <c r="I1682">
        <f>AVERAGEIFS(sales_Data[units_sold], sales_Data[product_id],sales_Data[[#This Row],[product_id]])</f>
        <v>31.479452054794521</v>
      </c>
      <c r="J1682">
        <f>_xlfn.XLOOKUP(sales_Data[[#This Row],[product_id]],sales_Data[product_id],sales_Data[unit_price])</f>
        <v>45</v>
      </c>
    </row>
    <row r="1683" spans="1:10" x14ac:dyDescent="0.3">
      <c r="A1683" t="s">
        <v>1699</v>
      </c>
      <c r="B1683" s="1">
        <v>45994</v>
      </c>
      <c r="C1683" t="s">
        <v>12</v>
      </c>
      <c r="D1683" t="s">
        <v>13</v>
      </c>
      <c r="E1683">
        <v>12.5</v>
      </c>
      <c r="F1683">
        <v>17</v>
      </c>
      <c r="G1683">
        <v>0</v>
      </c>
      <c r="H1683">
        <v>212.5</v>
      </c>
      <c r="I1683">
        <f>AVERAGEIFS(sales_Data[units_sold], sales_Data[product_id],sales_Data[[#This Row],[product_id]])</f>
        <v>31.794520547945204</v>
      </c>
      <c r="J1683">
        <f>_xlfn.XLOOKUP(sales_Data[[#This Row],[product_id]],sales_Data[product_id],sales_Data[unit_price])</f>
        <v>12.5</v>
      </c>
    </row>
    <row r="1684" spans="1:10" x14ac:dyDescent="0.3">
      <c r="A1684" t="s">
        <v>1700</v>
      </c>
      <c r="B1684" s="1">
        <v>45994</v>
      </c>
      <c r="C1684" t="s">
        <v>15</v>
      </c>
      <c r="D1684" t="s">
        <v>16</v>
      </c>
      <c r="E1684">
        <v>35</v>
      </c>
      <c r="F1684">
        <v>23</v>
      </c>
      <c r="G1684">
        <v>0</v>
      </c>
      <c r="H1684">
        <v>805</v>
      </c>
      <c r="I1684">
        <f>AVERAGEIFS(sales_Data[units_sold], sales_Data[product_id],sales_Data[[#This Row],[product_id]])</f>
        <v>30.438356164383563</v>
      </c>
      <c r="J1684">
        <f>_xlfn.XLOOKUP(sales_Data[[#This Row],[product_id]],sales_Data[product_id],sales_Data[unit_price])</f>
        <v>35</v>
      </c>
    </row>
    <row r="1685" spans="1:10" x14ac:dyDescent="0.3">
      <c r="A1685" t="s">
        <v>1701</v>
      </c>
      <c r="B1685" s="1">
        <v>45994</v>
      </c>
      <c r="C1685" t="s">
        <v>18</v>
      </c>
      <c r="D1685" t="s">
        <v>19</v>
      </c>
      <c r="E1685">
        <v>120</v>
      </c>
      <c r="F1685">
        <v>40</v>
      </c>
      <c r="G1685">
        <v>0</v>
      </c>
      <c r="H1685">
        <v>4800</v>
      </c>
      <c r="I1685">
        <f>AVERAGEIFS(sales_Data[units_sold], sales_Data[product_id],sales_Data[[#This Row],[product_id]])</f>
        <v>30.473972602739725</v>
      </c>
      <c r="J1685">
        <f>_xlfn.XLOOKUP(sales_Data[[#This Row],[product_id]],sales_Data[product_id],sales_Data[unit_price])</f>
        <v>120</v>
      </c>
    </row>
    <row r="1686" spans="1:10" x14ac:dyDescent="0.3">
      <c r="A1686" t="s">
        <v>1702</v>
      </c>
      <c r="B1686" s="1">
        <v>45994</v>
      </c>
      <c r="C1686" t="s">
        <v>21</v>
      </c>
      <c r="D1686" t="s">
        <v>22</v>
      </c>
      <c r="E1686">
        <v>25</v>
      </c>
      <c r="F1686">
        <v>17</v>
      </c>
      <c r="G1686">
        <v>0</v>
      </c>
      <c r="H1686">
        <v>425</v>
      </c>
      <c r="I1686">
        <f>AVERAGEIFS(sales_Data[units_sold], sales_Data[product_id],sales_Data[[#This Row],[product_id]])</f>
        <v>29.463013698630139</v>
      </c>
      <c r="J1686">
        <f>_xlfn.XLOOKUP(sales_Data[[#This Row],[product_id]],sales_Data[product_id],sales_Data[unit_price])</f>
        <v>25</v>
      </c>
    </row>
    <row r="1687" spans="1:10" x14ac:dyDescent="0.3">
      <c r="A1687" t="s">
        <v>1703</v>
      </c>
      <c r="B1687" s="1">
        <v>45995</v>
      </c>
      <c r="C1687" t="s">
        <v>9</v>
      </c>
      <c r="D1687" t="s">
        <v>10</v>
      </c>
      <c r="E1687">
        <v>45</v>
      </c>
      <c r="F1687">
        <v>38</v>
      </c>
      <c r="G1687">
        <v>0.1</v>
      </c>
      <c r="H1687">
        <v>1539</v>
      </c>
      <c r="I1687">
        <f>AVERAGEIFS(sales_Data[units_sold], sales_Data[product_id],sales_Data[[#This Row],[product_id]])</f>
        <v>31.479452054794521</v>
      </c>
      <c r="J1687">
        <f>_xlfn.XLOOKUP(sales_Data[[#This Row],[product_id]],sales_Data[product_id],sales_Data[unit_price])</f>
        <v>45</v>
      </c>
    </row>
    <row r="1688" spans="1:10" x14ac:dyDescent="0.3">
      <c r="A1688" t="s">
        <v>1704</v>
      </c>
      <c r="B1688" s="1">
        <v>45995</v>
      </c>
      <c r="C1688" t="s">
        <v>12</v>
      </c>
      <c r="D1688" t="s">
        <v>13</v>
      </c>
      <c r="E1688">
        <v>12.5</v>
      </c>
      <c r="F1688">
        <v>34</v>
      </c>
      <c r="G1688">
        <v>0</v>
      </c>
      <c r="H1688">
        <v>425</v>
      </c>
      <c r="I1688">
        <f>AVERAGEIFS(sales_Data[units_sold], sales_Data[product_id],sales_Data[[#This Row],[product_id]])</f>
        <v>31.794520547945204</v>
      </c>
      <c r="J1688">
        <f>_xlfn.XLOOKUP(sales_Data[[#This Row],[product_id]],sales_Data[product_id],sales_Data[unit_price])</f>
        <v>12.5</v>
      </c>
    </row>
    <row r="1689" spans="1:10" x14ac:dyDescent="0.3">
      <c r="A1689" t="s">
        <v>1705</v>
      </c>
      <c r="B1689" s="1">
        <v>45995</v>
      </c>
      <c r="C1689" t="s">
        <v>15</v>
      </c>
      <c r="D1689" t="s">
        <v>16</v>
      </c>
      <c r="E1689">
        <v>35</v>
      </c>
      <c r="F1689">
        <v>5</v>
      </c>
      <c r="G1689">
        <v>0</v>
      </c>
      <c r="H1689">
        <v>175</v>
      </c>
      <c r="I1689">
        <f>AVERAGEIFS(sales_Data[units_sold], sales_Data[product_id],sales_Data[[#This Row],[product_id]])</f>
        <v>30.438356164383563</v>
      </c>
      <c r="J1689">
        <f>_xlfn.XLOOKUP(sales_Data[[#This Row],[product_id]],sales_Data[product_id],sales_Data[unit_price])</f>
        <v>35</v>
      </c>
    </row>
    <row r="1690" spans="1:10" x14ac:dyDescent="0.3">
      <c r="A1690" t="s">
        <v>1706</v>
      </c>
      <c r="B1690" s="1">
        <v>45995</v>
      </c>
      <c r="C1690" t="s">
        <v>18</v>
      </c>
      <c r="D1690" t="s">
        <v>19</v>
      </c>
      <c r="E1690">
        <v>120</v>
      </c>
      <c r="F1690">
        <v>10</v>
      </c>
      <c r="G1690">
        <v>0</v>
      </c>
      <c r="H1690">
        <v>1200</v>
      </c>
      <c r="I1690">
        <f>AVERAGEIFS(sales_Data[units_sold], sales_Data[product_id],sales_Data[[#This Row],[product_id]])</f>
        <v>30.473972602739725</v>
      </c>
      <c r="J1690">
        <f>_xlfn.XLOOKUP(sales_Data[[#This Row],[product_id]],sales_Data[product_id],sales_Data[unit_price])</f>
        <v>120</v>
      </c>
    </row>
    <row r="1691" spans="1:10" x14ac:dyDescent="0.3">
      <c r="A1691" t="s">
        <v>1707</v>
      </c>
      <c r="B1691" s="1">
        <v>45995</v>
      </c>
      <c r="C1691" t="s">
        <v>21</v>
      </c>
      <c r="D1691" t="s">
        <v>22</v>
      </c>
      <c r="E1691">
        <v>25</v>
      </c>
      <c r="F1691">
        <v>13</v>
      </c>
      <c r="G1691">
        <v>0</v>
      </c>
      <c r="H1691">
        <v>325</v>
      </c>
      <c r="I1691">
        <f>AVERAGEIFS(sales_Data[units_sold], sales_Data[product_id],sales_Data[[#This Row],[product_id]])</f>
        <v>29.463013698630139</v>
      </c>
      <c r="J1691">
        <f>_xlfn.XLOOKUP(sales_Data[[#This Row],[product_id]],sales_Data[product_id],sales_Data[unit_price])</f>
        <v>25</v>
      </c>
    </row>
    <row r="1692" spans="1:10" x14ac:dyDescent="0.3">
      <c r="A1692" t="s">
        <v>1708</v>
      </c>
      <c r="B1692" s="1">
        <v>45996</v>
      </c>
      <c r="C1692" t="s">
        <v>9</v>
      </c>
      <c r="D1692" t="s">
        <v>10</v>
      </c>
      <c r="E1692">
        <v>45</v>
      </c>
      <c r="F1692">
        <v>17</v>
      </c>
      <c r="G1692">
        <v>0</v>
      </c>
      <c r="H1692">
        <v>765</v>
      </c>
      <c r="I1692">
        <f>AVERAGEIFS(sales_Data[units_sold], sales_Data[product_id],sales_Data[[#This Row],[product_id]])</f>
        <v>31.479452054794521</v>
      </c>
      <c r="J1692">
        <f>_xlfn.XLOOKUP(sales_Data[[#This Row],[product_id]],sales_Data[product_id],sales_Data[unit_price])</f>
        <v>45</v>
      </c>
    </row>
    <row r="1693" spans="1:10" x14ac:dyDescent="0.3">
      <c r="A1693" t="s">
        <v>1709</v>
      </c>
      <c r="B1693" s="1">
        <v>45996</v>
      </c>
      <c r="C1693" t="s">
        <v>12</v>
      </c>
      <c r="D1693" t="s">
        <v>13</v>
      </c>
      <c r="E1693">
        <v>12.5</v>
      </c>
      <c r="F1693">
        <v>18</v>
      </c>
      <c r="G1693">
        <v>0</v>
      </c>
      <c r="H1693">
        <v>225</v>
      </c>
      <c r="I1693">
        <f>AVERAGEIFS(sales_Data[units_sold], sales_Data[product_id],sales_Data[[#This Row],[product_id]])</f>
        <v>31.794520547945204</v>
      </c>
      <c r="J1693">
        <f>_xlfn.XLOOKUP(sales_Data[[#This Row],[product_id]],sales_Data[product_id],sales_Data[unit_price])</f>
        <v>12.5</v>
      </c>
    </row>
    <row r="1694" spans="1:10" x14ac:dyDescent="0.3">
      <c r="A1694" t="s">
        <v>1710</v>
      </c>
      <c r="B1694" s="1">
        <v>45996</v>
      </c>
      <c r="C1694" t="s">
        <v>15</v>
      </c>
      <c r="D1694" t="s">
        <v>16</v>
      </c>
      <c r="E1694">
        <v>35</v>
      </c>
      <c r="F1694">
        <v>37</v>
      </c>
      <c r="G1694">
        <v>0</v>
      </c>
      <c r="H1694">
        <v>1295</v>
      </c>
      <c r="I1694">
        <f>AVERAGEIFS(sales_Data[units_sold], sales_Data[product_id],sales_Data[[#This Row],[product_id]])</f>
        <v>30.438356164383563</v>
      </c>
      <c r="J1694">
        <f>_xlfn.XLOOKUP(sales_Data[[#This Row],[product_id]],sales_Data[product_id],sales_Data[unit_price])</f>
        <v>35</v>
      </c>
    </row>
    <row r="1695" spans="1:10" x14ac:dyDescent="0.3">
      <c r="A1695" t="s">
        <v>1711</v>
      </c>
      <c r="B1695" s="1">
        <v>45996</v>
      </c>
      <c r="C1695" t="s">
        <v>18</v>
      </c>
      <c r="D1695" t="s">
        <v>19</v>
      </c>
      <c r="E1695">
        <v>120</v>
      </c>
      <c r="F1695">
        <v>26</v>
      </c>
      <c r="G1695">
        <v>0</v>
      </c>
      <c r="H1695">
        <v>3120</v>
      </c>
      <c r="I1695">
        <f>AVERAGEIFS(sales_Data[units_sold], sales_Data[product_id],sales_Data[[#This Row],[product_id]])</f>
        <v>30.473972602739725</v>
      </c>
      <c r="J1695">
        <f>_xlfn.XLOOKUP(sales_Data[[#This Row],[product_id]],sales_Data[product_id],sales_Data[unit_price])</f>
        <v>120</v>
      </c>
    </row>
    <row r="1696" spans="1:10" x14ac:dyDescent="0.3">
      <c r="A1696" t="s">
        <v>1712</v>
      </c>
      <c r="B1696" s="1">
        <v>45996</v>
      </c>
      <c r="C1696" t="s">
        <v>21</v>
      </c>
      <c r="D1696" t="s">
        <v>22</v>
      </c>
      <c r="E1696">
        <v>25</v>
      </c>
      <c r="F1696">
        <v>45</v>
      </c>
      <c r="G1696">
        <v>0.1</v>
      </c>
      <c r="H1696">
        <v>1012.5</v>
      </c>
      <c r="I1696">
        <f>AVERAGEIFS(sales_Data[units_sold], sales_Data[product_id],sales_Data[[#This Row],[product_id]])</f>
        <v>29.463013698630139</v>
      </c>
      <c r="J1696">
        <f>_xlfn.XLOOKUP(sales_Data[[#This Row],[product_id]],sales_Data[product_id],sales_Data[unit_price])</f>
        <v>25</v>
      </c>
    </row>
    <row r="1697" spans="1:10" x14ac:dyDescent="0.3">
      <c r="A1697" t="s">
        <v>1713</v>
      </c>
      <c r="B1697" s="1">
        <v>45997</v>
      </c>
      <c r="C1697" t="s">
        <v>9</v>
      </c>
      <c r="D1697" t="s">
        <v>10</v>
      </c>
      <c r="E1697">
        <v>45</v>
      </c>
      <c r="F1697">
        <v>49</v>
      </c>
      <c r="G1697">
        <v>0</v>
      </c>
      <c r="H1697">
        <v>2205</v>
      </c>
      <c r="I1697">
        <f>AVERAGEIFS(sales_Data[units_sold], sales_Data[product_id],sales_Data[[#This Row],[product_id]])</f>
        <v>31.479452054794521</v>
      </c>
      <c r="J1697">
        <f>_xlfn.XLOOKUP(sales_Data[[#This Row],[product_id]],sales_Data[product_id],sales_Data[unit_price])</f>
        <v>45</v>
      </c>
    </row>
    <row r="1698" spans="1:10" x14ac:dyDescent="0.3">
      <c r="A1698" t="s">
        <v>1714</v>
      </c>
      <c r="B1698" s="1">
        <v>45997</v>
      </c>
      <c r="C1698" t="s">
        <v>12</v>
      </c>
      <c r="D1698" t="s">
        <v>13</v>
      </c>
      <c r="E1698">
        <v>12.5</v>
      </c>
      <c r="F1698">
        <v>21</v>
      </c>
      <c r="G1698">
        <v>0</v>
      </c>
      <c r="H1698">
        <v>262.5</v>
      </c>
      <c r="I1698">
        <f>AVERAGEIFS(sales_Data[units_sold], sales_Data[product_id],sales_Data[[#This Row],[product_id]])</f>
        <v>31.794520547945204</v>
      </c>
      <c r="J1698">
        <f>_xlfn.XLOOKUP(sales_Data[[#This Row],[product_id]],sales_Data[product_id],sales_Data[unit_price])</f>
        <v>12.5</v>
      </c>
    </row>
    <row r="1699" spans="1:10" x14ac:dyDescent="0.3">
      <c r="A1699" t="s">
        <v>1715</v>
      </c>
      <c r="B1699" s="1">
        <v>45997</v>
      </c>
      <c r="C1699" t="s">
        <v>15</v>
      </c>
      <c r="D1699" t="s">
        <v>16</v>
      </c>
      <c r="E1699">
        <v>35</v>
      </c>
      <c r="F1699">
        <v>15</v>
      </c>
      <c r="G1699">
        <v>0</v>
      </c>
      <c r="H1699">
        <v>525</v>
      </c>
      <c r="I1699">
        <f>AVERAGEIFS(sales_Data[units_sold], sales_Data[product_id],sales_Data[[#This Row],[product_id]])</f>
        <v>30.438356164383563</v>
      </c>
      <c r="J1699">
        <f>_xlfn.XLOOKUP(sales_Data[[#This Row],[product_id]],sales_Data[product_id],sales_Data[unit_price])</f>
        <v>35</v>
      </c>
    </row>
    <row r="1700" spans="1:10" x14ac:dyDescent="0.3">
      <c r="A1700" t="s">
        <v>1716</v>
      </c>
      <c r="B1700" s="1">
        <v>45997</v>
      </c>
      <c r="C1700" t="s">
        <v>18</v>
      </c>
      <c r="D1700" t="s">
        <v>19</v>
      </c>
      <c r="E1700">
        <v>120</v>
      </c>
      <c r="F1700">
        <v>66</v>
      </c>
      <c r="G1700">
        <v>0</v>
      </c>
      <c r="H1700">
        <v>7920</v>
      </c>
      <c r="I1700">
        <f>AVERAGEIFS(sales_Data[units_sold], sales_Data[product_id],sales_Data[[#This Row],[product_id]])</f>
        <v>30.473972602739725</v>
      </c>
      <c r="J1700">
        <f>_xlfn.XLOOKUP(sales_Data[[#This Row],[product_id]],sales_Data[product_id],sales_Data[unit_price])</f>
        <v>120</v>
      </c>
    </row>
    <row r="1701" spans="1:10" x14ac:dyDescent="0.3">
      <c r="A1701" t="s">
        <v>1717</v>
      </c>
      <c r="B1701" s="1">
        <v>45997</v>
      </c>
      <c r="C1701" t="s">
        <v>21</v>
      </c>
      <c r="D1701" t="s">
        <v>22</v>
      </c>
      <c r="E1701">
        <v>25</v>
      </c>
      <c r="F1701">
        <v>48</v>
      </c>
      <c r="G1701">
        <v>0.2</v>
      </c>
      <c r="H1701">
        <v>960</v>
      </c>
      <c r="I1701">
        <f>AVERAGEIFS(sales_Data[units_sold], sales_Data[product_id],sales_Data[[#This Row],[product_id]])</f>
        <v>29.463013698630139</v>
      </c>
      <c r="J1701">
        <f>_xlfn.XLOOKUP(sales_Data[[#This Row],[product_id]],sales_Data[product_id],sales_Data[unit_price])</f>
        <v>25</v>
      </c>
    </row>
    <row r="1702" spans="1:10" x14ac:dyDescent="0.3">
      <c r="A1702" t="s">
        <v>1718</v>
      </c>
      <c r="B1702" s="1">
        <v>45998</v>
      </c>
      <c r="C1702" t="s">
        <v>9</v>
      </c>
      <c r="D1702" t="s">
        <v>10</v>
      </c>
      <c r="E1702">
        <v>45</v>
      </c>
      <c r="F1702">
        <v>51</v>
      </c>
      <c r="G1702">
        <v>0</v>
      </c>
      <c r="H1702">
        <v>2295</v>
      </c>
      <c r="I1702">
        <f>AVERAGEIFS(sales_Data[units_sold], sales_Data[product_id],sales_Data[[#This Row],[product_id]])</f>
        <v>31.479452054794521</v>
      </c>
      <c r="J1702">
        <f>_xlfn.XLOOKUP(sales_Data[[#This Row],[product_id]],sales_Data[product_id],sales_Data[unit_price])</f>
        <v>45</v>
      </c>
    </row>
    <row r="1703" spans="1:10" x14ac:dyDescent="0.3">
      <c r="A1703" t="s">
        <v>1719</v>
      </c>
      <c r="B1703" s="1">
        <v>45998</v>
      </c>
      <c r="C1703" t="s">
        <v>12</v>
      </c>
      <c r="D1703" t="s">
        <v>13</v>
      </c>
      <c r="E1703">
        <v>12.5</v>
      </c>
      <c r="F1703">
        <v>25</v>
      </c>
      <c r="G1703">
        <v>0.1</v>
      </c>
      <c r="H1703">
        <v>281.25</v>
      </c>
      <c r="I1703">
        <f>AVERAGEIFS(sales_Data[units_sold], sales_Data[product_id],sales_Data[[#This Row],[product_id]])</f>
        <v>31.794520547945204</v>
      </c>
      <c r="J1703">
        <f>_xlfn.XLOOKUP(sales_Data[[#This Row],[product_id]],sales_Data[product_id],sales_Data[unit_price])</f>
        <v>12.5</v>
      </c>
    </row>
    <row r="1704" spans="1:10" x14ac:dyDescent="0.3">
      <c r="A1704" t="s">
        <v>1720</v>
      </c>
      <c r="B1704" s="1">
        <v>45998</v>
      </c>
      <c r="C1704" t="s">
        <v>15</v>
      </c>
      <c r="D1704" t="s">
        <v>16</v>
      </c>
      <c r="E1704">
        <v>35</v>
      </c>
      <c r="F1704">
        <v>52</v>
      </c>
      <c r="G1704">
        <v>0</v>
      </c>
      <c r="H1704">
        <v>1820</v>
      </c>
      <c r="I1704">
        <f>AVERAGEIFS(sales_Data[units_sold], sales_Data[product_id],sales_Data[[#This Row],[product_id]])</f>
        <v>30.438356164383563</v>
      </c>
      <c r="J1704">
        <f>_xlfn.XLOOKUP(sales_Data[[#This Row],[product_id]],sales_Data[product_id],sales_Data[unit_price])</f>
        <v>35</v>
      </c>
    </row>
    <row r="1705" spans="1:10" x14ac:dyDescent="0.3">
      <c r="A1705" t="s">
        <v>1721</v>
      </c>
      <c r="B1705" s="1">
        <v>45998</v>
      </c>
      <c r="C1705" t="s">
        <v>18</v>
      </c>
      <c r="D1705" t="s">
        <v>19</v>
      </c>
      <c r="E1705">
        <v>120</v>
      </c>
      <c r="F1705">
        <v>28</v>
      </c>
      <c r="G1705">
        <v>0</v>
      </c>
      <c r="H1705">
        <v>3360</v>
      </c>
      <c r="I1705">
        <f>AVERAGEIFS(sales_Data[units_sold], sales_Data[product_id],sales_Data[[#This Row],[product_id]])</f>
        <v>30.473972602739725</v>
      </c>
      <c r="J1705">
        <f>_xlfn.XLOOKUP(sales_Data[[#This Row],[product_id]],sales_Data[product_id],sales_Data[unit_price])</f>
        <v>120</v>
      </c>
    </row>
    <row r="1706" spans="1:10" x14ac:dyDescent="0.3">
      <c r="A1706" t="s">
        <v>1722</v>
      </c>
      <c r="B1706" s="1">
        <v>45998</v>
      </c>
      <c r="C1706" t="s">
        <v>21</v>
      </c>
      <c r="D1706" t="s">
        <v>22</v>
      </c>
      <c r="E1706">
        <v>25</v>
      </c>
      <c r="F1706">
        <v>7</v>
      </c>
      <c r="G1706">
        <v>0.1</v>
      </c>
      <c r="H1706">
        <v>157.5</v>
      </c>
      <c r="I1706">
        <f>AVERAGEIFS(sales_Data[units_sold], sales_Data[product_id],sales_Data[[#This Row],[product_id]])</f>
        <v>29.463013698630139</v>
      </c>
      <c r="J1706">
        <f>_xlfn.XLOOKUP(sales_Data[[#This Row],[product_id]],sales_Data[product_id],sales_Data[unit_price])</f>
        <v>25</v>
      </c>
    </row>
    <row r="1707" spans="1:10" x14ac:dyDescent="0.3">
      <c r="A1707" t="s">
        <v>1723</v>
      </c>
      <c r="B1707" s="1">
        <v>45999</v>
      </c>
      <c r="C1707" t="s">
        <v>9</v>
      </c>
      <c r="D1707" t="s">
        <v>10</v>
      </c>
      <c r="E1707">
        <v>45</v>
      </c>
      <c r="F1707">
        <v>27</v>
      </c>
      <c r="G1707">
        <v>0</v>
      </c>
      <c r="H1707">
        <v>1215</v>
      </c>
      <c r="I1707">
        <f>AVERAGEIFS(sales_Data[units_sold], sales_Data[product_id],sales_Data[[#This Row],[product_id]])</f>
        <v>31.479452054794521</v>
      </c>
      <c r="J1707">
        <f>_xlfn.XLOOKUP(sales_Data[[#This Row],[product_id]],sales_Data[product_id],sales_Data[unit_price])</f>
        <v>45</v>
      </c>
    </row>
    <row r="1708" spans="1:10" x14ac:dyDescent="0.3">
      <c r="A1708" t="s">
        <v>1724</v>
      </c>
      <c r="B1708" s="1">
        <v>45999</v>
      </c>
      <c r="C1708" t="s">
        <v>12</v>
      </c>
      <c r="D1708" t="s">
        <v>13</v>
      </c>
      <c r="E1708">
        <v>12.5</v>
      </c>
      <c r="F1708">
        <v>38</v>
      </c>
      <c r="G1708">
        <v>0</v>
      </c>
      <c r="H1708">
        <v>475</v>
      </c>
      <c r="I1708">
        <f>AVERAGEIFS(sales_Data[units_sold], sales_Data[product_id],sales_Data[[#This Row],[product_id]])</f>
        <v>31.794520547945204</v>
      </c>
      <c r="J1708">
        <f>_xlfn.XLOOKUP(sales_Data[[#This Row],[product_id]],sales_Data[product_id],sales_Data[unit_price])</f>
        <v>12.5</v>
      </c>
    </row>
    <row r="1709" spans="1:10" x14ac:dyDescent="0.3">
      <c r="A1709" t="s">
        <v>1725</v>
      </c>
      <c r="B1709" s="1">
        <v>45999</v>
      </c>
      <c r="C1709" t="s">
        <v>15</v>
      </c>
      <c r="D1709" t="s">
        <v>16</v>
      </c>
      <c r="E1709">
        <v>35</v>
      </c>
      <c r="F1709">
        <v>25</v>
      </c>
      <c r="G1709">
        <v>0</v>
      </c>
      <c r="H1709">
        <v>875</v>
      </c>
      <c r="I1709">
        <f>AVERAGEIFS(sales_Data[units_sold], sales_Data[product_id],sales_Data[[#This Row],[product_id]])</f>
        <v>30.438356164383563</v>
      </c>
      <c r="J1709">
        <f>_xlfn.XLOOKUP(sales_Data[[#This Row],[product_id]],sales_Data[product_id],sales_Data[unit_price])</f>
        <v>35</v>
      </c>
    </row>
    <row r="1710" spans="1:10" x14ac:dyDescent="0.3">
      <c r="A1710" t="s">
        <v>1726</v>
      </c>
      <c r="B1710" s="1">
        <v>45999</v>
      </c>
      <c r="C1710" t="s">
        <v>18</v>
      </c>
      <c r="D1710" t="s">
        <v>19</v>
      </c>
      <c r="E1710">
        <v>120</v>
      </c>
      <c r="F1710">
        <v>30</v>
      </c>
      <c r="G1710">
        <v>0</v>
      </c>
      <c r="H1710">
        <v>3600</v>
      </c>
      <c r="I1710">
        <f>AVERAGEIFS(sales_Data[units_sold], sales_Data[product_id],sales_Data[[#This Row],[product_id]])</f>
        <v>30.473972602739725</v>
      </c>
      <c r="J1710">
        <f>_xlfn.XLOOKUP(sales_Data[[#This Row],[product_id]],sales_Data[product_id],sales_Data[unit_price])</f>
        <v>120</v>
      </c>
    </row>
    <row r="1711" spans="1:10" x14ac:dyDescent="0.3">
      <c r="A1711" t="s">
        <v>1727</v>
      </c>
      <c r="B1711" s="1">
        <v>45999</v>
      </c>
      <c r="C1711" t="s">
        <v>21</v>
      </c>
      <c r="D1711" t="s">
        <v>22</v>
      </c>
      <c r="E1711">
        <v>25</v>
      </c>
      <c r="F1711">
        <v>24</v>
      </c>
      <c r="G1711">
        <v>0</v>
      </c>
      <c r="H1711">
        <v>600</v>
      </c>
      <c r="I1711">
        <f>AVERAGEIFS(sales_Data[units_sold], sales_Data[product_id],sales_Data[[#This Row],[product_id]])</f>
        <v>29.463013698630139</v>
      </c>
      <c r="J1711">
        <f>_xlfn.XLOOKUP(sales_Data[[#This Row],[product_id]],sales_Data[product_id],sales_Data[unit_price])</f>
        <v>25</v>
      </c>
    </row>
    <row r="1712" spans="1:10" x14ac:dyDescent="0.3">
      <c r="A1712" t="s">
        <v>1728</v>
      </c>
      <c r="B1712" s="1">
        <v>46000</v>
      </c>
      <c r="C1712" t="s">
        <v>9</v>
      </c>
      <c r="D1712" t="s">
        <v>10</v>
      </c>
      <c r="E1712">
        <v>45</v>
      </c>
      <c r="F1712">
        <v>22</v>
      </c>
      <c r="G1712">
        <v>0</v>
      </c>
      <c r="H1712">
        <v>990</v>
      </c>
      <c r="I1712">
        <f>AVERAGEIFS(sales_Data[units_sold], sales_Data[product_id],sales_Data[[#This Row],[product_id]])</f>
        <v>31.479452054794521</v>
      </c>
      <c r="J1712">
        <f>_xlfn.XLOOKUP(sales_Data[[#This Row],[product_id]],sales_Data[product_id],sales_Data[unit_price])</f>
        <v>45</v>
      </c>
    </row>
    <row r="1713" spans="1:10" x14ac:dyDescent="0.3">
      <c r="A1713" t="s">
        <v>1729</v>
      </c>
      <c r="B1713" s="1">
        <v>46000</v>
      </c>
      <c r="C1713" t="s">
        <v>12</v>
      </c>
      <c r="D1713" t="s">
        <v>13</v>
      </c>
      <c r="E1713">
        <v>12.5</v>
      </c>
      <c r="F1713">
        <v>20</v>
      </c>
      <c r="G1713">
        <v>0</v>
      </c>
      <c r="H1713">
        <v>250</v>
      </c>
      <c r="I1713">
        <f>AVERAGEIFS(sales_Data[units_sold], sales_Data[product_id],sales_Data[[#This Row],[product_id]])</f>
        <v>31.794520547945204</v>
      </c>
      <c r="J1713">
        <f>_xlfn.XLOOKUP(sales_Data[[#This Row],[product_id]],sales_Data[product_id],sales_Data[unit_price])</f>
        <v>12.5</v>
      </c>
    </row>
    <row r="1714" spans="1:10" x14ac:dyDescent="0.3">
      <c r="A1714" t="s">
        <v>1730</v>
      </c>
      <c r="B1714" s="1">
        <v>46000</v>
      </c>
      <c r="C1714" t="s">
        <v>15</v>
      </c>
      <c r="D1714" t="s">
        <v>16</v>
      </c>
      <c r="E1714">
        <v>35</v>
      </c>
      <c r="F1714">
        <v>44</v>
      </c>
      <c r="G1714">
        <v>0</v>
      </c>
      <c r="H1714">
        <v>1540</v>
      </c>
      <c r="I1714">
        <f>AVERAGEIFS(sales_Data[units_sold], sales_Data[product_id],sales_Data[[#This Row],[product_id]])</f>
        <v>30.438356164383563</v>
      </c>
      <c r="J1714">
        <f>_xlfn.XLOOKUP(sales_Data[[#This Row],[product_id]],sales_Data[product_id],sales_Data[unit_price])</f>
        <v>35</v>
      </c>
    </row>
    <row r="1715" spans="1:10" x14ac:dyDescent="0.3">
      <c r="A1715" t="s">
        <v>1731</v>
      </c>
      <c r="B1715" s="1">
        <v>46000</v>
      </c>
      <c r="C1715" t="s">
        <v>18</v>
      </c>
      <c r="D1715" t="s">
        <v>19</v>
      </c>
      <c r="E1715">
        <v>120</v>
      </c>
      <c r="F1715">
        <v>42</v>
      </c>
      <c r="G1715">
        <v>0.2</v>
      </c>
      <c r="H1715">
        <v>4032</v>
      </c>
      <c r="I1715">
        <f>AVERAGEIFS(sales_Data[units_sold], sales_Data[product_id],sales_Data[[#This Row],[product_id]])</f>
        <v>30.473972602739725</v>
      </c>
      <c r="J1715">
        <f>_xlfn.XLOOKUP(sales_Data[[#This Row],[product_id]],sales_Data[product_id],sales_Data[unit_price])</f>
        <v>120</v>
      </c>
    </row>
    <row r="1716" spans="1:10" x14ac:dyDescent="0.3">
      <c r="A1716" t="s">
        <v>1732</v>
      </c>
      <c r="B1716" s="1">
        <v>46000</v>
      </c>
      <c r="C1716" t="s">
        <v>21</v>
      </c>
      <c r="D1716" t="s">
        <v>22</v>
      </c>
      <c r="E1716">
        <v>25</v>
      </c>
      <c r="F1716">
        <v>21</v>
      </c>
      <c r="G1716">
        <v>0</v>
      </c>
      <c r="H1716">
        <v>525</v>
      </c>
      <c r="I1716">
        <f>AVERAGEIFS(sales_Data[units_sold], sales_Data[product_id],sales_Data[[#This Row],[product_id]])</f>
        <v>29.463013698630139</v>
      </c>
      <c r="J1716">
        <f>_xlfn.XLOOKUP(sales_Data[[#This Row],[product_id]],sales_Data[product_id],sales_Data[unit_price])</f>
        <v>25</v>
      </c>
    </row>
    <row r="1717" spans="1:10" x14ac:dyDescent="0.3">
      <c r="A1717" t="s">
        <v>1733</v>
      </c>
      <c r="B1717" s="1">
        <v>46001</v>
      </c>
      <c r="C1717" t="s">
        <v>9</v>
      </c>
      <c r="D1717" t="s">
        <v>10</v>
      </c>
      <c r="E1717">
        <v>45</v>
      </c>
      <c r="F1717">
        <v>12</v>
      </c>
      <c r="G1717">
        <v>0</v>
      </c>
      <c r="H1717">
        <v>540</v>
      </c>
      <c r="I1717">
        <f>AVERAGEIFS(sales_Data[units_sold], sales_Data[product_id],sales_Data[[#This Row],[product_id]])</f>
        <v>31.479452054794521</v>
      </c>
      <c r="J1717">
        <f>_xlfn.XLOOKUP(sales_Data[[#This Row],[product_id]],sales_Data[product_id],sales_Data[unit_price])</f>
        <v>45</v>
      </c>
    </row>
    <row r="1718" spans="1:10" x14ac:dyDescent="0.3">
      <c r="A1718" t="s">
        <v>1734</v>
      </c>
      <c r="B1718" s="1">
        <v>46001</v>
      </c>
      <c r="C1718" t="s">
        <v>12</v>
      </c>
      <c r="D1718" t="s">
        <v>13</v>
      </c>
      <c r="E1718">
        <v>12.5</v>
      </c>
      <c r="F1718">
        <v>10</v>
      </c>
      <c r="G1718">
        <v>0</v>
      </c>
      <c r="H1718">
        <v>125</v>
      </c>
      <c r="I1718">
        <f>AVERAGEIFS(sales_Data[units_sold], sales_Data[product_id],sales_Data[[#This Row],[product_id]])</f>
        <v>31.794520547945204</v>
      </c>
      <c r="J1718">
        <f>_xlfn.XLOOKUP(sales_Data[[#This Row],[product_id]],sales_Data[product_id],sales_Data[unit_price])</f>
        <v>12.5</v>
      </c>
    </row>
    <row r="1719" spans="1:10" x14ac:dyDescent="0.3">
      <c r="A1719" t="s">
        <v>1735</v>
      </c>
      <c r="B1719" s="1">
        <v>46001</v>
      </c>
      <c r="C1719" t="s">
        <v>15</v>
      </c>
      <c r="D1719" t="s">
        <v>16</v>
      </c>
      <c r="E1719">
        <v>35</v>
      </c>
      <c r="F1719">
        <v>40</v>
      </c>
      <c r="G1719">
        <v>0</v>
      </c>
      <c r="H1719">
        <v>1400</v>
      </c>
      <c r="I1719">
        <f>AVERAGEIFS(sales_Data[units_sold], sales_Data[product_id],sales_Data[[#This Row],[product_id]])</f>
        <v>30.438356164383563</v>
      </c>
      <c r="J1719">
        <f>_xlfn.XLOOKUP(sales_Data[[#This Row],[product_id]],sales_Data[product_id],sales_Data[unit_price])</f>
        <v>35</v>
      </c>
    </row>
    <row r="1720" spans="1:10" x14ac:dyDescent="0.3">
      <c r="A1720" t="s">
        <v>1736</v>
      </c>
      <c r="B1720" s="1">
        <v>46001</v>
      </c>
      <c r="C1720" t="s">
        <v>18</v>
      </c>
      <c r="D1720" t="s">
        <v>19</v>
      </c>
      <c r="E1720">
        <v>120</v>
      </c>
      <c r="F1720">
        <v>40</v>
      </c>
      <c r="G1720">
        <v>0.2</v>
      </c>
      <c r="H1720">
        <v>3840</v>
      </c>
      <c r="I1720">
        <f>AVERAGEIFS(sales_Data[units_sold], sales_Data[product_id],sales_Data[[#This Row],[product_id]])</f>
        <v>30.473972602739725</v>
      </c>
      <c r="J1720">
        <f>_xlfn.XLOOKUP(sales_Data[[#This Row],[product_id]],sales_Data[product_id],sales_Data[unit_price])</f>
        <v>120</v>
      </c>
    </row>
    <row r="1721" spans="1:10" x14ac:dyDescent="0.3">
      <c r="A1721" t="s">
        <v>1737</v>
      </c>
      <c r="B1721" s="1">
        <v>46001</v>
      </c>
      <c r="C1721" t="s">
        <v>21</v>
      </c>
      <c r="D1721" t="s">
        <v>22</v>
      </c>
      <c r="E1721">
        <v>25</v>
      </c>
      <c r="F1721">
        <v>47</v>
      </c>
      <c r="G1721">
        <v>0</v>
      </c>
      <c r="H1721">
        <v>1175</v>
      </c>
      <c r="I1721">
        <f>AVERAGEIFS(sales_Data[units_sold], sales_Data[product_id],sales_Data[[#This Row],[product_id]])</f>
        <v>29.463013698630139</v>
      </c>
      <c r="J1721">
        <f>_xlfn.XLOOKUP(sales_Data[[#This Row],[product_id]],sales_Data[product_id],sales_Data[unit_price])</f>
        <v>25</v>
      </c>
    </row>
    <row r="1722" spans="1:10" x14ac:dyDescent="0.3">
      <c r="A1722" t="s">
        <v>1738</v>
      </c>
      <c r="B1722" s="1">
        <v>46002</v>
      </c>
      <c r="C1722" t="s">
        <v>9</v>
      </c>
      <c r="D1722" t="s">
        <v>10</v>
      </c>
      <c r="E1722">
        <v>45</v>
      </c>
      <c r="F1722">
        <v>48</v>
      </c>
      <c r="G1722">
        <v>0.1</v>
      </c>
      <c r="H1722">
        <v>1944</v>
      </c>
      <c r="I1722">
        <f>AVERAGEIFS(sales_Data[units_sold], sales_Data[product_id],sales_Data[[#This Row],[product_id]])</f>
        <v>31.479452054794521</v>
      </c>
      <c r="J1722">
        <f>_xlfn.XLOOKUP(sales_Data[[#This Row],[product_id]],sales_Data[product_id],sales_Data[unit_price])</f>
        <v>45</v>
      </c>
    </row>
    <row r="1723" spans="1:10" x14ac:dyDescent="0.3">
      <c r="A1723" t="s">
        <v>1739</v>
      </c>
      <c r="B1723" s="1">
        <v>46002</v>
      </c>
      <c r="C1723" t="s">
        <v>12</v>
      </c>
      <c r="D1723" t="s">
        <v>13</v>
      </c>
      <c r="E1723">
        <v>12.5</v>
      </c>
      <c r="F1723">
        <v>23</v>
      </c>
      <c r="G1723">
        <v>0</v>
      </c>
      <c r="H1723">
        <v>287.5</v>
      </c>
      <c r="I1723">
        <f>AVERAGEIFS(sales_Data[units_sold], sales_Data[product_id],sales_Data[[#This Row],[product_id]])</f>
        <v>31.794520547945204</v>
      </c>
      <c r="J1723">
        <f>_xlfn.XLOOKUP(sales_Data[[#This Row],[product_id]],sales_Data[product_id],sales_Data[unit_price])</f>
        <v>12.5</v>
      </c>
    </row>
    <row r="1724" spans="1:10" x14ac:dyDescent="0.3">
      <c r="A1724" t="s">
        <v>1740</v>
      </c>
      <c r="B1724" s="1">
        <v>46002</v>
      </c>
      <c r="C1724" t="s">
        <v>15</v>
      </c>
      <c r="D1724" t="s">
        <v>16</v>
      </c>
      <c r="E1724">
        <v>35</v>
      </c>
      <c r="F1724">
        <v>44</v>
      </c>
      <c r="G1724">
        <v>0</v>
      </c>
      <c r="H1724">
        <v>1540</v>
      </c>
      <c r="I1724">
        <f>AVERAGEIFS(sales_Data[units_sold], sales_Data[product_id],sales_Data[[#This Row],[product_id]])</f>
        <v>30.438356164383563</v>
      </c>
      <c r="J1724">
        <f>_xlfn.XLOOKUP(sales_Data[[#This Row],[product_id]],sales_Data[product_id],sales_Data[unit_price])</f>
        <v>35</v>
      </c>
    </row>
    <row r="1725" spans="1:10" x14ac:dyDescent="0.3">
      <c r="A1725" t="s">
        <v>1741</v>
      </c>
      <c r="B1725" s="1">
        <v>46002</v>
      </c>
      <c r="C1725" t="s">
        <v>18</v>
      </c>
      <c r="D1725" t="s">
        <v>19</v>
      </c>
      <c r="E1725">
        <v>120</v>
      </c>
      <c r="F1725">
        <v>28</v>
      </c>
      <c r="G1725">
        <v>0</v>
      </c>
      <c r="H1725">
        <v>3360</v>
      </c>
      <c r="I1725">
        <f>AVERAGEIFS(sales_Data[units_sold], sales_Data[product_id],sales_Data[[#This Row],[product_id]])</f>
        <v>30.473972602739725</v>
      </c>
      <c r="J1725">
        <f>_xlfn.XLOOKUP(sales_Data[[#This Row],[product_id]],sales_Data[product_id],sales_Data[unit_price])</f>
        <v>120</v>
      </c>
    </row>
    <row r="1726" spans="1:10" x14ac:dyDescent="0.3">
      <c r="A1726" t="s">
        <v>1742</v>
      </c>
      <c r="B1726" s="1">
        <v>46002</v>
      </c>
      <c r="C1726" t="s">
        <v>21</v>
      </c>
      <c r="D1726" t="s">
        <v>22</v>
      </c>
      <c r="E1726">
        <v>25</v>
      </c>
      <c r="F1726">
        <v>38</v>
      </c>
      <c r="G1726">
        <v>0.1</v>
      </c>
      <c r="H1726">
        <v>855</v>
      </c>
      <c r="I1726">
        <f>AVERAGEIFS(sales_Data[units_sold], sales_Data[product_id],sales_Data[[#This Row],[product_id]])</f>
        <v>29.463013698630139</v>
      </c>
      <c r="J1726">
        <f>_xlfn.XLOOKUP(sales_Data[[#This Row],[product_id]],sales_Data[product_id],sales_Data[unit_price])</f>
        <v>25</v>
      </c>
    </row>
    <row r="1727" spans="1:10" x14ac:dyDescent="0.3">
      <c r="A1727" t="s">
        <v>1743</v>
      </c>
      <c r="B1727" s="1">
        <v>46003</v>
      </c>
      <c r="C1727" t="s">
        <v>9</v>
      </c>
      <c r="D1727" t="s">
        <v>10</v>
      </c>
      <c r="E1727">
        <v>45</v>
      </c>
      <c r="F1727">
        <v>18</v>
      </c>
      <c r="G1727">
        <v>0.1</v>
      </c>
      <c r="H1727">
        <v>729</v>
      </c>
      <c r="I1727">
        <f>AVERAGEIFS(sales_Data[units_sold], sales_Data[product_id],sales_Data[[#This Row],[product_id]])</f>
        <v>31.479452054794521</v>
      </c>
      <c r="J1727">
        <f>_xlfn.XLOOKUP(sales_Data[[#This Row],[product_id]],sales_Data[product_id],sales_Data[unit_price])</f>
        <v>45</v>
      </c>
    </row>
    <row r="1728" spans="1:10" x14ac:dyDescent="0.3">
      <c r="A1728" t="s">
        <v>1744</v>
      </c>
      <c r="B1728" s="1">
        <v>46003</v>
      </c>
      <c r="C1728" t="s">
        <v>12</v>
      </c>
      <c r="D1728" t="s">
        <v>13</v>
      </c>
      <c r="E1728">
        <v>12.5</v>
      </c>
      <c r="F1728">
        <v>37</v>
      </c>
      <c r="G1728">
        <v>0</v>
      </c>
      <c r="H1728">
        <v>462.5</v>
      </c>
      <c r="I1728">
        <f>AVERAGEIFS(sales_Data[units_sold], sales_Data[product_id],sales_Data[[#This Row],[product_id]])</f>
        <v>31.794520547945204</v>
      </c>
      <c r="J1728">
        <f>_xlfn.XLOOKUP(sales_Data[[#This Row],[product_id]],sales_Data[product_id],sales_Data[unit_price])</f>
        <v>12.5</v>
      </c>
    </row>
    <row r="1729" spans="1:10" x14ac:dyDescent="0.3">
      <c r="A1729" t="s">
        <v>1745</v>
      </c>
      <c r="B1729" s="1">
        <v>46003</v>
      </c>
      <c r="C1729" t="s">
        <v>15</v>
      </c>
      <c r="D1729" t="s">
        <v>16</v>
      </c>
      <c r="E1729">
        <v>35</v>
      </c>
      <c r="F1729">
        <v>48</v>
      </c>
      <c r="G1729">
        <v>0</v>
      </c>
      <c r="H1729">
        <v>1680</v>
      </c>
      <c r="I1729">
        <f>AVERAGEIFS(sales_Data[units_sold], sales_Data[product_id],sales_Data[[#This Row],[product_id]])</f>
        <v>30.438356164383563</v>
      </c>
      <c r="J1729">
        <f>_xlfn.XLOOKUP(sales_Data[[#This Row],[product_id]],sales_Data[product_id],sales_Data[unit_price])</f>
        <v>35</v>
      </c>
    </row>
    <row r="1730" spans="1:10" x14ac:dyDescent="0.3">
      <c r="A1730" t="s">
        <v>1746</v>
      </c>
      <c r="B1730" s="1">
        <v>46003</v>
      </c>
      <c r="C1730" t="s">
        <v>18</v>
      </c>
      <c r="D1730" t="s">
        <v>19</v>
      </c>
      <c r="E1730">
        <v>120</v>
      </c>
      <c r="F1730">
        <v>38</v>
      </c>
      <c r="G1730">
        <v>0</v>
      </c>
      <c r="H1730">
        <v>4560</v>
      </c>
      <c r="I1730">
        <f>AVERAGEIFS(sales_Data[units_sold], sales_Data[product_id],sales_Data[[#This Row],[product_id]])</f>
        <v>30.473972602739725</v>
      </c>
      <c r="J1730">
        <f>_xlfn.XLOOKUP(sales_Data[[#This Row],[product_id]],sales_Data[product_id],sales_Data[unit_price])</f>
        <v>120</v>
      </c>
    </row>
    <row r="1731" spans="1:10" x14ac:dyDescent="0.3">
      <c r="A1731" t="s">
        <v>1747</v>
      </c>
      <c r="B1731" s="1">
        <v>46003</v>
      </c>
      <c r="C1731" t="s">
        <v>21</v>
      </c>
      <c r="D1731" t="s">
        <v>22</v>
      </c>
      <c r="E1731">
        <v>25</v>
      </c>
      <c r="F1731">
        <v>9</v>
      </c>
      <c r="G1731">
        <v>0</v>
      </c>
      <c r="H1731">
        <v>225</v>
      </c>
      <c r="I1731">
        <f>AVERAGEIFS(sales_Data[units_sold], sales_Data[product_id],sales_Data[[#This Row],[product_id]])</f>
        <v>29.463013698630139</v>
      </c>
      <c r="J1731">
        <f>_xlfn.XLOOKUP(sales_Data[[#This Row],[product_id]],sales_Data[product_id],sales_Data[unit_price])</f>
        <v>25</v>
      </c>
    </row>
    <row r="1732" spans="1:10" x14ac:dyDescent="0.3">
      <c r="A1732" t="s">
        <v>1748</v>
      </c>
      <c r="B1732" s="1">
        <v>46004</v>
      </c>
      <c r="C1732" t="s">
        <v>9</v>
      </c>
      <c r="D1732" t="s">
        <v>10</v>
      </c>
      <c r="E1732">
        <v>45</v>
      </c>
      <c r="F1732">
        <v>12</v>
      </c>
      <c r="G1732">
        <v>0</v>
      </c>
      <c r="H1732">
        <v>540</v>
      </c>
      <c r="I1732">
        <f>AVERAGEIFS(sales_Data[units_sold], sales_Data[product_id],sales_Data[[#This Row],[product_id]])</f>
        <v>31.479452054794521</v>
      </c>
      <c r="J1732">
        <f>_xlfn.XLOOKUP(sales_Data[[#This Row],[product_id]],sales_Data[product_id],sales_Data[unit_price])</f>
        <v>45</v>
      </c>
    </row>
    <row r="1733" spans="1:10" x14ac:dyDescent="0.3">
      <c r="A1733" t="s">
        <v>1749</v>
      </c>
      <c r="B1733" s="1">
        <v>46004</v>
      </c>
      <c r="C1733" t="s">
        <v>12</v>
      </c>
      <c r="D1733" t="s">
        <v>13</v>
      </c>
      <c r="E1733">
        <v>12.5</v>
      </c>
      <c r="F1733">
        <v>27</v>
      </c>
      <c r="G1733">
        <v>0.1</v>
      </c>
      <c r="H1733">
        <v>303.75</v>
      </c>
      <c r="I1733">
        <f>AVERAGEIFS(sales_Data[units_sold], sales_Data[product_id],sales_Data[[#This Row],[product_id]])</f>
        <v>31.794520547945204</v>
      </c>
      <c r="J1733">
        <f>_xlfn.XLOOKUP(sales_Data[[#This Row],[product_id]],sales_Data[product_id],sales_Data[unit_price])</f>
        <v>12.5</v>
      </c>
    </row>
    <row r="1734" spans="1:10" x14ac:dyDescent="0.3">
      <c r="A1734" t="s">
        <v>1750</v>
      </c>
      <c r="B1734" s="1">
        <v>46004</v>
      </c>
      <c r="C1734" t="s">
        <v>15</v>
      </c>
      <c r="D1734" t="s">
        <v>16</v>
      </c>
      <c r="E1734">
        <v>35</v>
      </c>
      <c r="F1734">
        <v>34</v>
      </c>
      <c r="G1734">
        <v>0</v>
      </c>
      <c r="H1734">
        <v>1190</v>
      </c>
      <c r="I1734">
        <f>AVERAGEIFS(sales_Data[units_sold], sales_Data[product_id],sales_Data[[#This Row],[product_id]])</f>
        <v>30.438356164383563</v>
      </c>
      <c r="J1734">
        <f>_xlfn.XLOOKUP(sales_Data[[#This Row],[product_id]],sales_Data[product_id],sales_Data[unit_price])</f>
        <v>35</v>
      </c>
    </row>
    <row r="1735" spans="1:10" x14ac:dyDescent="0.3">
      <c r="A1735" t="s">
        <v>1751</v>
      </c>
      <c r="B1735" s="1">
        <v>46004</v>
      </c>
      <c r="C1735" t="s">
        <v>18</v>
      </c>
      <c r="D1735" t="s">
        <v>19</v>
      </c>
      <c r="E1735">
        <v>120</v>
      </c>
      <c r="F1735">
        <v>13</v>
      </c>
      <c r="G1735">
        <v>0.1</v>
      </c>
      <c r="H1735">
        <v>1404</v>
      </c>
      <c r="I1735">
        <f>AVERAGEIFS(sales_Data[units_sold], sales_Data[product_id],sales_Data[[#This Row],[product_id]])</f>
        <v>30.473972602739725</v>
      </c>
      <c r="J1735">
        <f>_xlfn.XLOOKUP(sales_Data[[#This Row],[product_id]],sales_Data[product_id],sales_Data[unit_price])</f>
        <v>120</v>
      </c>
    </row>
    <row r="1736" spans="1:10" x14ac:dyDescent="0.3">
      <c r="A1736" t="s">
        <v>1752</v>
      </c>
      <c r="B1736" s="1">
        <v>46004</v>
      </c>
      <c r="C1736" t="s">
        <v>21</v>
      </c>
      <c r="D1736" t="s">
        <v>22</v>
      </c>
      <c r="E1736">
        <v>25</v>
      </c>
      <c r="F1736">
        <v>16</v>
      </c>
      <c r="G1736">
        <v>0</v>
      </c>
      <c r="H1736">
        <v>400</v>
      </c>
      <c r="I1736">
        <f>AVERAGEIFS(sales_Data[units_sold], sales_Data[product_id],sales_Data[[#This Row],[product_id]])</f>
        <v>29.463013698630139</v>
      </c>
      <c r="J1736">
        <f>_xlfn.XLOOKUP(sales_Data[[#This Row],[product_id]],sales_Data[product_id],sales_Data[unit_price])</f>
        <v>25</v>
      </c>
    </row>
    <row r="1737" spans="1:10" x14ac:dyDescent="0.3">
      <c r="A1737" t="s">
        <v>1753</v>
      </c>
      <c r="B1737" s="1">
        <v>46005</v>
      </c>
      <c r="C1737" t="s">
        <v>9</v>
      </c>
      <c r="D1737" t="s">
        <v>10</v>
      </c>
      <c r="E1737">
        <v>45</v>
      </c>
      <c r="F1737">
        <v>39</v>
      </c>
      <c r="G1737">
        <v>0.2</v>
      </c>
      <c r="H1737">
        <v>1404</v>
      </c>
      <c r="I1737">
        <f>AVERAGEIFS(sales_Data[units_sold], sales_Data[product_id],sales_Data[[#This Row],[product_id]])</f>
        <v>31.479452054794521</v>
      </c>
      <c r="J1737">
        <f>_xlfn.XLOOKUP(sales_Data[[#This Row],[product_id]],sales_Data[product_id],sales_Data[unit_price])</f>
        <v>45</v>
      </c>
    </row>
    <row r="1738" spans="1:10" x14ac:dyDescent="0.3">
      <c r="A1738" t="s">
        <v>1754</v>
      </c>
      <c r="B1738" s="1">
        <v>46005</v>
      </c>
      <c r="C1738" t="s">
        <v>12</v>
      </c>
      <c r="D1738" t="s">
        <v>13</v>
      </c>
      <c r="E1738">
        <v>12.5</v>
      </c>
      <c r="F1738">
        <v>57</v>
      </c>
      <c r="G1738">
        <v>0.1</v>
      </c>
      <c r="H1738">
        <v>641.25</v>
      </c>
      <c r="I1738">
        <f>AVERAGEIFS(sales_Data[units_sold], sales_Data[product_id],sales_Data[[#This Row],[product_id]])</f>
        <v>31.794520547945204</v>
      </c>
      <c r="J1738">
        <f>_xlfn.XLOOKUP(sales_Data[[#This Row],[product_id]],sales_Data[product_id],sales_Data[unit_price])</f>
        <v>12.5</v>
      </c>
    </row>
    <row r="1739" spans="1:10" x14ac:dyDescent="0.3">
      <c r="A1739" t="s">
        <v>1755</v>
      </c>
      <c r="B1739" s="1">
        <v>46005</v>
      </c>
      <c r="C1739" t="s">
        <v>15</v>
      </c>
      <c r="D1739" t="s">
        <v>16</v>
      </c>
      <c r="E1739">
        <v>35</v>
      </c>
      <c r="F1739">
        <v>40</v>
      </c>
      <c r="G1739">
        <v>0</v>
      </c>
      <c r="H1739">
        <v>1400</v>
      </c>
      <c r="I1739">
        <f>AVERAGEIFS(sales_Data[units_sold], sales_Data[product_id],sales_Data[[#This Row],[product_id]])</f>
        <v>30.438356164383563</v>
      </c>
      <c r="J1739">
        <f>_xlfn.XLOOKUP(sales_Data[[#This Row],[product_id]],sales_Data[product_id],sales_Data[unit_price])</f>
        <v>35</v>
      </c>
    </row>
    <row r="1740" spans="1:10" x14ac:dyDescent="0.3">
      <c r="A1740" t="s">
        <v>1756</v>
      </c>
      <c r="B1740" s="1">
        <v>46005</v>
      </c>
      <c r="C1740" t="s">
        <v>18</v>
      </c>
      <c r="D1740" t="s">
        <v>19</v>
      </c>
      <c r="E1740">
        <v>120</v>
      </c>
      <c r="F1740">
        <v>22</v>
      </c>
      <c r="G1740">
        <v>0</v>
      </c>
      <c r="H1740">
        <v>2640</v>
      </c>
      <c r="I1740">
        <f>AVERAGEIFS(sales_Data[units_sold], sales_Data[product_id],sales_Data[[#This Row],[product_id]])</f>
        <v>30.473972602739725</v>
      </c>
      <c r="J1740">
        <f>_xlfn.XLOOKUP(sales_Data[[#This Row],[product_id]],sales_Data[product_id],sales_Data[unit_price])</f>
        <v>120</v>
      </c>
    </row>
    <row r="1741" spans="1:10" x14ac:dyDescent="0.3">
      <c r="A1741" t="s">
        <v>1757</v>
      </c>
      <c r="B1741" s="1">
        <v>46005</v>
      </c>
      <c r="C1741" t="s">
        <v>21</v>
      </c>
      <c r="D1741" t="s">
        <v>22</v>
      </c>
      <c r="E1741">
        <v>25</v>
      </c>
      <c r="F1741">
        <v>52</v>
      </c>
      <c r="G1741">
        <v>0</v>
      </c>
      <c r="H1741">
        <v>1300</v>
      </c>
      <c r="I1741">
        <f>AVERAGEIFS(sales_Data[units_sold], sales_Data[product_id],sales_Data[[#This Row],[product_id]])</f>
        <v>29.463013698630139</v>
      </c>
      <c r="J1741">
        <f>_xlfn.XLOOKUP(sales_Data[[#This Row],[product_id]],sales_Data[product_id],sales_Data[unit_price])</f>
        <v>25</v>
      </c>
    </row>
    <row r="1742" spans="1:10" x14ac:dyDescent="0.3">
      <c r="A1742" t="s">
        <v>1758</v>
      </c>
      <c r="B1742" s="1">
        <v>46006</v>
      </c>
      <c r="C1742" t="s">
        <v>9</v>
      </c>
      <c r="D1742" t="s">
        <v>10</v>
      </c>
      <c r="E1742">
        <v>45</v>
      </c>
      <c r="F1742">
        <v>31</v>
      </c>
      <c r="G1742">
        <v>0</v>
      </c>
      <c r="H1742">
        <v>1395</v>
      </c>
      <c r="I1742">
        <f>AVERAGEIFS(sales_Data[units_sold], sales_Data[product_id],sales_Data[[#This Row],[product_id]])</f>
        <v>31.479452054794521</v>
      </c>
      <c r="J1742">
        <f>_xlfn.XLOOKUP(sales_Data[[#This Row],[product_id]],sales_Data[product_id],sales_Data[unit_price])</f>
        <v>45</v>
      </c>
    </row>
    <row r="1743" spans="1:10" x14ac:dyDescent="0.3">
      <c r="A1743" t="s">
        <v>1759</v>
      </c>
      <c r="B1743" s="1">
        <v>46006</v>
      </c>
      <c r="C1743" t="s">
        <v>12</v>
      </c>
      <c r="D1743" t="s">
        <v>13</v>
      </c>
      <c r="E1743">
        <v>12.5</v>
      </c>
      <c r="F1743">
        <v>20</v>
      </c>
      <c r="G1743">
        <v>0</v>
      </c>
      <c r="H1743">
        <v>250</v>
      </c>
      <c r="I1743">
        <f>AVERAGEIFS(sales_Data[units_sold], sales_Data[product_id],sales_Data[[#This Row],[product_id]])</f>
        <v>31.794520547945204</v>
      </c>
      <c r="J1743">
        <f>_xlfn.XLOOKUP(sales_Data[[#This Row],[product_id]],sales_Data[product_id],sales_Data[unit_price])</f>
        <v>12.5</v>
      </c>
    </row>
    <row r="1744" spans="1:10" x14ac:dyDescent="0.3">
      <c r="A1744" t="s">
        <v>1760</v>
      </c>
      <c r="B1744" s="1">
        <v>46006</v>
      </c>
      <c r="C1744" t="s">
        <v>15</v>
      </c>
      <c r="D1744" t="s">
        <v>16</v>
      </c>
      <c r="E1744">
        <v>35</v>
      </c>
      <c r="F1744">
        <v>32</v>
      </c>
      <c r="G1744">
        <v>0</v>
      </c>
      <c r="H1744">
        <v>1120</v>
      </c>
      <c r="I1744">
        <f>AVERAGEIFS(sales_Data[units_sold], sales_Data[product_id],sales_Data[[#This Row],[product_id]])</f>
        <v>30.438356164383563</v>
      </c>
      <c r="J1744">
        <f>_xlfn.XLOOKUP(sales_Data[[#This Row],[product_id]],sales_Data[product_id],sales_Data[unit_price])</f>
        <v>35</v>
      </c>
    </row>
    <row r="1745" spans="1:10" x14ac:dyDescent="0.3">
      <c r="A1745" t="s">
        <v>1761</v>
      </c>
      <c r="B1745" s="1">
        <v>46006</v>
      </c>
      <c r="C1745" t="s">
        <v>18</v>
      </c>
      <c r="D1745" t="s">
        <v>19</v>
      </c>
      <c r="E1745">
        <v>120</v>
      </c>
      <c r="F1745">
        <v>12</v>
      </c>
      <c r="G1745">
        <v>0</v>
      </c>
      <c r="H1745">
        <v>1440</v>
      </c>
      <c r="I1745">
        <f>AVERAGEIFS(sales_Data[units_sold], sales_Data[product_id],sales_Data[[#This Row],[product_id]])</f>
        <v>30.473972602739725</v>
      </c>
      <c r="J1745">
        <f>_xlfn.XLOOKUP(sales_Data[[#This Row],[product_id]],sales_Data[product_id],sales_Data[unit_price])</f>
        <v>120</v>
      </c>
    </row>
    <row r="1746" spans="1:10" x14ac:dyDescent="0.3">
      <c r="A1746" t="s">
        <v>1762</v>
      </c>
      <c r="B1746" s="1">
        <v>46006</v>
      </c>
      <c r="C1746" t="s">
        <v>21</v>
      </c>
      <c r="D1746" t="s">
        <v>22</v>
      </c>
      <c r="E1746">
        <v>25</v>
      </c>
      <c r="F1746">
        <v>36</v>
      </c>
      <c r="G1746">
        <v>0</v>
      </c>
      <c r="H1746">
        <v>900</v>
      </c>
      <c r="I1746">
        <f>AVERAGEIFS(sales_Data[units_sold], sales_Data[product_id],sales_Data[[#This Row],[product_id]])</f>
        <v>29.463013698630139</v>
      </c>
      <c r="J1746">
        <f>_xlfn.XLOOKUP(sales_Data[[#This Row],[product_id]],sales_Data[product_id],sales_Data[unit_price])</f>
        <v>25</v>
      </c>
    </row>
    <row r="1747" spans="1:10" x14ac:dyDescent="0.3">
      <c r="A1747" t="s">
        <v>1763</v>
      </c>
      <c r="B1747" s="1">
        <v>46007</v>
      </c>
      <c r="C1747" t="s">
        <v>9</v>
      </c>
      <c r="D1747" t="s">
        <v>10</v>
      </c>
      <c r="E1747">
        <v>45</v>
      </c>
      <c r="F1747">
        <v>47</v>
      </c>
      <c r="G1747">
        <v>0.2</v>
      </c>
      <c r="H1747">
        <v>1692</v>
      </c>
      <c r="I1747">
        <f>AVERAGEIFS(sales_Data[units_sold], sales_Data[product_id],sales_Data[[#This Row],[product_id]])</f>
        <v>31.479452054794521</v>
      </c>
      <c r="J1747">
        <f>_xlfn.XLOOKUP(sales_Data[[#This Row],[product_id]],sales_Data[product_id],sales_Data[unit_price])</f>
        <v>45</v>
      </c>
    </row>
    <row r="1748" spans="1:10" x14ac:dyDescent="0.3">
      <c r="A1748" t="s">
        <v>1764</v>
      </c>
      <c r="B1748" s="1">
        <v>46007</v>
      </c>
      <c r="C1748" t="s">
        <v>12</v>
      </c>
      <c r="D1748" t="s">
        <v>13</v>
      </c>
      <c r="E1748">
        <v>12.5</v>
      </c>
      <c r="F1748">
        <v>48</v>
      </c>
      <c r="G1748">
        <v>0</v>
      </c>
      <c r="H1748">
        <v>600</v>
      </c>
      <c r="I1748">
        <f>AVERAGEIFS(sales_Data[units_sold], sales_Data[product_id],sales_Data[[#This Row],[product_id]])</f>
        <v>31.794520547945204</v>
      </c>
      <c r="J1748">
        <f>_xlfn.XLOOKUP(sales_Data[[#This Row],[product_id]],sales_Data[product_id],sales_Data[unit_price])</f>
        <v>12.5</v>
      </c>
    </row>
    <row r="1749" spans="1:10" x14ac:dyDescent="0.3">
      <c r="A1749" t="s">
        <v>1765</v>
      </c>
      <c r="B1749" s="1">
        <v>46007</v>
      </c>
      <c r="C1749" t="s">
        <v>15</v>
      </c>
      <c r="D1749" t="s">
        <v>16</v>
      </c>
      <c r="E1749">
        <v>35</v>
      </c>
      <c r="F1749">
        <v>14</v>
      </c>
      <c r="G1749">
        <v>0</v>
      </c>
      <c r="H1749">
        <v>490</v>
      </c>
      <c r="I1749">
        <f>AVERAGEIFS(sales_Data[units_sold], sales_Data[product_id],sales_Data[[#This Row],[product_id]])</f>
        <v>30.438356164383563</v>
      </c>
      <c r="J1749">
        <f>_xlfn.XLOOKUP(sales_Data[[#This Row],[product_id]],sales_Data[product_id],sales_Data[unit_price])</f>
        <v>35</v>
      </c>
    </row>
    <row r="1750" spans="1:10" x14ac:dyDescent="0.3">
      <c r="A1750" t="s">
        <v>1766</v>
      </c>
      <c r="B1750" s="1">
        <v>46007</v>
      </c>
      <c r="C1750" t="s">
        <v>18</v>
      </c>
      <c r="D1750" t="s">
        <v>19</v>
      </c>
      <c r="E1750">
        <v>120</v>
      </c>
      <c r="F1750">
        <v>26</v>
      </c>
      <c r="G1750">
        <v>0</v>
      </c>
      <c r="H1750">
        <v>3120</v>
      </c>
      <c r="I1750">
        <f>AVERAGEIFS(sales_Data[units_sold], sales_Data[product_id],sales_Data[[#This Row],[product_id]])</f>
        <v>30.473972602739725</v>
      </c>
      <c r="J1750">
        <f>_xlfn.XLOOKUP(sales_Data[[#This Row],[product_id]],sales_Data[product_id],sales_Data[unit_price])</f>
        <v>120</v>
      </c>
    </row>
    <row r="1751" spans="1:10" x14ac:dyDescent="0.3">
      <c r="A1751" t="s">
        <v>1767</v>
      </c>
      <c r="B1751" s="1">
        <v>46007</v>
      </c>
      <c r="C1751" t="s">
        <v>21</v>
      </c>
      <c r="D1751" t="s">
        <v>22</v>
      </c>
      <c r="E1751">
        <v>25</v>
      </c>
      <c r="F1751">
        <v>37</v>
      </c>
      <c r="G1751">
        <v>0</v>
      </c>
      <c r="H1751">
        <v>925</v>
      </c>
      <c r="I1751">
        <f>AVERAGEIFS(sales_Data[units_sold], sales_Data[product_id],sales_Data[[#This Row],[product_id]])</f>
        <v>29.463013698630139</v>
      </c>
      <c r="J1751">
        <f>_xlfn.XLOOKUP(sales_Data[[#This Row],[product_id]],sales_Data[product_id],sales_Data[unit_price])</f>
        <v>25</v>
      </c>
    </row>
    <row r="1752" spans="1:10" x14ac:dyDescent="0.3">
      <c r="A1752" t="s">
        <v>1768</v>
      </c>
      <c r="B1752" s="1">
        <v>46008</v>
      </c>
      <c r="C1752" t="s">
        <v>9</v>
      </c>
      <c r="D1752" t="s">
        <v>10</v>
      </c>
      <c r="E1752">
        <v>45</v>
      </c>
      <c r="F1752">
        <v>31</v>
      </c>
      <c r="G1752">
        <v>0</v>
      </c>
      <c r="H1752">
        <v>1395</v>
      </c>
      <c r="I1752">
        <f>AVERAGEIFS(sales_Data[units_sold], sales_Data[product_id],sales_Data[[#This Row],[product_id]])</f>
        <v>31.479452054794521</v>
      </c>
      <c r="J1752">
        <f>_xlfn.XLOOKUP(sales_Data[[#This Row],[product_id]],sales_Data[product_id],sales_Data[unit_price])</f>
        <v>45</v>
      </c>
    </row>
    <row r="1753" spans="1:10" x14ac:dyDescent="0.3">
      <c r="A1753" t="s">
        <v>1769</v>
      </c>
      <c r="B1753" s="1">
        <v>46008</v>
      </c>
      <c r="C1753" t="s">
        <v>12</v>
      </c>
      <c r="D1753" t="s">
        <v>13</v>
      </c>
      <c r="E1753">
        <v>12.5</v>
      </c>
      <c r="F1753">
        <v>20</v>
      </c>
      <c r="G1753">
        <v>0</v>
      </c>
      <c r="H1753">
        <v>250</v>
      </c>
      <c r="I1753">
        <f>AVERAGEIFS(sales_Data[units_sold], sales_Data[product_id],sales_Data[[#This Row],[product_id]])</f>
        <v>31.794520547945204</v>
      </c>
      <c r="J1753">
        <f>_xlfn.XLOOKUP(sales_Data[[#This Row],[product_id]],sales_Data[product_id],sales_Data[unit_price])</f>
        <v>12.5</v>
      </c>
    </row>
    <row r="1754" spans="1:10" x14ac:dyDescent="0.3">
      <c r="A1754" t="s">
        <v>1770</v>
      </c>
      <c r="B1754" s="1">
        <v>46008</v>
      </c>
      <c r="C1754" t="s">
        <v>15</v>
      </c>
      <c r="D1754" t="s">
        <v>16</v>
      </c>
      <c r="E1754">
        <v>35</v>
      </c>
      <c r="F1754">
        <v>39</v>
      </c>
      <c r="G1754">
        <v>0</v>
      </c>
      <c r="H1754">
        <v>1365</v>
      </c>
      <c r="I1754">
        <f>AVERAGEIFS(sales_Data[units_sold], sales_Data[product_id],sales_Data[[#This Row],[product_id]])</f>
        <v>30.438356164383563</v>
      </c>
      <c r="J1754">
        <f>_xlfn.XLOOKUP(sales_Data[[#This Row],[product_id]],sales_Data[product_id],sales_Data[unit_price])</f>
        <v>35</v>
      </c>
    </row>
    <row r="1755" spans="1:10" x14ac:dyDescent="0.3">
      <c r="A1755" t="s">
        <v>1771</v>
      </c>
      <c r="B1755" s="1">
        <v>46008</v>
      </c>
      <c r="C1755" t="s">
        <v>18</v>
      </c>
      <c r="D1755" t="s">
        <v>19</v>
      </c>
      <c r="E1755">
        <v>120</v>
      </c>
      <c r="F1755">
        <v>16</v>
      </c>
      <c r="G1755">
        <v>0.1</v>
      </c>
      <c r="H1755">
        <v>1728</v>
      </c>
      <c r="I1755">
        <f>AVERAGEIFS(sales_Data[units_sold], sales_Data[product_id],sales_Data[[#This Row],[product_id]])</f>
        <v>30.473972602739725</v>
      </c>
      <c r="J1755">
        <f>_xlfn.XLOOKUP(sales_Data[[#This Row],[product_id]],sales_Data[product_id],sales_Data[unit_price])</f>
        <v>120</v>
      </c>
    </row>
    <row r="1756" spans="1:10" x14ac:dyDescent="0.3">
      <c r="A1756" t="s">
        <v>1772</v>
      </c>
      <c r="B1756" s="1">
        <v>46008</v>
      </c>
      <c r="C1756" t="s">
        <v>21</v>
      </c>
      <c r="D1756" t="s">
        <v>22</v>
      </c>
      <c r="E1756">
        <v>25</v>
      </c>
      <c r="F1756">
        <v>30</v>
      </c>
      <c r="G1756">
        <v>0</v>
      </c>
      <c r="H1756">
        <v>750</v>
      </c>
      <c r="I1756">
        <f>AVERAGEIFS(sales_Data[units_sold], sales_Data[product_id],sales_Data[[#This Row],[product_id]])</f>
        <v>29.463013698630139</v>
      </c>
      <c r="J1756">
        <f>_xlfn.XLOOKUP(sales_Data[[#This Row],[product_id]],sales_Data[product_id],sales_Data[unit_price])</f>
        <v>25</v>
      </c>
    </row>
    <row r="1757" spans="1:10" x14ac:dyDescent="0.3">
      <c r="A1757" t="s">
        <v>1773</v>
      </c>
      <c r="B1757" s="1">
        <v>46009</v>
      </c>
      <c r="C1757" t="s">
        <v>9</v>
      </c>
      <c r="D1757" t="s">
        <v>10</v>
      </c>
      <c r="E1757">
        <v>45</v>
      </c>
      <c r="F1757">
        <v>13</v>
      </c>
      <c r="G1757">
        <v>0.2</v>
      </c>
      <c r="H1757">
        <v>468</v>
      </c>
      <c r="I1757">
        <f>AVERAGEIFS(sales_Data[units_sold], sales_Data[product_id],sales_Data[[#This Row],[product_id]])</f>
        <v>31.479452054794521</v>
      </c>
      <c r="J1757">
        <f>_xlfn.XLOOKUP(sales_Data[[#This Row],[product_id]],sales_Data[product_id],sales_Data[unit_price])</f>
        <v>45</v>
      </c>
    </row>
    <row r="1758" spans="1:10" x14ac:dyDescent="0.3">
      <c r="A1758" t="s">
        <v>1774</v>
      </c>
      <c r="B1758" s="1">
        <v>46009</v>
      </c>
      <c r="C1758" t="s">
        <v>12</v>
      </c>
      <c r="D1758" t="s">
        <v>13</v>
      </c>
      <c r="E1758">
        <v>12.5</v>
      </c>
      <c r="F1758">
        <v>16</v>
      </c>
      <c r="G1758">
        <v>0</v>
      </c>
      <c r="H1758">
        <v>200</v>
      </c>
      <c r="I1758">
        <f>AVERAGEIFS(sales_Data[units_sold], sales_Data[product_id],sales_Data[[#This Row],[product_id]])</f>
        <v>31.794520547945204</v>
      </c>
      <c r="J1758">
        <f>_xlfn.XLOOKUP(sales_Data[[#This Row],[product_id]],sales_Data[product_id],sales_Data[unit_price])</f>
        <v>12.5</v>
      </c>
    </row>
    <row r="1759" spans="1:10" x14ac:dyDescent="0.3">
      <c r="A1759" t="s">
        <v>1775</v>
      </c>
      <c r="B1759" s="1">
        <v>46009</v>
      </c>
      <c r="C1759" t="s">
        <v>15</v>
      </c>
      <c r="D1759" t="s">
        <v>16</v>
      </c>
      <c r="E1759">
        <v>35</v>
      </c>
      <c r="F1759">
        <v>37</v>
      </c>
      <c r="G1759">
        <v>0.2</v>
      </c>
      <c r="H1759">
        <v>1036</v>
      </c>
      <c r="I1759">
        <f>AVERAGEIFS(sales_Data[units_sold], sales_Data[product_id],sales_Data[[#This Row],[product_id]])</f>
        <v>30.438356164383563</v>
      </c>
      <c r="J1759">
        <f>_xlfn.XLOOKUP(sales_Data[[#This Row],[product_id]],sales_Data[product_id],sales_Data[unit_price])</f>
        <v>35</v>
      </c>
    </row>
    <row r="1760" spans="1:10" x14ac:dyDescent="0.3">
      <c r="A1760" t="s">
        <v>1776</v>
      </c>
      <c r="B1760" s="1">
        <v>46009</v>
      </c>
      <c r="C1760" t="s">
        <v>18</v>
      </c>
      <c r="D1760" t="s">
        <v>19</v>
      </c>
      <c r="E1760">
        <v>120</v>
      </c>
      <c r="F1760">
        <v>49</v>
      </c>
      <c r="G1760">
        <v>0.2</v>
      </c>
      <c r="H1760">
        <v>4704</v>
      </c>
      <c r="I1760">
        <f>AVERAGEIFS(sales_Data[units_sold], sales_Data[product_id],sales_Data[[#This Row],[product_id]])</f>
        <v>30.473972602739725</v>
      </c>
      <c r="J1760">
        <f>_xlfn.XLOOKUP(sales_Data[[#This Row],[product_id]],sales_Data[product_id],sales_Data[unit_price])</f>
        <v>120</v>
      </c>
    </row>
    <row r="1761" spans="1:10" x14ac:dyDescent="0.3">
      <c r="A1761" t="s">
        <v>1777</v>
      </c>
      <c r="B1761" s="1">
        <v>46009</v>
      </c>
      <c r="C1761" t="s">
        <v>21</v>
      </c>
      <c r="D1761" t="s">
        <v>22</v>
      </c>
      <c r="E1761">
        <v>25</v>
      </c>
      <c r="F1761">
        <v>43</v>
      </c>
      <c r="G1761">
        <v>0</v>
      </c>
      <c r="H1761">
        <v>1075</v>
      </c>
      <c r="I1761">
        <f>AVERAGEIFS(sales_Data[units_sold], sales_Data[product_id],sales_Data[[#This Row],[product_id]])</f>
        <v>29.463013698630139</v>
      </c>
      <c r="J1761">
        <f>_xlfn.XLOOKUP(sales_Data[[#This Row],[product_id]],sales_Data[product_id],sales_Data[unit_price])</f>
        <v>25</v>
      </c>
    </row>
    <row r="1762" spans="1:10" x14ac:dyDescent="0.3">
      <c r="A1762" t="s">
        <v>1778</v>
      </c>
      <c r="B1762" s="1">
        <v>46010</v>
      </c>
      <c r="C1762" t="s">
        <v>9</v>
      </c>
      <c r="D1762" t="s">
        <v>10</v>
      </c>
      <c r="E1762">
        <v>45</v>
      </c>
      <c r="F1762">
        <v>21</v>
      </c>
      <c r="G1762">
        <v>0</v>
      </c>
      <c r="H1762">
        <v>945</v>
      </c>
      <c r="I1762">
        <f>AVERAGEIFS(sales_Data[units_sold], sales_Data[product_id],sales_Data[[#This Row],[product_id]])</f>
        <v>31.479452054794521</v>
      </c>
      <c r="J1762">
        <f>_xlfn.XLOOKUP(sales_Data[[#This Row],[product_id]],sales_Data[product_id],sales_Data[unit_price])</f>
        <v>45</v>
      </c>
    </row>
    <row r="1763" spans="1:10" x14ac:dyDescent="0.3">
      <c r="A1763" t="s">
        <v>1779</v>
      </c>
      <c r="B1763" s="1">
        <v>46010</v>
      </c>
      <c r="C1763" t="s">
        <v>12</v>
      </c>
      <c r="D1763" t="s">
        <v>13</v>
      </c>
      <c r="E1763">
        <v>12.5</v>
      </c>
      <c r="F1763">
        <v>46</v>
      </c>
      <c r="G1763">
        <v>0.1</v>
      </c>
      <c r="H1763">
        <v>517.5</v>
      </c>
      <c r="I1763">
        <f>AVERAGEIFS(sales_Data[units_sold], sales_Data[product_id],sales_Data[[#This Row],[product_id]])</f>
        <v>31.794520547945204</v>
      </c>
      <c r="J1763">
        <f>_xlfn.XLOOKUP(sales_Data[[#This Row],[product_id]],sales_Data[product_id],sales_Data[unit_price])</f>
        <v>12.5</v>
      </c>
    </row>
    <row r="1764" spans="1:10" x14ac:dyDescent="0.3">
      <c r="A1764" t="s">
        <v>1780</v>
      </c>
      <c r="B1764" s="1">
        <v>46010</v>
      </c>
      <c r="C1764" t="s">
        <v>15</v>
      </c>
      <c r="D1764" t="s">
        <v>16</v>
      </c>
      <c r="E1764">
        <v>35</v>
      </c>
      <c r="F1764">
        <v>26</v>
      </c>
      <c r="G1764">
        <v>0</v>
      </c>
      <c r="H1764">
        <v>910</v>
      </c>
      <c r="I1764">
        <f>AVERAGEIFS(sales_Data[units_sold], sales_Data[product_id],sales_Data[[#This Row],[product_id]])</f>
        <v>30.438356164383563</v>
      </c>
      <c r="J1764">
        <f>_xlfn.XLOOKUP(sales_Data[[#This Row],[product_id]],sales_Data[product_id],sales_Data[unit_price])</f>
        <v>35</v>
      </c>
    </row>
    <row r="1765" spans="1:10" x14ac:dyDescent="0.3">
      <c r="A1765" t="s">
        <v>1781</v>
      </c>
      <c r="B1765" s="1">
        <v>46010</v>
      </c>
      <c r="C1765" t="s">
        <v>18</v>
      </c>
      <c r="D1765" t="s">
        <v>19</v>
      </c>
      <c r="E1765">
        <v>120</v>
      </c>
      <c r="F1765">
        <v>14</v>
      </c>
      <c r="G1765">
        <v>0.1</v>
      </c>
      <c r="H1765">
        <v>1512</v>
      </c>
      <c r="I1765">
        <f>AVERAGEIFS(sales_Data[units_sold], sales_Data[product_id],sales_Data[[#This Row],[product_id]])</f>
        <v>30.473972602739725</v>
      </c>
      <c r="J1765">
        <f>_xlfn.XLOOKUP(sales_Data[[#This Row],[product_id]],sales_Data[product_id],sales_Data[unit_price])</f>
        <v>120</v>
      </c>
    </row>
    <row r="1766" spans="1:10" x14ac:dyDescent="0.3">
      <c r="A1766" t="s">
        <v>1782</v>
      </c>
      <c r="B1766" s="1">
        <v>46010</v>
      </c>
      <c r="C1766" t="s">
        <v>21</v>
      </c>
      <c r="D1766" t="s">
        <v>22</v>
      </c>
      <c r="E1766">
        <v>25</v>
      </c>
      <c r="F1766">
        <v>15</v>
      </c>
      <c r="G1766">
        <v>0.1</v>
      </c>
      <c r="H1766">
        <v>337.5</v>
      </c>
      <c r="I1766">
        <f>AVERAGEIFS(sales_Data[units_sold], sales_Data[product_id],sales_Data[[#This Row],[product_id]])</f>
        <v>29.463013698630139</v>
      </c>
      <c r="J1766">
        <f>_xlfn.XLOOKUP(sales_Data[[#This Row],[product_id]],sales_Data[product_id],sales_Data[unit_price])</f>
        <v>25</v>
      </c>
    </row>
    <row r="1767" spans="1:10" x14ac:dyDescent="0.3">
      <c r="A1767" t="s">
        <v>1783</v>
      </c>
      <c r="B1767" s="1">
        <v>46011</v>
      </c>
      <c r="C1767" t="s">
        <v>9</v>
      </c>
      <c r="D1767" t="s">
        <v>10</v>
      </c>
      <c r="E1767">
        <v>45</v>
      </c>
      <c r="F1767">
        <v>22</v>
      </c>
      <c r="G1767">
        <v>0</v>
      </c>
      <c r="H1767">
        <v>990</v>
      </c>
      <c r="I1767">
        <f>AVERAGEIFS(sales_Data[units_sold], sales_Data[product_id],sales_Data[[#This Row],[product_id]])</f>
        <v>31.479452054794521</v>
      </c>
      <c r="J1767">
        <f>_xlfn.XLOOKUP(sales_Data[[#This Row],[product_id]],sales_Data[product_id],sales_Data[unit_price])</f>
        <v>45</v>
      </c>
    </row>
    <row r="1768" spans="1:10" x14ac:dyDescent="0.3">
      <c r="A1768" t="s">
        <v>1784</v>
      </c>
      <c r="B1768" s="1">
        <v>46011</v>
      </c>
      <c r="C1768" t="s">
        <v>12</v>
      </c>
      <c r="D1768" t="s">
        <v>13</v>
      </c>
      <c r="E1768">
        <v>12.5</v>
      </c>
      <c r="F1768">
        <v>28</v>
      </c>
      <c r="G1768">
        <v>0</v>
      </c>
      <c r="H1768">
        <v>350</v>
      </c>
      <c r="I1768">
        <f>AVERAGEIFS(sales_Data[units_sold], sales_Data[product_id],sales_Data[[#This Row],[product_id]])</f>
        <v>31.794520547945204</v>
      </c>
      <c r="J1768">
        <f>_xlfn.XLOOKUP(sales_Data[[#This Row],[product_id]],sales_Data[product_id],sales_Data[unit_price])</f>
        <v>12.5</v>
      </c>
    </row>
    <row r="1769" spans="1:10" x14ac:dyDescent="0.3">
      <c r="A1769" t="s">
        <v>1785</v>
      </c>
      <c r="B1769" s="1">
        <v>46011</v>
      </c>
      <c r="C1769" t="s">
        <v>15</v>
      </c>
      <c r="D1769" t="s">
        <v>16</v>
      </c>
      <c r="E1769">
        <v>35</v>
      </c>
      <c r="F1769">
        <v>52</v>
      </c>
      <c r="G1769">
        <v>0</v>
      </c>
      <c r="H1769">
        <v>1820</v>
      </c>
      <c r="I1769">
        <f>AVERAGEIFS(sales_Data[units_sold], sales_Data[product_id],sales_Data[[#This Row],[product_id]])</f>
        <v>30.438356164383563</v>
      </c>
      <c r="J1769">
        <f>_xlfn.XLOOKUP(sales_Data[[#This Row],[product_id]],sales_Data[product_id],sales_Data[unit_price])</f>
        <v>35</v>
      </c>
    </row>
    <row r="1770" spans="1:10" x14ac:dyDescent="0.3">
      <c r="A1770" t="s">
        <v>1786</v>
      </c>
      <c r="B1770" s="1">
        <v>46011</v>
      </c>
      <c r="C1770" t="s">
        <v>18</v>
      </c>
      <c r="D1770" t="s">
        <v>19</v>
      </c>
      <c r="E1770">
        <v>120</v>
      </c>
      <c r="F1770">
        <v>52</v>
      </c>
      <c r="G1770">
        <v>0.1</v>
      </c>
      <c r="H1770">
        <v>5616</v>
      </c>
      <c r="I1770">
        <f>AVERAGEIFS(sales_Data[units_sold], sales_Data[product_id],sales_Data[[#This Row],[product_id]])</f>
        <v>30.473972602739725</v>
      </c>
      <c r="J1770">
        <f>_xlfn.XLOOKUP(sales_Data[[#This Row],[product_id]],sales_Data[product_id],sales_Data[unit_price])</f>
        <v>120</v>
      </c>
    </row>
    <row r="1771" spans="1:10" x14ac:dyDescent="0.3">
      <c r="A1771" t="s">
        <v>1787</v>
      </c>
      <c r="B1771" s="1">
        <v>46011</v>
      </c>
      <c r="C1771" t="s">
        <v>21</v>
      </c>
      <c r="D1771" t="s">
        <v>22</v>
      </c>
      <c r="E1771">
        <v>25</v>
      </c>
      <c r="F1771">
        <v>60</v>
      </c>
      <c r="G1771">
        <v>0</v>
      </c>
      <c r="H1771">
        <v>1500</v>
      </c>
      <c r="I1771">
        <f>AVERAGEIFS(sales_Data[units_sold], sales_Data[product_id],sales_Data[[#This Row],[product_id]])</f>
        <v>29.463013698630139</v>
      </c>
      <c r="J1771">
        <f>_xlfn.XLOOKUP(sales_Data[[#This Row],[product_id]],sales_Data[product_id],sales_Data[unit_price])</f>
        <v>25</v>
      </c>
    </row>
    <row r="1772" spans="1:10" x14ac:dyDescent="0.3">
      <c r="A1772" t="s">
        <v>1788</v>
      </c>
      <c r="B1772" s="1">
        <v>46012</v>
      </c>
      <c r="C1772" t="s">
        <v>9</v>
      </c>
      <c r="D1772" t="s">
        <v>10</v>
      </c>
      <c r="E1772">
        <v>45</v>
      </c>
      <c r="F1772">
        <v>39</v>
      </c>
      <c r="G1772">
        <v>0.1</v>
      </c>
      <c r="H1772">
        <v>1579.5</v>
      </c>
      <c r="I1772">
        <f>AVERAGEIFS(sales_Data[units_sold], sales_Data[product_id],sales_Data[[#This Row],[product_id]])</f>
        <v>31.479452054794521</v>
      </c>
      <c r="J1772">
        <f>_xlfn.XLOOKUP(sales_Data[[#This Row],[product_id]],sales_Data[product_id],sales_Data[unit_price])</f>
        <v>45</v>
      </c>
    </row>
    <row r="1773" spans="1:10" x14ac:dyDescent="0.3">
      <c r="A1773" t="s">
        <v>1789</v>
      </c>
      <c r="B1773" s="1">
        <v>46012</v>
      </c>
      <c r="C1773" t="s">
        <v>12</v>
      </c>
      <c r="D1773" t="s">
        <v>13</v>
      </c>
      <c r="E1773">
        <v>12.5</v>
      </c>
      <c r="F1773">
        <v>24</v>
      </c>
      <c r="G1773">
        <v>0.1</v>
      </c>
      <c r="H1773">
        <v>270</v>
      </c>
      <c r="I1773">
        <f>AVERAGEIFS(sales_Data[units_sold], sales_Data[product_id],sales_Data[[#This Row],[product_id]])</f>
        <v>31.794520547945204</v>
      </c>
      <c r="J1773">
        <f>_xlfn.XLOOKUP(sales_Data[[#This Row],[product_id]],sales_Data[product_id],sales_Data[unit_price])</f>
        <v>12.5</v>
      </c>
    </row>
    <row r="1774" spans="1:10" x14ac:dyDescent="0.3">
      <c r="A1774" t="s">
        <v>1790</v>
      </c>
      <c r="B1774" s="1">
        <v>46012</v>
      </c>
      <c r="C1774" t="s">
        <v>15</v>
      </c>
      <c r="D1774" t="s">
        <v>16</v>
      </c>
      <c r="E1774">
        <v>35</v>
      </c>
      <c r="F1774">
        <v>10</v>
      </c>
      <c r="G1774">
        <v>0</v>
      </c>
      <c r="H1774">
        <v>350</v>
      </c>
      <c r="I1774">
        <f>AVERAGEIFS(sales_Data[units_sold], sales_Data[product_id],sales_Data[[#This Row],[product_id]])</f>
        <v>30.438356164383563</v>
      </c>
      <c r="J1774">
        <f>_xlfn.XLOOKUP(sales_Data[[#This Row],[product_id]],sales_Data[product_id],sales_Data[unit_price])</f>
        <v>35</v>
      </c>
    </row>
    <row r="1775" spans="1:10" x14ac:dyDescent="0.3">
      <c r="A1775" t="s">
        <v>1791</v>
      </c>
      <c r="B1775" s="1">
        <v>46012</v>
      </c>
      <c r="C1775" t="s">
        <v>18</v>
      </c>
      <c r="D1775" t="s">
        <v>19</v>
      </c>
      <c r="E1775">
        <v>120</v>
      </c>
      <c r="F1775">
        <v>13</v>
      </c>
      <c r="G1775">
        <v>0</v>
      </c>
      <c r="H1775">
        <v>1560</v>
      </c>
      <c r="I1775">
        <f>AVERAGEIFS(sales_Data[units_sold], sales_Data[product_id],sales_Data[[#This Row],[product_id]])</f>
        <v>30.473972602739725</v>
      </c>
      <c r="J1775">
        <f>_xlfn.XLOOKUP(sales_Data[[#This Row],[product_id]],sales_Data[product_id],sales_Data[unit_price])</f>
        <v>120</v>
      </c>
    </row>
    <row r="1776" spans="1:10" x14ac:dyDescent="0.3">
      <c r="A1776" t="s">
        <v>1792</v>
      </c>
      <c r="B1776" s="1">
        <v>46012</v>
      </c>
      <c r="C1776" t="s">
        <v>21</v>
      </c>
      <c r="D1776" t="s">
        <v>22</v>
      </c>
      <c r="E1776">
        <v>25</v>
      </c>
      <c r="F1776">
        <v>9</v>
      </c>
      <c r="G1776">
        <v>0.1</v>
      </c>
      <c r="H1776">
        <v>202.5</v>
      </c>
      <c r="I1776">
        <f>AVERAGEIFS(sales_Data[units_sold], sales_Data[product_id],sales_Data[[#This Row],[product_id]])</f>
        <v>29.463013698630139</v>
      </c>
      <c r="J1776">
        <f>_xlfn.XLOOKUP(sales_Data[[#This Row],[product_id]],sales_Data[product_id],sales_Data[unit_price])</f>
        <v>25</v>
      </c>
    </row>
    <row r="1777" spans="1:10" x14ac:dyDescent="0.3">
      <c r="A1777" t="s">
        <v>1793</v>
      </c>
      <c r="B1777" s="1">
        <v>46013</v>
      </c>
      <c r="C1777" t="s">
        <v>9</v>
      </c>
      <c r="D1777" t="s">
        <v>10</v>
      </c>
      <c r="E1777">
        <v>45</v>
      </c>
      <c r="F1777">
        <v>5</v>
      </c>
      <c r="G1777">
        <v>0</v>
      </c>
      <c r="H1777">
        <v>225</v>
      </c>
      <c r="I1777">
        <f>AVERAGEIFS(sales_Data[units_sold], sales_Data[product_id],sales_Data[[#This Row],[product_id]])</f>
        <v>31.479452054794521</v>
      </c>
      <c r="J1777">
        <f>_xlfn.XLOOKUP(sales_Data[[#This Row],[product_id]],sales_Data[product_id],sales_Data[unit_price])</f>
        <v>45</v>
      </c>
    </row>
    <row r="1778" spans="1:10" x14ac:dyDescent="0.3">
      <c r="A1778" t="s">
        <v>1794</v>
      </c>
      <c r="B1778" s="1">
        <v>46013</v>
      </c>
      <c r="C1778" t="s">
        <v>12</v>
      </c>
      <c r="D1778" t="s">
        <v>13</v>
      </c>
      <c r="E1778">
        <v>12.5</v>
      </c>
      <c r="F1778">
        <v>31</v>
      </c>
      <c r="G1778">
        <v>0</v>
      </c>
      <c r="H1778">
        <v>387.5</v>
      </c>
      <c r="I1778">
        <f>AVERAGEIFS(sales_Data[units_sold], sales_Data[product_id],sales_Data[[#This Row],[product_id]])</f>
        <v>31.794520547945204</v>
      </c>
      <c r="J1778">
        <f>_xlfn.XLOOKUP(sales_Data[[#This Row],[product_id]],sales_Data[product_id],sales_Data[unit_price])</f>
        <v>12.5</v>
      </c>
    </row>
    <row r="1779" spans="1:10" x14ac:dyDescent="0.3">
      <c r="A1779" t="s">
        <v>1795</v>
      </c>
      <c r="B1779" s="1">
        <v>46013</v>
      </c>
      <c r="C1779" t="s">
        <v>15</v>
      </c>
      <c r="D1779" t="s">
        <v>16</v>
      </c>
      <c r="E1779">
        <v>35</v>
      </c>
      <c r="F1779">
        <v>42</v>
      </c>
      <c r="G1779">
        <v>0</v>
      </c>
      <c r="H1779">
        <v>1470</v>
      </c>
      <c r="I1779">
        <f>AVERAGEIFS(sales_Data[units_sold], sales_Data[product_id],sales_Data[[#This Row],[product_id]])</f>
        <v>30.438356164383563</v>
      </c>
      <c r="J1779">
        <f>_xlfn.XLOOKUP(sales_Data[[#This Row],[product_id]],sales_Data[product_id],sales_Data[unit_price])</f>
        <v>35</v>
      </c>
    </row>
    <row r="1780" spans="1:10" x14ac:dyDescent="0.3">
      <c r="A1780" t="s">
        <v>1796</v>
      </c>
      <c r="B1780" s="1">
        <v>46013</v>
      </c>
      <c r="C1780" t="s">
        <v>18</v>
      </c>
      <c r="D1780" t="s">
        <v>19</v>
      </c>
      <c r="E1780">
        <v>120</v>
      </c>
      <c r="F1780">
        <v>12</v>
      </c>
      <c r="G1780">
        <v>0</v>
      </c>
      <c r="H1780">
        <v>1440</v>
      </c>
      <c r="I1780">
        <f>AVERAGEIFS(sales_Data[units_sold], sales_Data[product_id],sales_Data[[#This Row],[product_id]])</f>
        <v>30.473972602739725</v>
      </c>
      <c r="J1780">
        <f>_xlfn.XLOOKUP(sales_Data[[#This Row],[product_id]],sales_Data[product_id],sales_Data[unit_price])</f>
        <v>120</v>
      </c>
    </row>
    <row r="1781" spans="1:10" x14ac:dyDescent="0.3">
      <c r="A1781" t="s">
        <v>1797</v>
      </c>
      <c r="B1781" s="1">
        <v>46013</v>
      </c>
      <c r="C1781" t="s">
        <v>21</v>
      </c>
      <c r="D1781" t="s">
        <v>22</v>
      </c>
      <c r="E1781">
        <v>25</v>
      </c>
      <c r="F1781">
        <v>32</v>
      </c>
      <c r="G1781">
        <v>0.1</v>
      </c>
      <c r="H1781">
        <v>720</v>
      </c>
      <c r="I1781">
        <f>AVERAGEIFS(sales_Data[units_sold], sales_Data[product_id],sales_Data[[#This Row],[product_id]])</f>
        <v>29.463013698630139</v>
      </c>
      <c r="J1781">
        <f>_xlfn.XLOOKUP(sales_Data[[#This Row],[product_id]],sales_Data[product_id],sales_Data[unit_price])</f>
        <v>25</v>
      </c>
    </row>
    <row r="1782" spans="1:10" x14ac:dyDescent="0.3">
      <c r="A1782" t="s">
        <v>1798</v>
      </c>
      <c r="B1782" s="1">
        <v>46014</v>
      </c>
      <c r="C1782" t="s">
        <v>9</v>
      </c>
      <c r="D1782" t="s">
        <v>10</v>
      </c>
      <c r="E1782">
        <v>45</v>
      </c>
      <c r="F1782">
        <v>28</v>
      </c>
      <c r="G1782">
        <v>0</v>
      </c>
      <c r="H1782">
        <v>1260</v>
      </c>
      <c r="I1782">
        <f>AVERAGEIFS(sales_Data[units_sold], sales_Data[product_id],sales_Data[[#This Row],[product_id]])</f>
        <v>31.479452054794521</v>
      </c>
      <c r="J1782">
        <f>_xlfn.XLOOKUP(sales_Data[[#This Row],[product_id]],sales_Data[product_id],sales_Data[unit_price])</f>
        <v>45</v>
      </c>
    </row>
    <row r="1783" spans="1:10" x14ac:dyDescent="0.3">
      <c r="A1783" t="s">
        <v>1799</v>
      </c>
      <c r="B1783" s="1">
        <v>46014</v>
      </c>
      <c r="C1783" t="s">
        <v>12</v>
      </c>
      <c r="D1783" t="s">
        <v>13</v>
      </c>
      <c r="E1783">
        <v>12.5</v>
      </c>
      <c r="F1783">
        <v>37</v>
      </c>
      <c r="G1783">
        <v>0</v>
      </c>
      <c r="H1783">
        <v>462.5</v>
      </c>
      <c r="I1783">
        <f>AVERAGEIFS(sales_Data[units_sold], sales_Data[product_id],sales_Data[[#This Row],[product_id]])</f>
        <v>31.794520547945204</v>
      </c>
      <c r="J1783">
        <f>_xlfn.XLOOKUP(sales_Data[[#This Row],[product_id]],sales_Data[product_id],sales_Data[unit_price])</f>
        <v>12.5</v>
      </c>
    </row>
    <row r="1784" spans="1:10" x14ac:dyDescent="0.3">
      <c r="A1784" t="s">
        <v>1800</v>
      </c>
      <c r="B1784" s="1">
        <v>46014</v>
      </c>
      <c r="C1784" t="s">
        <v>15</v>
      </c>
      <c r="D1784" t="s">
        <v>16</v>
      </c>
      <c r="E1784">
        <v>35</v>
      </c>
      <c r="F1784">
        <v>12</v>
      </c>
      <c r="G1784">
        <v>0</v>
      </c>
      <c r="H1784">
        <v>420</v>
      </c>
      <c r="I1784">
        <f>AVERAGEIFS(sales_Data[units_sold], sales_Data[product_id],sales_Data[[#This Row],[product_id]])</f>
        <v>30.438356164383563</v>
      </c>
      <c r="J1784">
        <f>_xlfn.XLOOKUP(sales_Data[[#This Row],[product_id]],sales_Data[product_id],sales_Data[unit_price])</f>
        <v>35</v>
      </c>
    </row>
    <row r="1785" spans="1:10" x14ac:dyDescent="0.3">
      <c r="A1785" t="s">
        <v>1801</v>
      </c>
      <c r="B1785" s="1">
        <v>46014</v>
      </c>
      <c r="C1785" t="s">
        <v>18</v>
      </c>
      <c r="D1785" t="s">
        <v>19</v>
      </c>
      <c r="E1785">
        <v>120</v>
      </c>
      <c r="F1785">
        <v>20</v>
      </c>
      <c r="G1785">
        <v>0</v>
      </c>
      <c r="H1785">
        <v>2400</v>
      </c>
      <c r="I1785">
        <f>AVERAGEIFS(sales_Data[units_sold], sales_Data[product_id],sales_Data[[#This Row],[product_id]])</f>
        <v>30.473972602739725</v>
      </c>
      <c r="J1785">
        <f>_xlfn.XLOOKUP(sales_Data[[#This Row],[product_id]],sales_Data[product_id],sales_Data[unit_price])</f>
        <v>120</v>
      </c>
    </row>
    <row r="1786" spans="1:10" x14ac:dyDescent="0.3">
      <c r="A1786" t="s">
        <v>1802</v>
      </c>
      <c r="B1786" s="1">
        <v>46014</v>
      </c>
      <c r="C1786" t="s">
        <v>21</v>
      </c>
      <c r="D1786" t="s">
        <v>22</v>
      </c>
      <c r="E1786">
        <v>25</v>
      </c>
      <c r="F1786">
        <v>27</v>
      </c>
      <c r="G1786">
        <v>0</v>
      </c>
      <c r="H1786">
        <v>675</v>
      </c>
      <c r="I1786">
        <f>AVERAGEIFS(sales_Data[units_sold], sales_Data[product_id],sales_Data[[#This Row],[product_id]])</f>
        <v>29.463013698630139</v>
      </c>
      <c r="J1786">
        <f>_xlfn.XLOOKUP(sales_Data[[#This Row],[product_id]],sales_Data[product_id],sales_Data[unit_price])</f>
        <v>25</v>
      </c>
    </row>
    <row r="1787" spans="1:10" x14ac:dyDescent="0.3">
      <c r="A1787" t="s">
        <v>1803</v>
      </c>
      <c r="B1787" s="1">
        <v>46015</v>
      </c>
      <c r="C1787" t="s">
        <v>9</v>
      </c>
      <c r="D1787" t="s">
        <v>10</v>
      </c>
      <c r="E1787">
        <v>45</v>
      </c>
      <c r="F1787">
        <v>8</v>
      </c>
      <c r="G1787">
        <v>0.1</v>
      </c>
      <c r="H1787">
        <v>324</v>
      </c>
      <c r="I1787">
        <f>AVERAGEIFS(sales_Data[units_sold], sales_Data[product_id],sales_Data[[#This Row],[product_id]])</f>
        <v>31.479452054794521</v>
      </c>
      <c r="J1787">
        <f>_xlfn.XLOOKUP(sales_Data[[#This Row],[product_id]],sales_Data[product_id],sales_Data[unit_price])</f>
        <v>45</v>
      </c>
    </row>
    <row r="1788" spans="1:10" x14ac:dyDescent="0.3">
      <c r="A1788" t="s">
        <v>1804</v>
      </c>
      <c r="B1788" s="1">
        <v>46015</v>
      </c>
      <c r="C1788" t="s">
        <v>12</v>
      </c>
      <c r="D1788" t="s">
        <v>13</v>
      </c>
      <c r="E1788">
        <v>12.5</v>
      </c>
      <c r="F1788">
        <v>45</v>
      </c>
      <c r="G1788">
        <v>0</v>
      </c>
      <c r="H1788">
        <v>562.5</v>
      </c>
      <c r="I1788">
        <f>AVERAGEIFS(sales_Data[units_sold], sales_Data[product_id],sales_Data[[#This Row],[product_id]])</f>
        <v>31.794520547945204</v>
      </c>
      <c r="J1788">
        <f>_xlfn.XLOOKUP(sales_Data[[#This Row],[product_id]],sales_Data[product_id],sales_Data[unit_price])</f>
        <v>12.5</v>
      </c>
    </row>
    <row r="1789" spans="1:10" x14ac:dyDescent="0.3">
      <c r="A1789" t="s">
        <v>1805</v>
      </c>
      <c r="B1789" s="1">
        <v>46015</v>
      </c>
      <c r="C1789" t="s">
        <v>15</v>
      </c>
      <c r="D1789" t="s">
        <v>16</v>
      </c>
      <c r="E1789">
        <v>35</v>
      </c>
      <c r="F1789">
        <v>21</v>
      </c>
      <c r="G1789">
        <v>0.2</v>
      </c>
      <c r="H1789">
        <v>588</v>
      </c>
      <c r="I1789">
        <f>AVERAGEIFS(sales_Data[units_sold], sales_Data[product_id],sales_Data[[#This Row],[product_id]])</f>
        <v>30.438356164383563</v>
      </c>
      <c r="J1789">
        <f>_xlfn.XLOOKUP(sales_Data[[#This Row],[product_id]],sales_Data[product_id],sales_Data[unit_price])</f>
        <v>35</v>
      </c>
    </row>
    <row r="1790" spans="1:10" x14ac:dyDescent="0.3">
      <c r="A1790" t="s">
        <v>1806</v>
      </c>
      <c r="B1790" s="1">
        <v>46015</v>
      </c>
      <c r="C1790" t="s">
        <v>18</v>
      </c>
      <c r="D1790" t="s">
        <v>19</v>
      </c>
      <c r="E1790">
        <v>120</v>
      </c>
      <c r="F1790">
        <v>22</v>
      </c>
      <c r="G1790">
        <v>0</v>
      </c>
      <c r="H1790">
        <v>2640</v>
      </c>
      <c r="I1790">
        <f>AVERAGEIFS(sales_Data[units_sold], sales_Data[product_id],sales_Data[[#This Row],[product_id]])</f>
        <v>30.473972602739725</v>
      </c>
      <c r="J1790">
        <f>_xlfn.XLOOKUP(sales_Data[[#This Row],[product_id]],sales_Data[product_id],sales_Data[unit_price])</f>
        <v>120</v>
      </c>
    </row>
    <row r="1791" spans="1:10" x14ac:dyDescent="0.3">
      <c r="A1791" t="s">
        <v>1807</v>
      </c>
      <c r="B1791" s="1">
        <v>46015</v>
      </c>
      <c r="C1791" t="s">
        <v>21</v>
      </c>
      <c r="D1791" t="s">
        <v>22</v>
      </c>
      <c r="E1791">
        <v>25</v>
      </c>
      <c r="F1791">
        <v>32</v>
      </c>
      <c r="G1791">
        <v>0</v>
      </c>
      <c r="H1791">
        <v>800</v>
      </c>
      <c r="I1791">
        <f>AVERAGEIFS(sales_Data[units_sold], sales_Data[product_id],sales_Data[[#This Row],[product_id]])</f>
        <v>29.463013698630139</v>
      </c>
      <c r="J1791">
        <f>_xlfn.XLOOKUP(sales_Data[[#This Row],[product_id]],sales_Data[product_id],sales_Data[unit_price])</f>
        <v>25</v>
      </c>
    </row>
    <row r="1792" spans="1:10" x14ac:dyDescent="0.3">
      <c r="A1792" t="s">
        <v>1808</v>
      </c>
      <c r="B1792" s="1">
        <v>46016</v>
      </c>
      <c r="C1792" t="s">
        <v>9</v>
      </c>
      <c r="D1792" t="s">
        <v>10</v>
      </c>
      <c r="E1792">
        <v>45</v>
      </c>
      <c r="F1792">
        <v>7</v>
      </c>
      <c r="G1792">
        <v>0</v>
      </c>
      <c r="H1792">
        <v>315</v>
      </c>
      <c r="I1792">
        <f>AVERAGEIFS(sales_Data[units_sold], sales_Data[product_id],sales_Data[[#This Row],[product_id]])</f>
        <v>31.479452054794521</v>
      </c>
      <c r="J1792">
        <f>_xlfn.XLOOKUP(sales_Data[[#This Row],[product_id]],sales_Data[product_id],sales_Data[unit_price])</f>
        <v>45</v>
      </c>
    </row>
    <row r="1793" spans="1:10" x14ac:dyDescent="0.3">
      <c r="A1793" t="s">
        <v>1809</v>
      </c>
      <c r="B1793" s="1">
        <v>46016</v>
      </c>
      <c r="C1793" t="s">
        <v>12</v>
      </c>
      <c r="D1793" t="s">
        <v>13</v>
      </c>
      <c r="E1793">
        <v>12.5</v>
      </c>
      <c r="F1793">
        <v>19</v>
      </c>
      <c r="G1793">
        <v>0</v>
      </c>
      <c r="H1793">
        <v>237.5</v>
      </c>
      <c r="I1793">
        <f>AVERAGEIFS(sales_Data[units_sold], sales_Data[product_id],sales_Data[[#This Row],[product_id]])</f>
        <v>31.794520547945204</v>
      </c>
      <c r="J1793">
        <f>_xlfn.XLOOKUP(sales_Data[[#This Row],[product_id]],sales_Data[product_id],sales_Data[unit_price])</f>
        <v>12.5</v>
      </c>
    </row>
    <row r="1794" spans="1:10" x14ac:dyDescent="0.3">
      <c r="A1794" t="s">
        <v>1810</v>
      </c>
      <c r="B1794" s="1">
        <v>46016</v>
      </c>
      <c r="C1794" t="s">
        <v>15</v>
      </c>
      <c r="D1794" t="s">
        <v>16</v>
      </c>
      <c r="E1794">
        <v>35</v>
      </c>
      <c r="F1794">
        <v>31</v>
      </c>
      <c r="G1794">
        <v>0</v>
      </c>
      <c r="H1794">
        <v>1085</v>
      </c>
      <c r="I1794">
        <f>AVERAGEIFS(sales_Data[units_sold], sales_Data[product_id],sales_Data[[#This Row],[product_id]])</f>
        <v>30.438356164383563</v>
      </c>
      <c r="J1794">
        <f>_xlfn.XLOOKUP(sales_Data[[#This Row],[product_id]],sales_Data[product_id],sales_Data[unit_price])</f>
        <v>35</v>
      </c>
    </row>
    <row r="1795" spans="1:10" x14ac:dyDescent="0.3">
      <c r="A1795" t="s">
        <v>1811</v>
      </c>
      <c r="B1795" s="1">
        <v>46016</v>
      </c>
      <c r="C1795" t="s">
        <v>18</v>
      </c>
      <c r="D1795" t="s">
        <v>19</v>
      </c>
      <c r="E1795">
        <v>120</v>
      </c>
      <c r="F1795">
        <v>16</v>
      </c>
      <c r="G1795">
        <v>0.2</v>
      </c>
      <c r="H1795">
        <v>1536</v>
      </c>
      <c r="I1795">
        <f>AVERAGEIFS(sales_Data[units_sold], sales_Data[product_id],sales_Data[[#This Row],[product_id]])</f>
        <v>30.473972602739725</v>
      </c>
      <c r="J1795">
        <f>_xlfn.XLOOKUP(sales_Data[[#This Row],[product_id]],sales_Data[product_id],sales_Data[unit_price])</f>
        <v>120</v>
      </c>
    </row>
    <row r="1796" spans="1:10" x14ac:dyDescent="0.3">
      <c r="A1796" t="s">
        <v>1812</v>
      </c>
      <c r="B1796" s="1">
        <v>46016</v>
      </c>
      <c r="C1796" t="s">
        <v>21</v>
      </c>
      <c r="D1796" t="s">
        <v>22</v>
      </c>
      <c r="E1796">
        <v>25</v>
      </c>
      <c r="F1796">
        <v>29</v>
      </c>
      <c r="G1796">
        <v>0.2</v>
      </c>
      <c r="H1796">
        <v>580</v>
      </c>
      <c r="I1796">
        <f>AVERAGEIFS(sales_Data[units_sold], sales_Data[product_id],sales_Data[[#This Row],[product_id]])</f>
        <v>29.463013698630139</v>
      </c>
      <c r="J1796">
        <f>_xlfn.XLOOKUP(sales_Data[[#This Row],[product_id]],sales_Data[product_id],sales_Data[unit_price])</f>
        <v>25</v>
      </c>
    </row>
    <row r="1797" spans="1:10" x14ac:dyDescent="0.3">
      <c r="A1797" t="s">
        <v>1813</v>
      </c>
      <c r="B1797" s="1">
        <v>46017</v>
      </c>
      <c r="C1797" t="s">
        <v>9</v>
      </c>
      <c r="D1797" t="s">
        <v>10</v>
      </c>
      <c r="E1797">
        <v>45</v>
      </c>
      <c r="F1797">
        <v>14</v>
      </c>
      <c r="G1797">
        <v>0</v>
      </c>
      <c r="H1797">
        <v>630</v>
      </c>
      <c r="I1797">
        <f>AVERAGEIFS(sales_Data[units_sold], sales_Data[product_id],sales_Data[[#This Row],[product_id]])</f>
        <v>31.479452054794521</v>
      </c>
      <c r="J1797">
        <f>_xlfn.XLOOKUP(sales_Data[[#This Row],[product_id]],sales_Data[product_id],sales_Data[unit_price])</f>
        <v>45</v>
      </c>
    </row>
    <row r="1798" spans="1:10" x14ac:dyDescent="0.3">
      <c r="A1798" t="s">
        <v>1814</v>
      </c>
      <c r="B1798" s="1">
        <v>46017</v>
      </c>
      <c r="C1798" t="s">
        <v>12</v>
      </c>
      <c r="D1798" t="s">
        <v>13</v>
      </c>
      <c r="E1798">
        <v>12.5</v>
      </c>
      <c r="F1798">
        <v>10</v>
      </c>
      <c r="G1798">
        <v>0.1</v>
      </c>
      <c r="H1798">
        <v>112.5</v>
      </c>
      <c r="I1798">
        <f>AVERAGEIFS(sales_Data[units_sold], sales_Data[product_id],sales_Data[[#This Row],[product_id]])</f>
        <v>31.794520547945204</v>
      </c>
      <c r="J1798">
        <f>_xlfn.XLOOKUP(sales_Data[[#This Row],[product_id]],sales_Data[product_id],sales_Data[unit_price])</f>
        <v>12.5</v>
      </c>
    </row>
    <row r="1799" spans="1:10" x14ac:dyDescent="0.3">
      <c r="A1799" t="s">
        <v>1815</v>
      </c>
      <c r="B1799" s="1">
        <v>46017</v>
      </c>
      <c r="C1799" t="s">
        <v>15</v>
      </c>
      <c r="D1799" t="s">
        <v>16</v>
      </c>
      <c r="E1799">
        <v>35</v>
      </c>
      <c r="F1799">
        <v>49</v>
      </c>
      <c r="G1799">
        <v>0</v>
      </c>
      <c r="H1799">
        <v>1715</v>
      </c>
      <c r="I1799">
        <f>AVERAGEIFS(sales_Data[units_sold], sales_Data[product_id],sales_Data[[#This Row],[product_id]])</f>
        <v>30.438356164383563</v>
      </c>
      <c r="J1799">
        <f>_xlfn.XLOOKUP(sales_Data[[#This Row],[product_id]],sales_Data[product_id],sales_Data[unit_price])</f>
        <v>35</v>
      </c>
    </row>
    <row r="1800" spans="1:10" x14ac:dyDescent="0.3">
      <c r="A1800" t="s">
        <v>1816</v>
      </c>
      <c r="B1800" s="1">
        <v>46017</v>
      </c>
      <c r="C1800" t="s">
        <v>18</v>
      </c>
      <c r="D1800" t="s">
        <v>19</v>
      </c>
      <c r="E1800">
        <v>120</v>
      </c>
      <c r="F1800">
        <v>8</v>
      </c>
      <c r="G1800">
        <v>0</v>
      </c>
      <c r="H1800">
        <v>960</v>
      </c>
      <c r="I1800">
        <f>AVERAGEIFS(sales_Data[units_sold], sales_Data[product_id],sales_Data[[#This Row],[product_id]])</f>
        <v>30.473972602739725</v>
      </c>
      <c r="J1800">
        <f>_xlfn.XLOOKUP(sales_Data[[#This Row],[product_id]],sales_Data[product_id],sales_Data[unit_price])</f>
        <v>120</v>
      </c>
    </row>
    <row r="1801" spans="1:10" x14ac:dyDescent="0.3">
      <c r="A1801" t="s">
        <v>1817</v>
      </c>
      <c r="B1801" s="1">
        <v>46017</v>
      </c>
      <c r="C1801" t="s">
        <v>21</v>
      </c>
      <c r="D1801" t="s">
        <v>22</v>
      </c>
      <c r="E1801">
        <v>25</v>
      </c>
      <c r="F1801">
        <v>27</v>
      </c>
      <c r="G1801">
        <v>0</v>
      </c>
      <c r="H1801">
        <v>675</v>
      </c>
      <c r="I1801">
        <f>AVERAGEIFS(sales_Data[units_sold], sales_Data[product_id],sales_Data[[#This Row],[product_id]])</f>
        <v>29.463013698630139</v>
      </c>
      <c r="J1801">
        <f>_xlfn.XLOOKUP(sales_Data[[#This Row],[product_id]],sales_Data[product_id],sales_Data[unit_price])</f>
        <v>25</v>
      </c>
    </row>
    <row r="1802" spans="1:10" x14ac:dyDescent="0.3">
      <c r="A1802" t="s">
        <v>1818</v>
      </c>
      <c r="B1802" s="1">
        <v>46018</v>
      </c>
      <c r="C1802" t="s">
        <v>9</v>
      </c>
      <c r="D1802" t="s">
        <v>10</v>
      </c>
      <c r="E1802">
        <v>45</v>
      </c>
      <c r="F1802">
        <v>42</v>
      </c>
      <c r="G1802">
        <v>0</v>
      </c>
      <c r="H1802">
        <v>1890</v>
      </c>
      <c r="I1802">
        <f>AVERAGEIFS(sales_Data[units_sold], sales_Data[product_id],sales_Data[[#This Row],[product_id]])</f>
        <v>31.479452054794521</v>
      </c>
      <c r="J1802">
        <f>_xlfn.XLOOKUP(sales_Data[[#This Row],[product_id]],sales_Data[product_id],sales_Data[unit_price])</f>
        <v>45</v>
      </c>
    </row>
    <row r="1803" spans="1:10" x14ac:dyDescent="0.3">
      <c r="A1803" t="s">
        <v>1819</v>
      </c>
      <c r="B1803" s="1">
        <v>46018</v>
      </c>
      <c r="C1803" t="s">
        <v>12</v>
      </c>
      <c r="D1803" t="s">
        <v>13</v>
      </c>
      <c r="E1803">
        <v>12.5</v>
      </c>
      <c r="F1803">
        <v>64</v>
      </c>
      <c r="G1803">
        <v>0</v>
      </c>
      <c r="H1803">
        <v>800</v>
      </c>
      <c r="I1803">
        <f>AVERAGEIFS(sales_Data[units_sold], sales_Data[product_id],sales_Data[[#This Row],[product_id]])</f>
        <v>31.794520547945204</v>
      </c>
      <c r="J1803">
        <f>_xlfn.XLOOKUP(sales_Data[[#This Row],[product_id]],sales_Data[product_id],sales_Data[unit_price])</f>
        <v>12.5</v>
      </c>
    </row>
    <row r="1804" spans="1:10" x14ac:dyDescent="0.3">
      <c r="A1804" t="s">
        <v>1820</v>
      </c>
      <c r="B1804" s="1">
        <v>46018</v>
      </c>
      <c r="C1804" t="s">
        <v>15</v>
      </c>
      <c r="D1804" t="s">
        <v>16</v>
      </c>
      <c r="E1804">
        <v>35</v>
      </c>
      <c r="F1804">
        <v>37</v>
      </c>
      <c r="G1804">
        <v>0.1</v>
      </c>
      <c r="H1804">
        <v>1165.5</v>
      </c>
      <c r="I1804">
        <f>AVERAGEIFS(sales_Data[units_sold], sales_Data[product_id],sales_Data[[#This Row],[product_id]])</f>
        <v>30.438356164383563</v>
      </c>
      <c r="J1804">
        <f>_xlfn.XLOOKUP(sales_Data[[#This Row],[product_id]],sales_Data[product_id],sales_Data[unit_price])</f>
        <v>35</v>
      </c>
    </row>
    <row r="1805" spans="1:10" x14ac:dyDescent="0.3">
      <c r="A1805" t="s">
        <v>1821</v>
      </c>
      <c r="B1805" s="1">
        <v>46018</v>
      </c>
      <c r="C1805" t="s">
        <v>18</v>
      </c>
      <c r="D1805" t="s">
        <v>19</v>
      </c>
      <c r="E1805">
        <v>120</v>
      </c>
      <c r="F1805">
        <v>25</v>
      </c>
      <c r="G1805">
        <v>0</v>
      </c>
      <c r="H1805">
        <v>3000</v>
      </c>
      <c r="I1805">
        <f>AVERAGEIFS(sales_Data[units_sold], sales_Data[product_id],sales_Data[[#This Row],[product_id]])</f>
        <v>30.473972602739725</v>
      </c>
      <c r="J1805">
        <f>_xlfn.XLOOKUP(sales_Data[[#This Row],[product_id]],sales_Data[product_id],sales_Data[unit_price])</f>
        <v>120</v>
      </c>
    </row>
    <row r="1806" spans="1:10" x14ac:dyDescent="0.3">
      <c r="A1806" t="s">
        <v>1822</v>
      </c>
      <c r="B1806" s="1">
        <v>46018</v>
      </c>
      <c r="C1806" t="s">
        <v>21</v>
      </c>
      <c r="D1806" t="s">
        <v>22</v>
      </c>
      <c r="E1806">
        <v>25</v>
      </c>
      <c r="F1806">
        <v>13</v>
      </c>
      <c r="G1806">
        <v>0.1</v>
      </c>
      <c r="H1806">
        <v>292.5</v>
      </c>
      <c r="I1806">
        <f>AVERAGEIFS(sales_Data[units_sold], sales_Data[product_id],sales_Data[[#This Row],[product_id]])</f>
        <v>29.463013698630139</v>
      </c>
      <c r="J1806">
        <f>_xlfn.XLOOKUP(sales_Data[[#This Row],[product_id]],sales_Data[product_id],sales_Data[unit_price])</f>
        <v>25</v>
      </c>
    </row>
    <row r="1807" spans="1:10" x14ac:dyDescent="0.3">
      <c r="A1807" t="s">
        <v>1823</v>
      </c>
      <c r="B1807" s="1">
        <v>46019</v>
      </c>
      <c r="C1807" t="s">
        <v>9</v>
      </c>
      <c r="D1807" t="s">
        <v>10</v>
      </c>
      <c r="E1807">
        <v>45</v>
      </c>
      <c r="F1807">
        <v>67</v>
      </c>
      <c r="G1807">
        <v>0.1</v>
      </c>
      <c r="H1807">
        <v>2713.5</v>
      </c>
      <c r="I1807">
        <f>AVERAGEIFS(sales_Data[units_sold], sales_Data[product_id],sales_Data[[#This Row],[product_id]])</f>
        <v>31.479452054794521</v>
      </c>
      <c r="J1807">
        <f>_xlfn.XLOOKUP(sales_Data[[#This Row],[product_id]],sales_Data[product_id],sales_Data[unit_price])</f>
        <v>45</v>
      </c>
    </row>
    <row r="1808" spans="1:10" x14ac:dyDescent="0.3">
      <c r="A1808" t="s">
        <v>1824</v>
      </c>
      <c r="B1808" s="1">
        <v>46019</v>
      </c>
      <c r="C1808" t="s">
        <v>12</v>
      </c>
      <c r="D1808" t="s">
        <v>13</v>
      </c>
      <c r="E1808">
        <v>12.5</v>
      </c>
      <c r="F1808">
        <v>39</v>
      </c>
      <c r="G1808">
        <v>0.1</v>
      </c>
      <c r="H1808">
        <v>438.75</v>
      </c>
      <c r="I1808">
        <f>AVERAGEIFS(sales_Data[units_sold], sales_Data[product_id],sales_Data[[#This Row],[product_id]])</f>
        <v>31.794520547945204</v>
      </c>
      <c r="J1808">
        <f>_xlfn.XLOOKUP(sales_Data[[#This Row],[product_id]],sales_Data[product_id],sales_Data[unit_price])</f>
        <v>12.5</v>
      </c>
    </row>
    <row r="1809" spans="1:10" x14ac:dyDescent="0.3">
      <c r="A1809" t="s">
        <v>1825</v>
      </c>
      <c r="B1809" s="1">
        <v>46019</v>
      </c>
      <c r="C1809" t="s">
        <v>15</v>
      </c>
      <c r="D1809" t="s">
        <v>16</v>
      </c>
      <c r="E1809">
        <v>35</v>
      </c>
      <c r="F1809">
        <v>37</v>
      </c>
      <c r="G1809">
        <v>0.1</v>
      </c>
      <c r="H1809">
        <v>1165.5</v>
      </c>
      <c r="I1809">
        <f>AVERAGEIFS(sales_Data[units_sold], sales_Data[product_id],sales_Data[[#This Row],[product_id]])</f>
        <v>30.438356164383563</v>
      </c>
      <c r="J1809">
        <f>_xlfn.XLOOKUP(sales_Data[[#This Row],[product_id]],sales_Data[product_id],sales_Data[unit_price])</f>
        <v>35</v>
      </c>
    </row>
    <row r="1810" spans="1:10" x14ac:dyDescent="0.3">
      <c r="A1810" t="s">
        <v>1826</v>
      </c>
      <c r="B1810" s="1">
        <v>46019</v>
      </c>
      <c r="C1810" t="s">
        <v>18</v>
      </c>
      <c r="D1810" t="s">
        <v>19</v>
      </c>
      <c r="E1810">
        <v>120</v>
      </c>
      <c r="F1810">
        <v>70</v>
      </c>
      <c r="G1810">
        <v>0</v>
      </c>
      <c r="H1810">
        <v>8400</v>
      </c>
      <c r="I1810">
        <f>AVERAGEIFS(sales_Data[units_sold], sales_Data[product_id],sales_Data[[#This Row],[product_id]])</f>
        <v>30.473972602739725</v>
      </c>
      <c r="J1810">
        <f>_xlfn.XLOOKUP(sales_Data[[#This Row],[product_id]],sales_Data[product_id],sales_Data[unit_price])</f>
        <v>120</v>
      </c>
    </row>
    <row r="1811" spans="1:10" x14ac:dyDescent="0.3">
      <c r="A1811" t="s">
        <v>1827</v>
      </c>
      <c r="B1811" s="1">
        <v>46019</v>
      </c>
      <c r="C1811" t="s">
        <v>21</v>
      </c>
      <c r="D1811" t="s">
        <v>22</v>
      </c>
      <c r="E1811">
        <v>25</v>
      </c>
      <c r="F1811">
        <v>52</v>
      </c>
      <c r="G1811">
        <v>0</v>
      </c>
      <c r="H1811">
        <v>1300</v>
      </c>
      <c r="I1811">
        <f>AVERAGEIFS(sales_Data[units_sold], sales_Data[product_id],sales_Data[[#This Row],[product_id]])</f>
        <v>29.463013698630139</v>
      </c>
      <c r="J1811">
        <f>_xlfn.XLOOKUP(sales_Data[[#This Row],[product_id]],sales_Data[product_id],sales_Data[unit_price])</f>
        <v>25</v>
      </c>
    </row>
    <row r="1812" spans="1:10" x14ac:dyDescent="0.3">
      <c r="A1812" t="s">
        <v>1828</v>
      </c>
      <c r="B1812" s="1">
        <v>46020</v>
      </c>
      <c r="C1812" t="s">
        <v>9</v>
      </c>
      <c r="D1812" t="s">
        <v>10</v>
      </c>
      <c r="E1812">
        <v>45</v>
      </c>
      <c r="F1812">
        <v>44</v>
      </c>
      <c r="G1812">
        <v>0</v>
      </c>
      <c r="H1812">
        <v>1980</v>
      </c>
      <c r="I1812">
        <f>AVERAGEIFS(sales_Data[units_sold], sales_Data[product_id],sales_Data[[#This Row],[product_id]])</f>
        <v>31.479452054794521</v>
      </c>
      <c r="J1812">
        <f>_xlfn.XLOOKUP(sales_Data[[#This Row],[product_id]],sales_Data[product_id],sales_Data[unit_price])</f>
        <v>45</v>
      </c>
    </row>
    <row r="1813" spans="1:10" x14ac:dyDescent="0.3">
      <c r="A1813" t="s">
        <v>1829</v>
      </c>
      <c r="B1813" s="1">
        <v>46020</v>
      </c>
      <c r="C1813" t="s">
        <v>12</v>
      </c>
      <c r="D1813" t="s">
        <v>13</v>
      </c>
      <c r="E1813">
        <v>12.5</v>
      </c>
      <c r="F1813">
        <v>38</v>
      </c>
      <c r="G1813">
        <v>0.1</v>
      </c>
      <c r="H1813">
        <v>427.5</v>
      </c>
      <c r="I1813">
        <f>AVERAGEIFS(sales_Data[units_sold], sales_Data[product_id],sales_Data[[#This Row],[product_id]])</f>
        <v>31.794520547945204</v>
      </c>
      <c r="J1813">
        <f>_xlfn.XLOOKUP(sales_Data[[#This Row],[product_id]],sales_Data[product_id],sales_Data[unit_price])</f>
        <v>12.5</v>
      </c>
    </row>
    <row r="1814" spans="1:10" x14ac:dyDescent="0.3">
      <c r="A1814" t="s">
        <v>1830</v>
      </c>
      <c r="B1814" s="1">
        <v>46020</v>
      </c>
      <c r="C1814" t="s">
        <v>15</v>
      </c>
      <c r="D1814" t="s">
        <v>16</v>
      </c>
      <c r="E1814">
        <v>35</v>
      </c>
      <c r="F1814">
        <v>13</v>
      </c>
      <c r="G1814">
        <v>0</v>
      </c>
      <c r="H1814">
        <v>455</v>
      </c>
      <c r="I1814">
        <f>AVERAGEIFS(sales_Data[units_sold], sales_Data[product_id],sales_Data[[#This Row],[product_id]])</f>
        <v>30.438356164383563</v>
      </c>
      <c r="J1814">
        <f>_xlfn.XLOOKUP(sales_Data[[#This Row],[product_id]],sales_Data[product_id],sales_Data[unit_price])</f>
        <v>35</v>
      </c>
    </row>
    <row r="1815" spans="1:10" x14ac:dyDescent="0.3">
      <c r="A1815" t="s">
        <v>1831</v>
      </c>
      <c r="B1815" s="1">
        <v>46020</v>
      </c>
      <c r="C1815" t="s">
        <v>18</v>
      </c>
      <c r="D1815" t="s">
        <v>19</v>
      </c>
      <c r="E1815">
        <v>120</v>
      </c>
      <c r="F1815">
        <v>34</v>
      </c>
      <c r="G1815">
        <v>0</v>
      </c>
      <c r="H1815">
        <v>4080</v>
      </c>
      <c r="I1815">
        <f>AVERAGEIFS(sales_Data[units_sold], sales_Data[product_id],sales_Data[[#This Row],[product_id]])</f>
        <v>30.473972602739725</v>
      </c>
      <c r="J1815">
        <f>_xlfn.XLOOKUP(sales_Data[[#This Row],[product_id]],sales_Data[product_id],sales_Data[unit_price])</f>
        <v>120</v>
      </c>
    </row>
    <row r="1816" spans="1:10" x14ac:dyDescent="0.3">
      <c r="A1816" t="s">
        <v>1832</v>
      </c>
      <c r="B1816" s="1">
        <v>46020</v>
      </c>
      <c r="C1816" t="s">
        <v>21</v>
      </c>
      <c r="D1816" t="s">
        <v>22</v>
      </c>
      <c r="E1816">
        <v>25</v>
      </c>
      <c r="F1816">
        <v>47</v>
      </c>
      <c r="G1816">
        <v>0</v>
      </c>
      <c r="H1816">
        <v>1175</v>
      </c>
      <c r="I1816">
        <f>AVERAGEIFS(sales_Data[units_sold], sales_Data[product_id],sales_Data[[#This Row],[product_id]])</f>
        <v>29.463013698630139</v>
      </c>
      <c r="J1816">
        <f>_xlfn.XLOOKUP(sales_Data[[#This Row],[product_id]],sales_Data[product_id],sales_Data[unit_price])</f>
        <v>25</v>
      </c>
    </row>
    <row r="1817" spans="1:10" x14ac:dyDescent="0.3">
      <c r="A1817" t="s">
        <v>1833</v>
      </c>
      <c r="B1817" s="1">
        <v>46021</v>
      </c>
      <c r="C1817" t="s">
        <v>9</v>
      </c>
      <c r="D1817" t="s">
        <v>10</v>
      </c>
      <c r="E1817">
        <v>45</v>
      </c>
      <c r="F1817">
        <v>24</v>
      </c>
      <c r="G1817">
        <v>0</v>
      </c>
      <c r="H1817">
        <v>1080</v>
      </c>
      <c r="I1817">
        <f>AVERAGEIFS(sales_Data[units_sold], sales_Data[product_id],sales_Data[[#This Row],[product_id]])</f>
        <v>31.479452054794521</v>
      </c>
      <c r="J1817">
        <f>_xlfn.XLOOKUP(sales_Data[[#This Row],[product_id]],sales_Data[product_id],sales_Data[unit_price])</f>
        <v>45</v>
      </c>
    </row>
    <row r="1818" spans="1:10" x14ac:dyDescent="0.3">
      <c r="A1818" t="s">
        <v>1834</v>
      </c>
      <c r="B1818" s="1">
        <v>46021</v>
      </c>
      <c r="C1818" t="s">
        <v>12</v>
      </c>
      <c r="D1818" t="s">
        <v>13</v>
      </c>
      <c r="E1818">
        <v>12.5</v>
      </c>
      <c r="F1818">
        <v>19</v>
      </c>
      <c r="G1818">
        <v>0</v>
      </c>
      <c r="H1818">
        <v>237.5</v>
      </c>
      <c r="I1818">
        <f>AVERAGEIFS(sales_Data[units_sold], sales_Data[product_id],sales_Data[[#This Row],[product_id]])</f>
        <v>31.794520547945204</v>
      </c>
      <c r="J1818">
        <f>_xlfn.XLOOKUP(sales_Data[[#This Row],[product_id]],sales_Data[product_id],sales_Data[unit_price])</f>
        <v>12.5</v>
      </c>
    </row>
    <row r="1819" spans="1:10" x14ac:dyDescent="0.3">
      <c r="A1819" t="s">
        <v>1835</v>
      </c>
      <c r="B1819" s="1">
        <v>46021</v>
      </c>
      <c r="C1819" t="s">
        <v>15</v>
      </c>
      <c r="D1819" t="s">
        <v>16</v>
      </c>
      <c r="E1819">
        <v>35</v>
      </c>
      <c r="F1819">
        <v>10</v>
      </c>
      <c r="G1819">
        <v>0.1</v>
      </c>
      <c r="H1819">
        <v>315</v>
      </c>
      <c r="I1819">
        <f>AVERAGEIFS(sales_Data[units_sold], sales_Data[product_id],sales_Data[[#This Row],[product_id]])</f>
        <v>30.438356164383563</v>
      </c>
      <c r="J1819">
        <f>_xlfn.XLOOKUP(sales_Data[[#This Row],[product_id]],sales_Data[product_id],sales_Data[unit_price])</f>
        <v>35</v>
      </c>
    </row>
    <row r="1820" spans="1:10" x14ac:dyDescent="0.3">
      <c r="A1820" t="s">
        <v>1836</v>
      </c>
      <c r="B1820" s="1">
        <v>46021</v>
      </c>
      <c r="C1820" t="s">
        <v>18</v>
      </c>
      <c r="D1820" t="s">
        <v>19</v>
      </c>
      <c r="E1820">
        <v>120</v>
      </c>
      <c r="F1820">
        <v>14</v>
      </c>
      <c r="G1820">
        <v>0.1</v>
      </c>
      <c r="H1820">
        <v>1512</v>
      </c>
      <c r="I1820">
        <f>AVERAGEIFS(sales_Data[units_sold], sales_Data[product_id],sales_Data[[#This Row],[product_id]])</f>
        <v>30.473972602739725</v>
      </c>
      <c r="J1820">
        <f>_xlfn.XLOOKUP(sales_Data[[#This Row],[product_id]],sales_Data[product_id],sales_Data[unit_price])</f>
        <v>120</v>
      </c>
    </row>
    <row r="1821" spans="1:10" x14ac:dyDescent="0.3">
      <c r="A1821" t="s">
        <v>1837</v>
      </c>
      <c r="B1821" s="1">
        <v>46021</v>
      </c>
      <c r="C1821" t="s">
        <v>21</v>
      </c>
      <c r="D1821" t="s">
        <v>22</v>
      </c>
      <c r="E1821">
        <v>25</v>
      </c>
      <c r="F1821">
        <v>27</v>
      </c>
      <c r="G1821">
        <v>0.1</v>
      </c>
      <c r="H1821">
        <v>607.5</v>
      </c>
      <c r="I1821">
        <f>AVERAGEIFS(sales_Data[units_sold], sales_Data[product_id],sales_Data[[#This Row],[product_id]])</f>
        <v>29.463013698630139</v>
      </c>
      <c r="J1821">
        <f>_xlfn.XLOOKUP(sales_Data[[#This Row],[product_id]],sales_Data[product_id],sales_Data[unit_price])</f>
        <v>25</v>
      </c>
    </row>
    <row r="1822" spans="1:10" x14ac:dyDescent="0.3">
      <c r="A1822" t="s">
        <v>1838</v>
      </c>
      <c r="B1822" s="1">
        <v>46022</v>
      </c>
      <c r="C1822" t="s">
        <v>9</v>
      </c>
      <c r="D1822" t="s">
        <v>10</v>
      </c>
      <c r="E1822">
        <v>45</v>
      </c>
      <c r="F1822">
        <v>36</v>
      </c>
      <c r="G1822">
        <v>0.1</v>
      </c>
      <c r="H1822">
        <v>1458</v>
      </c>
      <c r="I1822">
        <f>AVERAGEIFS(sales_Data[units_sold], sales_Data[product_id],sales_Data[[#This Row],[product_id]])</f>
        <v>31.479452054794521</v>
      </c>
      <c r="J1822">
        <f>_xlfn.XLOOKUP(sales_Data[[#This Row],[product_id]],sales_Data[product_id],sales_Data[unit_price])</f>
        <v>45</v>
      </c>
    </row>
    <row r="1823" spans="1:10" x14ac:dyDescent="0.3">
      <c r="A1823" t="s">
        <v>1839</v>
      </c>
      <c r="B1823" s="1">
        <v>46022</v>
      </c>
      <c r="C1823" t="s">
        <v>12</v>
      </c>
      <c r="D1823" t="s">
        <v>13</v>
      </c>
      <c r="E1823">
        <v>12.5</v>
      </c>
      <c r="F1823">
        <v>16</v>
      </c>
      <c r="G1823">
        <v>0</v>
      </c>
      <c r="H1823">
        <v>200</v>
      </c>
      <c r="I1823">
        <f>AVERAGEIFS(sales_Data[units_sold], sales_Data[product_id],sales_Data[[#This Row],[product_id]])</f>
        <v>31.794520547945204</v>
      </c>
      <c r="J1823">
        <f>_xlfn.XLOOKUP(sales_Data[[#This Row],[product_id]],sales_Data[product_id],sales_Data[unit_price])</f>
        <v>12.5</v>
      </c>
    </row>
    <row r="1824" spans="1:10" x14ac:dyDescent="0.3">
      <c r="A1824" t="s">
        <v>1840</v>
      </c>
      <c r="B1824" s="1">
        <v>46022</v>
      </c>
      <c r="C1824" t="s">
        <v>15</v>
      </c>
      <c r="D1824" t="s">
        <v>16</v>
      </c>
      <c r="E1824">
        <v>35</v>
      </c>
      <c r="F1824">
        <v>41</v>
      </c>
      <c r="G1824">
        <v>0.1</v>
      </c>
      <c r="H1824">
        <v>1291.5</v>
      </c>
      <c r="I1824">
        <f>AVERAGEIFS(sales_Data[units_sold], sales_Data[product_id],sales_Data[[#This Row],[product_id]])</f>
        <v>30.438356164383563</v>
      </c>
      <c r="J1824">
        <f>_xlfn.XLOOKUP(sales_Data[[#This Row],[product_id]],sales_Data[product_id],sales_Data[unit_price])</f>
        <v>35</v>
      </c>
    </row>
    <row r="1825" spans="1:10" x14ac:dyDescent="0.3">
      <c r="A1825" t="s">
        <v>1841</v>
      </c>
      <c r="B1825" s="1">
        <v>46022</v>
      </c>
      <c r="C1825" t="s">
        <v>18</v>
      </c>
      <c r="D1825" t="s">
        <v>19</v>
      </c>
      <c r="E1825">
        <v>120</v>
      </c>
      <c r="F1825">
        <v>29</v>
      </c>
      <c r="G1825">
        <v>0</v>
      </c>
      <c r="H1825">
        <v>3480</v>
      </c>
      <c r="I1825">
        <f>AVERAGEIFS(sales_Data[units_sold], sales_Data[product_id],sales_Data[[#This Row],[product_id]])</f>
        <v>30.473972602739725</v>
      </c>
      <c r="J1825">
        <f>_xlfn.XLOOKUP(sales_Data[[#This Row],[product_id]],sales_Data[product_id],sales_Data[unit_price])</f>
        <v>120</v>
      </c>
    </row>
    <row r="1826" spans="1:10" x14ac:dyDescent="0.3">
      <c r="A1826" t="s">
        <v>1842</v>
      </c>
      <c r="B1826" s="1">
        <v>46022</v>
      </c>
      <c r="C1826" t="s">
        <v>21</v>
      </c>
      <c r="D1826" t="s">
        <v>22</v>
      </c>
      <c r="E1826">
        <v>25</v>
      </c>
      <c r="F1826">
        <v>25</v>
      </c>
      <c r="G1826">
        <v>0</v>
      </c>
      <c r="H1826">
        <v>625</v>
      </c>
      <c r="I1826">
        <f>AVERAGEIFS(sales_Data[units_sold], sales_Data[product_id],sales_Data[[#This Row],[product_id]])</f>
        <v>29.463013698630139</v>
      </c>
      <c r="J1826">
        <f>_xlfn.XLOOKUP(sales_Data[[#This Row],[product_id]],sales_Data[product_id],sales_Data[unit_price])</f>
        <v>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3589-AE00-4B36-8521-C574F9964CEA}">
  <dimension ref="A1:I1826"/>
  <sheetViews>
    <sheetView tabSelected="1" topLeftCell="A854" workbookViewId="0">
      <selection activeCell="C870" sqref="C870"/>
    </sheetView>
  </sheetViews>
  <sheetFormatPr defaultRowHeight="14.4" x14ac:dyDescent="0.3"/>
  <cols>
    <col min="1" max="1" width="10.33203125" bestFit="1" customWidth="1"/>
    <col min="2" max="2" width="12.21875" bestFit="1" customWidth="1"/>
    <col min="3" max="3" width="15.5546875" bestFit="1" customWidth="1"/>
    <col min="4" max="4" width="21.44140625" bestFit="1" customWidth="1"/>
    <col min="5" max="5" width="23.5546875" bestFit="1" customWidth="1"/>
    <col min="6" max="6" width="24.21875" bestFit="1" customWidth="1"/>
    <col min="7" max="7" width="16.21875" bestFit="1" customWidth="1"/>
    <col min="8" max="8" width="12.88671875" bestFit="1" customWidth="1"/>
  </cols>
  <sheetData>
    <row r="1" spans="1:9" x14ac:dyDescent="0.3">
      <c r="A1" t="s">
        <v>1</v>
      </c>
      <c r="B1" t="s">
        <v>2</v>
      </c>
      <c r="C1" t="s">
        <v>1843</v>
      </c>
      <c r="D1" t="s">
        <v>1844</v>
      </c>
      <c r="E1" t="s">
        <v>1845</v>
      </c>
      <c r="F1" t="s">
        <v>1846</v>
      </c>
      <c r="G1" t="s">
        <v>1847</v>
      </c>
      <c r="H1" t="s">
        <v>1852</v>
      </c>
      <c r="I1" t="s">
        <v>1868</v>
      </c>
    </row>
    <row r="2" spans="1:9" x14ac:dyDescent="0.3">
      <c r="A2" s="1">
        <v>45658</v>
      </c>
      <c r="B2" t="s">
        <v>9</v>
      </c>
      <c r="C2">
        <v>480</v>
      </c>
      <c r="D2">
        <v>0.05</v>
      </c>
      <c r="E2">
        <v>24</v>
      </c>
      <c r="F2">
        <v>5</v>
      </c>
      <c r="G2" t="b">
        <v>0</v>
      </c>
      <c r="H2">
        <f>IF(inventory__Data[[#This Row],[stock_on_hand]]&lt;=0,1,0)</f>
        <v>0</v>
      </c>
      <c r="I2">
        <f>COUNTIFS(inventory__Data[product_id],inventory__Data[[#This Row],[product_id]],inventory__Data[stock_on_hand],"&lt;=0")</f>
        <v>25</v>
      </c>
    </row>
    <row r="3" spans="1:9" x14ac:dyDescent="0.3">
      <c r="A3" s="1">
        <v>45658</v>
      </c>
      <c r="B3" t="s">
        <v>12</v>
      </c>
      <c r="C3">
        <v>460</v>
      </c>
      <c r="D3">
        <v>0.02</v>
      </c>
      <c r="E3">
        <v>9.1999999999999993</v>
      </c>
      <c r="F3">
        <v>2</v>
      </c>
      <c r="G3" t="b">
        <v>0</v>
      </c>
      <c r="H3">
        <f>IF(inventory__Data[[#This Row],[stock_on_hand]]&lt;=0,1,0)</f>
        <v>0</v>
      </c>
      <c r="I3">
        <f>COUNTIFS(inventory__Data[product_id],inventory__Data[[#This Row],[product_id]],inventory__Data[stock_on_hand],"&lt;=0")</f>
        <v>23</v>
      </c>
    </row>
    <row r="4" spans="1:9" x14ac:dyDescent="0.3">
      <c r="A4" s="1">
        <v>45658</v>
      </c>
      <c r="B4" t="s">
        <v>15</v>
      </c>
      <c r="C4">
        <v>495</v>
      </c>
      <c r="D4">
        <v>0.04</v>
      </c>
      <c r="E4">
        <v>19.8</v>
      </c>
      <c r="F4">
        <v>2</v>
      </c>
      <c r="G4" t="b">
        <v>0</v>
      </c>
      <c r="H4">
        <f>IF(inventory__Data[[#This Row],[stock_on_hand]]&lt;=0,1,0)</f>
        <v>0</v>
      </c>
      <c r="I4">
        <f>COUNTIFS(inventory__Data[product_id],inventory__Data[[#This Row],[product_id]],inventory__Data[stock_on_hand],"&lt;=0")</f>
        <v>30</v>
      </c>
    </row>
    <row r="5" spans="1:9" x14ac:dyDescent="0.3">
      <c r="A5" s="1">
        <v>45658</v>
      </c>
      <c r="B5" t="s">
        <v>18</v>
      </c>
      <c r="C5">
        <v>458</v>
      </c>
      <c r="D5">
        <v>0.15</v>
      </c>
      <c r="E5">
        <v>68.7</v>
      </c>
      <c r="F5">
        <v>5</v>
      </c>
      <c r="G5" t="b">
        <v>0</v>
      </c>
      <c r="H5">
        <f>IF(inventory__Data[[#This Row],[stock_on_hand]]&lt;=0,1,0)</f>
        <v>0</v>
      </c>
      <c r="I5">
        <f>COUNTIFS(inventory__Data[product_id],inventory__Data[[#This Row],[product_id]],inventory__Data[stock_on_hand],"&lt;=0")</f>
        <v>30</v>
      </c>
    </row>
    <row r="6" spans="1:9" x14ac:dyDescent="0.3">
      <c r="A6" s="1">
        <v>45658</v>
      </c>
      <c r="B6" t="s">
        <v>21</v>
      </c>
      <c r="C6">
        <v>463</v>
      </c>
      <c r="D6">
        <v>0.03</v>
      </c>
      <c r="E6">
        <v>13.89</v>
      </c>
      <c r="F6">
        <v>2</v>
      </c>
      <c r="G6" t="b">
        <v>0</v>
      </c>
      <c r="H6">
        <f>IF(inventory__Data[[#This Row],[stock_on_hand]]&lt;=0,1,0)</f>
        <v>0</v>
      </c>
      <c r="I6">
        <f>COUNTIFS(inventory__Data[product_id],inventory__Data[[#This Row],[product_id]],inventory__Data[stock_on_hand],"&lt;=0")</f>
        <v>29</v>
      </c>
    </row>
    <row r="7" spans="1:9" x14ac:dyDescent="0.3">
      <c r="A7" s="1">
        <v>45659</v>
      </c>
      <c r="B7" t="s">
        <v>9</v>
      </c>
      <c r="C7">
        <v>467</v>
      </c>
      <c r="D7">
        <v>0.05</v>
      </c>
      <c r="E7">
        <v>23.35</v>
      </c>
      <c r="F7">
        <v>15</v>
      </c>
      <c r="G7" t="b">
        <v>0</v>
      </c>
      <c r="H7">
        <f>IF(inventory__Data[[#This Row],[stock_on_hand]]&lt;=0,1,0)</f>
        <v>0</v>
      </c>
      <c r="I7">
        <f>COUNTIFS(inventory__Data[product_id],inventory__Data[[#This Row],[product_id]],inventory__Data[stock_on_hand],"&lt;=0")</f>
        <v>25</v>
      </c>
    </row>
    <row r="8" spans="1:9" x14ac:dyDescent="0.3">
      <c r="A8" s="1">
        <v>45659</v>
      </c>
      <c r="B8" t="s">
        <v>12</v>
      </c>
      <c r="C8">
        <v>419</v>
      </c>
      <c r="D8">
        <v>0.02</v>
      </c>
      <c r="E8">
        <v>8.3800000000000008</v>
      </c>
      <c r="F8">
        <v>2</v>
      </c>
      <c r="G8" t="b">
        <v>0</v>
      </c>
      <c r="H8">
        <f>IF(inventory__Data[[#This Row],[stock_on_hand]]&lt;=0,1,0)</f>
        <v>0</v>
      </c>
      <c r="I8">
        <f>COUNTIFS(inventory__Data[product_id],inventory__Data[[#This Row],[product_id]],inventory__Data[stock_on_hand],"&lt;=0")</f>
        <v>23</v>
      </c>
    </row>
    <row r="9" spans="1:9" x14ac:dyDescent="0.3">
      <c r="A9" s="1">
        <v>45659</v>
      </c>
      <c r="B9" t="s">
        <v>15</v>
      </c>
      <c r="C9">
        <v>467</v>
      </c>
      <c r="D9">
        <v>0.04</v>
      </c>
      <c r="E9">
        <v>18.68</v>
      </c>
      <c r="F9">
        <v>2</v>
      </c>
      <c r="G9" t="b">
        <v>0</v>
      </c>
      <c r="H9">
        <f>IF(inventory__Data[[#This Row],[stock_on_hand]]&lt;=0,1,0)</f>
        <v>0</v>
      </c>
      <c r="I9">
        <f>COUNTIFS(inventory__Data[product_id],inventory__Data[[#This Row],[product_id]],inventory__Data[stock_on_hand],"&lt;=0")</f>
        <v>30</v>
      </c>
    </row>
    <row r="10" spans="1:9" x14ac:dyDescent="0.3">
      <c r="A10" s="1">
        <v>45659</v>
      </c>
      <c r="B10" t="s">
        <v>18</v>
      </c>
      <c r="C10">
        <v>437</v>
      </c>
      <c r="D10">
        <v>0.15</v>
      </c>
      <c r="E10">
        <v>65.55</v>
      </c>
      <c r="F10">
        <v>10</v>
      </c>
      <c r="G10" t="b">
        <v>0</v>
      </c>
      <c r="H10">
        <f>IF(inventory__Data[[#This Row],[stock_on_hand]]&lt;=0,1,0)</f>
        <v>0</v>
      </c>
      <c r="I10">
        <f>COUNTIFS(inventory__Data[product_id],inventory__Data[[#This Row],[product_id]],inventory__Data[stock_on_hand],"&lt;=0")</f>
        <v>30</v>
      </c>
    </row>
    <row r="11" spans="1:9" x14ac:dyDescent="0.3">
      <c r="A11" s="1">
        <v>45659</v>
      </c>
      <c r="B11" t="s">
        <v>21</v>
      </c>
      <c r="C11">
        <v>423</v>
      </c>
      <c r="D11">
        <v>0.03</v>
      </c>
      <c r="E11">
        <v>12.69</v>
      </c>
      <c r="F11">
        <v>2</v>
      </c>
      <c r="G11" t="b">
        <v>0</v>
      </c>
      <c r="H11">
        <f>IF(inventory__Data[[#This Row],[stock_on_hand]]&lt;=0,1,0)</f>
        <v>0</v>
      </c>
      <c r="I11">
        <f>COUNTIFS(inventory__Data[product_id],inventory__Data[[#This Row],[product_id]],inventory__Data[stock_on_hand],"&lt;=0")</f>
        <v>29</v>
      </c>
    </row>
    <row r="12" spans="1:9" x14ac:dyDescent="0.3">
      <c r="A12" s="1">
        <v>45660</v>
      </c>
      <c r="B12" t="s">
        <v>9</v>
      </c>
      <c r="C12">
        <v>444</v>
      </c>
      <c r="D12">
        <v>0.05</v>
      </c>
      <c r="E12">
        <v>22.2</v>
      </c>
      <c r="F12">
        <v>5</v>
      </c>
      <c r="G12" t="b">
        <v>0</v>
      </c>
      <c r="H12">
        <f>IF(inventory__Data[[#This Row],[stock_on_hand]]&lt;=0,1,0)</f>
        <v>0</v>
      </c>
      <c r="I12">
        <f>COUNTIFS(inventory__Data[product_id],inventory__Data[[#This Row],[product_id]],inventory__Data[stock_on_hand],"&lt;=0")</f>
        <v>25</v>
      </c>
    </row>
    <row r="13" spans="1:9" x14ac:dyDescent="0.3">
      <c r="A13" s="1">
        <v>45660</v>
      </c>
      <c r="B13" t="s">
        <v>12</v>
      </c>
      <c r="C13">
        <v>396</v>
      </c>
      <c r="D13">
        <v>0.02</v>
      </c>
      <c r="E13">
        <v>7.92</v>
      </c>
      <c r="F13">
        <v>2</v>
      </c>
      <c r="G13" t="b">
        <v>0</v>
      </c>
      <c r="H13">
        <f>IF(inventory__Data[[#This Row],[stock_on_hand]]&lt;=0,1,0)</f>
        <v>0</v>
      </c>
      <c r="I13">
        <f>COUNTIFS(inventory__Data[product_id],inventory__Data[[#This Row],[product_id]],inventory__Data[stock_on_hand],"&lt;=0")</f>
        <v>23</v>
      </c>
    </row>
    <row r="14" spans="1:9" x14ac:dyDescent="0.3">
      <c r="A14" s="1">
        <v>45660</v>
      </c>
      <c r="B14" t="s">
        <v>15</v>
      </c>
      <c r="C14">
        <v>445</v>
      </c>
      <c r="D14">
        <v>0.04</v>
      </c>
      <c r="E14">
        <v>17.8</v>
      </c>
      <c r="F14">
        <v>5</v>
      </c>
      <c r="G14" t="b">
        <v>0</v>
      </c>
      <c r="H14">
        <f>IF(inventory__Data[[#This Row],[stock_on_hand]]&lt;=0,1,0)</f>
        <v>0</v>
      </c>
      <c r="I14">
        <f>COUNTIFS(inventory__Data[product_id],inventory__Data[[#This Row],[product_id]],inventory__Data[stock_on_hand],"&lt;=0")</f>
        <v>30</v>
      </c>
    </row>
    <row r="15" spans="1:9" x14ac:dyDescent="0.3">
      <c r="A15" s="1">
        <v>45660</v>
      </c>
      <c r="B15" t="s">
        <v>18</v>
      </c>
      <c r="C15">
        <v>410</v>
      </c>
      <c r="D15">
        <v>0.15</v>
      </c>
      <c r="E15">
        <v>61.5</v>
      </c>
      <c r="F15">
        <v>2</v>
      </c>
      <c r="G15" t="b">
        <v>0</v>
      </c>
      <c r="H15">
        <f>IF(inventory__Data[[#This Row],[stock_on_hand]]&lt;=0,1,0)</f>
        <v>0</v>
      </c>
      <c r="I15">
        <f>COUNTIFS(inventory__Data[product_id],inventory__Data[[#This Row],[product_id]],inventory__Data[stock_on_hand],"&lt;=0")</f>
        <v>30</v>
      </c>
    </row>
    <row r="16" spans="1:9" x14ac:dyDescent="0.3">
      <c r="A16" s="1">
        <v>45660</v>
      </c>
      <c r="B16" t="s">
        <v>21</v>
      </c>
      <c r="C16">
        <v>410</v>
      </c>
      <c r="D16">
        <v>0.03</v>
      </c>
      <c r="E16">
        <v>12.3</v>
      </c>
      <c r="F16">
        <v>2</v>
      </c>
      <c r="G16" t="b">
        <v>0</v>
      </c>
      <c r="H16">
        <f>IF(inventory__Data[[#This Row],[stock_on_hand]]&lt;=0,1,0)</f>
        <v>0</v>
      </c>
      <c r="I16">
        <f>COUNTIFS(inventory__Data[product_id],inventory__Data[[#This Row],[product_id]],inventory__Data[stock_on_hand],"&lt;=0")</f>
        <v>29</v>
      </c>
    </row>
    <row r="17" spans="1:9" x14ac:dyDescent="0.3">
      <c r="A17" s="1">
        <v>45661</v>
      </c>
      <c r="B17" t="s">
        <v>9</v>
      </c>
      <c r="C17">
        <v>381</v>
      </c>
      <c r="D17">
        <v>0.05</v>
      </c>
      <c r="E17">
        <v>19.05</v>
      </c>
      <c r="F17">
        <v>2</v>
      </c>
      <c r="G17" t="b">
        <v>0</v>
      </c>
      <c r="H17">
        <f>IF(inventory__Data[[#This Row],[stock_on_hand]]&lt;=0,1,0)</f>
        <v>0</v>
      </c>
      <c r="I17">
        <f>COUNTIFS(inventory__Data[product_id],inventory__Data[[#This Row],[product_id]],inventory__Data[stock_on_hand],"&lt;=0")</f>
        <v>25</v>
      </c>
    </row>
    <row r="18" spans="1:9" x14ac:dyDescent="0.3">
      <c r="A18" s="1">
        <v>45661</v>
      </c>
      <c r="B18" t="s">
        <v>12</v>
      </c>
      <c r="C18">
        <v>333</v>
      </c>
      <c r="D18">
        <v>0.02</v>
      </c>
      <c r="E18">
        <v>6.66</v>
      </c>
      <c r="F18">
        <v>10</v>
      </c>
      <c r="G18" t="b">
        <v>0</v>
      </c>
      <c r="H18">
        <f>IF(inventory__Data[[#This Row],[stock_on_hand]]&lt;=0,1,0)</f>
        <v>0</v>
      </c>
      <c r="I18">
        <f>COUNTIFS(inventory__Data[product_id],inventory__Data[[#This Row],[product_id]],inventory__Data[stock_on_hand],"&lt;=0")</f>
        <v>23</v>
      </c>
    </row>
    <row r="19" spans="1:9" x14ac:dyDescent="0.3">
      <c r="A19" s="1">
        <v>45661</v>
      </c>
      <c r="B19" t="s">
        <v>15</v>
      </c>
      <c r="C19">
        <v>379</v>
      </c>
      <c r="D19">
        <v>0.04</v>
      </c>
      <c r="E19">
        <v>15.16</v>
      </c>
      <c r="F19">
        <v>2</v>
      </c>
      <c r="G19" t="b">
        <v>0</v>
      </c>
      <c r="H19">
        <f>IF(inventory__Data[[#This Row],[stock_on_hand]]&lt;=0,1,0)</f>
        <v>0</v>
      </c>
      <c r="I19">
        <f>COUNTIFS(inventory__Data[product_id],inventory__Data[[#This Row],[product_id]],inventory__Data[stock_on_hand],"&lt;=0")</f>
        <v>30</v>
      </c>
    </row>
    <row r="20" spans="1:9" x14ac:dyDescent="0.3">
      <c r="A20" s="1">
        <v>45661</v>
      </c>
      <c r="B20" t="s">
        <v>18</v>
      </c>
      <c r="C20">
        <v>379</v>
      </c>
      <c r="D20">
        <v>0.15</v>
      </c>
      <c r="E20">
        <v>56.85</v>
      </c>
      <c r="F20">
        <v>5</v>
      </c>
      <c r="G20" t="b">
        <v>0</v>
      </c>
      <c r="H20">
        <f>IF(inventory__Data[[#This Row],[stock_on_hand]]&lt;=0,1,0)</f>
        <v>0</v>
      </c>
      <c r="I20">
        <f>COUNTIFS(inventory__Data[product_id],inventory__Data[[#This Row],[product_id]],inventory__Data[stock_on_hand],"&lt;=0")</f>
        <v>30</v>
      </c>
    </row>
    <row r="21" spans="1:9" x14ac:dyDescent="0.3">
      <c r="A21" s="1">
        <v>45661</v>
      </c>
      <c r="B21" t="s">
        <v>21</v>
      </c>
      <c r="C21">
        <v>368</v>
      </c>
      <c r="D21">
        <v>0.03</v>
      </c>
      <c r="E21">
        <v>11.04</v>
      </c>
      <c r="F21">
        <v>2</v>
      </c>
      <c r="G21" t="b">
        <v>0</v>
      </c>
      <c r="H21">
        <f>IF(inventory__Data[[#This Row],[stock_on_hand]]&lt;=0,1,0)</f>
        <v>0</v>
      </c>
      <c r="I21">
        <f>COUNTIFS(inventory__Data[product_id],inventory__Data[[#This Row],[product_id]],inventory__Data[stock_on_hand],"&lt;=0")</f>
        <v>29</v>
      </c>
    </row>
    <row r="22" spans="1:9" x14ac:dyDescent="0.3">
      <c r="A22" s="1">
        <v>45662</v>
      </c>
      <c r="B22" t="s">
        <v>9</v>
      </c>
      <c r="C22">
        <v>374</v>
      </c>
      <c r="D22">
        <v>0.05</v>
      </c>
      <c r="E22">
        <v>18.7</v>
      </c>
      <c r="F22">
        <v>5</v>
      </c>
      <c r="G22" t="b">
        <v>0</v>
      </c>
      <c r="H22">
        <f>IF(inventory__Data[[#This Row],[stock_on_hand]]&lt;=0,1,0)</f>
        <v>0</v>
      </c>
      <c r="I22">
        <f>COUNTIFS(inventory__Data[product_id],inventory__Data[[#This Row],[product_id]],inventory__Data[stock_on_hand],"&lt;=0")</f>
        <v>25</v>
      </c>
    </row>
    <row r="23" spans="1:9" x14ac:dyDescent="0.3">
      <c r="A23" s="1">
        <v>45662</v>
      </c>
      <c r="B23" t="s">
        <v>12</v>
      </c>
      <c r="C23">
        <v>291</v>
      </c>
      <c r="D23">
        <v>0.02</v>
      </c>
      <c r="E23">
        <v>5.82</v>
      </c>
      <c r="F23">
        <v>5</v>
      </c>
      <c r="G23" t="b">
        <v>0</v>
      </c>
      <c r="H23">
        <f>IF(inventory__Data[[#This Row],[stock_on_hand]]&lt;=0,1,0)</f>
        <v>0</v>
      </c>
      <c r="I23">
        <f>COUNTIFS(inventory__Data[product_id],inventory__Data[[#This Row],[product_id]],inventory__Data[stock_on_hand],"&lt;=0")</f>
        <v>23</v>
      </c>
    </row>
    <row r="24" spans="1:9" x14ac:dyDescent="0.3">
      <c r="A24" s="1">
        <v>45662</v>
      </c>
      <c r="B24" t="s">
        <v>15</v>
      </c>
      <c r="C24">
        <v>349</v>
      </c>
      <c r="D24">
        <v>0.04</v>
      </c>
      <c r="E24">
        <v>13.96</v>
      </c>
      <c r="F24">
        <v>2</v>
      </c>
      <c r="G24" t="b">
        <v>0</v>
      </c>
      <c r="H24">
        <f>IF(inventory__Data[[#This Row],[stock_on_hand]]&lt;=0,1,0)</f>
        <v>0</v>
      </c>
      <c r="I24">
        <f>COUNTIFS(inventory__Data[product_id],inventory__Data[[#This Row],[product_id]],inventory__Data[stock_on_hand],"&lt;=0")</f>
        <v>30</v>
      </c>
    </row>
    <row r="25" spans="1:9" x14ac:dyDescent="0.3">
      <c r="A25" s="1">
        <v>45662</v>
      </c>
      <c r="B25" t="s">
        <v>18</v>
      </c>
      <c r="C25">
        <v>345</v>
      </c>
      <c r="D25">
        <v>0.15</v>
      </c>
      <c r="E25">
        <v>51.75</v>
      </c>
      <c r="F25">
        <v>2</v>
      </c>
      <c r="G25" t="b">
        <v>0</v>
      </c>
      <c r="H25">
        <f>IF(inventory__Data[[#This Row],[stock_on_hand]]&lt;=0,1,0)</f>
        <v>0</v>
      </c>
      <c r="I25">
        <f>COUNTIFS(inventory__Data[product_id],inventory__Data[[#This Row],[product_id]],inventory__Data[stock_on_hand],"&lt;=0")</f>
        <v>30</v>
      </c>
    </row>
    <row r="26" spans="1:9" x14ac:dyDescent="0.3">
      <c r="A26" s="1">
        <v>45662</v>
      </c>
      <c r="B26" t="s">
        <v>21</v>
      </c>
      <c r="C26">
        <v>305</v>
      </c>
      <c r="D26">
        <v>0.03</v>
      </c>
      <c r="E26">
        <v>9.15</v>
      </c>
      <c r="F26">
        <v>2</v>
      </c>
      <c r="G26" t="b">
        <v>0</v>
      </c>
      <c r="H26">
        <f>IF(inventory__Data[[#This Row],[stock_on_hand]]&lt;=0,1,0)</f>
        <v>0</v>
      </c>
      <c r="I26">
        <f>COUNTIFS(inventory__Data[product_id],inventory__Data[[#This Row],[product_id]],inventory__Data[stock_on_hand],"&lt;=0")</f>
        <v>29</v>
      </c>
    </row>
    <row r="27" spans="1:9" x14ac:dyDescent="0.3">
      <c r="A27" s="1">
        <v>45663</v>
      </c>
      <c r="B27" t="s">
        <v>9</v>
      </c>
      <c r="C27">
        <v>348</v>
      </c>
      <c r="D27">
        <v>0.05</v>
      </c>
      <c r="E27">
        <v>17.399999999999999</v>
      </c>
      <c r="F27">
        <v>15</v>
      </c>
      <c r="G27" t="b">
        <v>0</v>
      </c>
      <c r="H27">
        <f>IF(inventory__Data[[#This Row],[stock_on_hand]]&lt;=0,1,0)</f>
        <v>0</v>
      </c>
      <c r="I27">
        <f>COUNTIFS(inventory__Data[product_id],inventory__Data[[#This Row],[product_id]],inventory__Data[stock_on_hand],"&lt;=0")</f>
        <v>25</v>
      </c>
    </row>
    <row r="28" spans="1:9" x14ac:dyDescent="0.3">
      <c r="A28" s="1">
        <v>45663</v>
      </c>
      <c r="B28" t="s">
        <v>12</v>
      </c>
      <c r="C28">
        <v>260</v>
      </c>
      <c r="D28">
        <v>0.02</v>
      </c>
      <c r="E28">
        <v>5.2</v>
      </c>
      <c r="F28">
        <v>10</v>
      </c>
      <c r="G28" t="b">
        <v>0</v>
      </c>
      <c r="H28">
        <f>IF(inventory__Data[[#This Row],[stock_on_hand]]&lt;=0,1,0)</f>
        <v>0</v>
      </c>
      <c r="I28">
        <f>COUNTIFS(inventory__Data[product_id],inventory__Data[[#This Row],[product_id]],inventory__Data[stock_on_hand],"&lt;=0")</f>
        <v>23</v>
      </c>
    </row>
    <row r="29" spans="1:9" x14ac:dyDescent="0.3">
      <c r="A29" s="1">
        <v>45663</v>
      </c>
      <c r="B29" t="s">
        <v>15</v>
      </c>
      <c r="C29">
        <v>332</v>
      </c>
      <c r="D29">
        <v>0.04</v>
      </c>
      <c r="E29">
        <v>13.28</v>
      </c>
      <c r="F29">
        <v>2</v>
      </c>
      <c r="G29" t="b">
        <v>0</v>
      </c>
      <c r="H29">
        <f>IF(inventory__Data[[#This Row],[stock_on_hand]]&lt;=0,1,0)</f>
        <v>0</v>
      </c>
      <c r="I29">
        <f>COUNTIFS(inventory__Data[product_id],inventory__Data[[#This Row],[product_id]],inventory__Data[stock_on_hand],"&lt;=0")</f>
        <v>30</v>
      </c>
    </row>
    <row r="30" spans="1:9" x14ac:dyDescent="0.3">
      <c r="A30" s="1">
        <v>45663</v>
      </c>
      <c r="B30" t="s">
        <v>18</v>
      </c>
      <c r="C30">
        <v>322</v>
      </c>
      <c r="D30">
        <v>0.15</v>
      </c>
      <c r="E30">
        <v>48.3</v>
      </c>
      <c r="F30">
        <v>5</v>
      </c>
      <c r="G30" t="b">
        <v>0</v>
      </c>
      <c r="H30">
        <f>IF(inventory__Data[[#This Row],[stock_on_hand]]&lt;=0,1,0)</f>
        <v>0</v>
      </c>
      <c r="I30">
        <f>COUNTIFS(inventory__Data[product_id],inventory__Data[[#This Row],[product_id]],inventory__Data[stock_on_hand],"&lt;=0")</f>
        <v>30</v>
      </c>
    </row>
    <row r="31" spans="1:9" x14ac:dyDescent="0.3">
      <c r="A31" s="1">
        <v>45663</v>
      </c>
      <c r="B31" t="s">
        <v>21</v>
      </c>
      <c r="C31">
        <v>289</v>
      </c>
      <c r="D31">
        <v>0.03</v>
      </c>
      <c r="E31">
        <v>8.67</v>
      </c>
      <c r="F31">
        <v>2</v>
      </c>
      <c r="G31" t="b">
        <v>0</v>
      </c>
      <c r="H31">
        <f>IF(inventory__Data[[#This Row],[stock_on_hand]]&lt;=0,1,0)</f>
        <v>0</v>
      </c>
      <c r="I31">
        <f>COUNTIFS(inventory__Data[product_id],inventory__Data[[#This Row],[product_id]],inventory__Data[stock_on_hand],"&lt;=0")</f>
        <v>29</v>
      </c>
    </row>
    <row r="32" spans="1:9" x14ac:dyDescent="0.3">
      <c r="A32" s="1">
        <v>45664</v>
      </c>
      <c r="B32" t="s">
        <v>9</v>
      </c>
      <c r="C32">
        <v>300</v>
      </c>
      <c r="D32">
        <v>0.05</v>
      </c>
      <c r="E32">
        <v>15</v>
      </c>
      <c r="F32">
        <v>5</v>
      </c>
      <c r="G32" t="b">
        <v>0</v>
      </c>
      <c r="H32">
        <f>IF(inventory__Data[[#This Row],[stock_on_hand]]&lt;=0,1,0)</f>
        <v>0</v>
      </c>
      <c r="I32">
        <f>COUNTIFS(inventory__Data[product_id],inventory__Data[[#This Row],[product_id]],inventory__Data[stock_on_hand],"&lt;=0")</f>
        <v>25</v>
      </c>
    </row>
    <row r="33" spans="1:9" x14ac:dyDescent="0.3">
      <c r="A33" s="1">
        <v>45664</v>
      </c>
      <c r="B33" t="s">
        <v>12</v>
      </c>
      <c r="C33">
        <v>231</v>
      </c>
      <c r="D33">
        <v>0.02</v>
      </c>
      <c r="E33">
        <v>4.62</v>
      </c>
      <c r="F33">
        <v>2</v>
      </c>
      <c r="G33" t="b">
        <v>0</v>
      </c>
      <c r="H33">
        <f>IF(inventory__Data[[#This Row],[stock_on_hand]]&lt;=0,1,0)</f>
        <v>0</v>
      </c>
      <c r="I33">
        <f>COUNTIFS(inventory__Data[product_id],inventory__Data[[#This Row],[product_id]],inventory__Data[stock_on_hand],"&lt;=0")</f>
        <v>23</v>
      </c>
    </row>
    <row r="34" spans="1:9" x14ac:dyDescent="0.3">
      <c r="A34" s="1">
        <v>45664</v>
      </c>
      <c r="B34" t="s">
        <v>15</v>
      </c>
      <c r="C34">
        <v>284</v>
      </c>
      <c r="D34">
        <v>0.04</v>
      </c>
      <c r="E34">
        <v>11.36</v>
      </c>
      <c r="F34">
        <v>5</v>
      </c>
      <c r="G34" t="b">
        <v>0</v>
      </c>
      <c r="H34">
        <f>IF(inventory__Data[[#This Row],[stock_on_hand]]&lt;=0,1,0)</f>
        <v>0</v>
      </c>
      <c r="I34">
        <f>COUNTIFS(inventory__Data[product_id],inventory__Data[[#This Row],[product_id]],inventory__Data[stock_on_hand],"&lt;=0")</f>
        <v>30</v>
      </c>
    </row>
    <row r="35" spans="1:9" x14ac:dyDescent="0.3">
      <c r="A35" s="1">
        <v>45664</v>
      </c>
      <c r="B35" t="s">
        <v>18</v>
      </c>
      <c r="C35">
        <v>280</v>
      </c>
      <c r="D35">
        <v>0.15</v>
      </c>
      <c r="E35">
        <v>42</v>
      </c>
      <c r="F35">
        <v>2</v>
      </c>
      <c r="G35" t="b">
        <v>0</v>
      </c>
      <c r="H35">
        <f>IF(inventory__Data[[#This Row],[stock_on_hand]]&lt;=0,1,0)</f>
        <v>0</v>
      </c>
      <c r="I35">
        <f>COUNTIFS(inventory__Data[product_id],inventory__Data[[#This Row],[product_id]],inventory__Data[stock_on_hand],"&lt;=0")</f>
        <v>30</v>
      </c>
    </row>
    <row r="36" spans="1:9" x14ac:dyDescent="0.3">
      <c r="A36" s="1">
        <v>45664</v>
      </c>
      <c r="B36" t="s">
        <v>21</v>
      </c>
      <c r="C36">
        <v>249</v>
      </c>
      <c r="D36">
        <v>0.03</v>
      </c>
      <c r="E36">
        <v>7.47</v>
      </c>
      <c r="F36">
        <v>2</v>
      </c>
      <c r="G36" t="b">
        <v>0</v>
      </c>
      <c r="H36">
        <f>IF(inventory__Data[[#This Row],[stock_on_hand]]&lt;=0,1,0)</f>
        <v>0</v>
      </c>
      <c r="I36">
        <f>COUNTIFS(inventory__Data[product_id],inventory__Data[[#This Row],[product_id]],inventory__Data[stock_on_hand],"&lt;=0")</f>
        <v>29</v>
      </c>
    </row>
    <row r="37" spans="1:9" x14ac:dyDescent="0.3">
      <c r="A37" s="1">
        <v>45665</v>
      </c>
      <c r="B37" t="s">
        <v>9</v>
      </c>
      <c r="C37">
        <v>260</v>
      </c>
      <c r="D37">
        <v>0.05</v>
      </c>
      <c r="E37">
        <v>13</v>
      </c>
      <c r="F37">
        <v>5</v>
      </c>
      <c r="G37" t="b">
        <v>0</v>
      </c>
      <c r="H37">
        <f>IF(inventory__Data[[#This Row],[stock_on_hand]]&lt;=0,1,0)</f>
        <v>0</v>
      </c>
      <c r="I37">
        <f>COUNTIFS(inventory__Data[product_id],inventory__Data[[#This Row],[product_id]],inventory__Data[stock_on_hand],"&lt;=0")</f>
        <v>25</v>
      </c>
    </row>
    <row r="38" spans="1:9" x14ac:dyDescent="0.3">
      <c r="A38" s="1">
        <v>45665</v>
      </c>
      <c r="B38" t="s">
        <v>12</v>
      </c>
      <c r="C38">
        <v>213</v>
      </c>
      <c r="D38">
        <v>0.02</v>
      </c>
      <c r="E38">
        <v>4.26</v>
      </c>
      <c r="F38">
        <v>2</v>
      </c>
      <c r="G38" t="b">
        <v>0</v>
      </c>
      <c r="H38">
        <f>IF(inventory__Data[[#This Row],[stock_on_hand]]&lt;=0,1,0)</f>
        <v>0</v>
      </c>
      <c r="I38">
        <f>COUNTIFS(inventory__Data[product_id],inventory__Data[[#This Row],[product_id]],inventory__Data[stock_on_hand],"&lt;=0")</f>
        <v>23</v>
      </c>
    </row>
    <row r="39" spans="1:9" x14ac:dyDescent="0.3">
      <c r="A39" s="1">
        <v>45665</v>
      </c>
      <c r="B39" t="s">
        <v>15</v>
      </c>
      <c r="C39">
        <v>274</v>
      </c>
      <c r="D39">
        <v>0.04</v>
      </c>
      <c r="E39">
        <v>10.96</v>
      </c>
      <c r="F39">
        <v>5</v>
      </c>
      <c r="G39" t="b">
        <v>0</v>
      </c>
      <c r="H39">
        <f>IF(inventory__Data[[#This Row],[stock_on_hand]]&lt;=0,1,0)</f>
        <v>0</v>
      </c>
      <c r="I39">
        <f>COUNTIFS(inventory__Data[product_id],inventory__Data[[#This Row],[product_id]],inventory__Data[stock_on_hand],"&lt;=0")</f>
        <v>30</v>
      </c>
    </row>
    <row r="40" spans="1:9" x14ac:dyDescent="0.3">
      <c r="A40" s="1">
        <v>45665</v>
      </c>
      <c r="B40" t="s">
        <v>18</v>
      </c>
      <c r="C40">
        <v>255</v>
      </c>
      <c r="D40">
        <v>0.15</v>
      </c>
      <c r="E40">
        <v>38.25</v>
      </c>
      <c r="F40">
        <v>2</v>
      </c>
      <c r="G40" t="b">
        <v>0</v>
      </c>
      <c r="H40">
        <f>IF(inventory__Data[[#This Row],[stock_on_hand]]&lt;=0,1,0)</f>
        <v>0</v>
      </c>
      <c r="I40">
        <f>COUNTIFS(inventory__Data[product_id],inventory__Data[[#This Row],[product_id]],inventory__Data[stock_on_hand],"&lt;=0")</f>
        <v>30</v>
      </c>
    </row>
    <row r="41" spans="1:9" x14ac:dyDescent="0.3">
      <c r="A41" s="1">
        <v>45665</v>
      </c>
      <c r="B41" t="s">
        <v>21</v>
      </c>
      <c r="C41">
        <v>244</v>
      </c>
      <c r="D41">
        <v>0.03</v>
      </c>
      <c r="E41">
        <v>7.32</v>
      </c>
      <c r="F41">
        <v>2</v>
      </c>
      <c r="G41" t="b">
        <v>0</v>
      </c>
      <c r="H41">
        <f>IF(inventory__Data[[#This Row],[stock_on_hand]]&lt;=0,1,0)</f>
        <v>0</v>
      </c>
      <c r="I41">
        <f>COUNTIFS(inventory__Data[product_id],inventory__Data[[#This Row],[product_id]],inventory__Data[stock_on_hand],"&lt;=0")</f>
        <v>29</v>
      </c>
    </row>
    <row r="42" spans="1:9" x14ac:dyDescent="0.3">
      <c r="A42" s="1">
        <v>45666</v>
      </c>
      <c r="B42" t="s">
        <v>9</v>
      </c>
      <c r="C42">
        <v>229</v>
      </c>
      <c r="D42">
        <v>0.05</v>
      </c>
      <c r="E42">
        <v>11.45</v>
      </c>
      <c r="F42">
        <v>2</v>
      </c>
      <c r="G42" t="b">
        <v>0</v>
      </c>
      <c r="H42">
        <f>IF(inventory__Data[[#This Row],[stock_on_hand]]&lt;=0,1,0)</f>
        <v>0</v>
      </c>
      <c r="I42">
        <f>COUNTIFS(inventory__Data[product_id],inventory__Data[[#This Row],[product_id]],inventory__Data[stock_on_hand],"&lt;=0")</f>
        <v>25</v>
      </c>
    </row>
    <row r="43" spans="1:9" x14ac:dyDescent="0.3">
      <c r="A43" s="1">
        <v>45666</v>
      </c>
      <c r="B43" t="s">
        <v>12</v>
      </c>
      <c r="C43">
        <v>199</v>
      </c>
      <c r="D43">
        <v>0.02</v>
      </c>
      <c r="E43">
        <v>3.98</v>
      </c>
      <c r="F43">
        <v>5</v>
      </c>
      <c r="G43" t="b">
        <v>0</v>
      </c>
      <c r="H43">
        <f>IF(inventory__Data[[#This Row],[stock_on_hand]]&lt;=0,1,0)</f>
        <v>0</v>
      </c>
      <c r="I43">
        <f>COUNTIFS(inventory__Data[product_id],inventory__Data[[#This Row],[product_id]],inventory__Data[stock_on_hand],"&lt;=0")</f>
        <v>23</v>
      </c>
    </row>
    <row r="44" spans="1:9" x14ac:dyDescent="0.3">
      <c r="A44" s="1">
        <v>45666</v>
      </c>
      <c r="B44" t="s">
        <v>15</v>
      </c>
      <c r="C44">
        <v>248</v>
      </c>
      <c r="D44">
        <v>0.04</v>
      </c>
      <c r="E44">
        <v>9.92</v>
      </c>
      <c r="F44">
        <v>15</v>
      </c>
      <c r="G44" t="b">
        <v>0</v>
      </c>
      <c r="H44">
        <f>IF(inventory__Data[[#This Row],[stock_on_hand]]&lt;=0,1,0)</f>
        <v>0</v>
      </c>
      <c r="I44">
        <f>COUNTIFS(inventory__Data[product_id],inventory__Data[[#This Row],[product_id]],inventory__Data[stock_on_hand],"&lt;=0")</f>
        <v>30</v>
      </c>
    </row>
    <row r="45" spans="1:9" x14ac:dyDescent="0.3">
      <c r="A45" s="1">
        <v>45666</v>
      </c>
      <c r="B45" t="s">
        <v>18</v>
      </c>
      <c r="C45">
        <v>210</v>
      </c>
      <c r="D45">
        <v>0.15</v>
      </c>
      <c r="E45">
        <v>31.5</v>
      </c>
      <c r="F45">
        <v>2</v>
      </c>
      <c r="G45" t="b">
        <v>0</v>
      </c>
      <c r="H45">
        <f>IF(inventory__Data[[#This Row],[stock_on_hand]]&lt;=0,1,0)</f>
        <v>0</v>
      </c>
      <c r="I45">
        <f>COUNTIFS(inventory__Data[product_id],inventory__Data[[#This Row],[product_id]],inventory__Data[stock_on_hand],"&lt;=0")</f>
        <v>30</v>
      </c>
    </row>
    <row r="46" spans="1:9" x14ac:dyDescent="0.3">
      <c r="A46" s="1">
        <v>45666</v>
      </c>
      <c r="B46" t="s">
        <v>21</v>
      </c>
      <c r="C46">
        <v>217</v>
      </c>
      <c r="D46">
        <v>0.03</v>
      </c>
      <c r="E46">
        <v>6.51</v>
      </c>
      <c r="F46">
        <v>5</v>
      </c>
      <c r="G46" t="b">
        <v>0</v>
      </c>
      <c r="H46">
        <f>IF(inventory__Data[[#This Row],[stock_on_hand]]&lt;=0,1,0)</f>
        <v>0</v>
      </c>
      <c r="I46">
        <f>COUNTIFS(inventory__Data[product_id],inventory__Data[[#This Row],[product_id]],inventory__Data[stock_on_hand],"&lt;=0")</f>
        <v>29</v>
      </c>
    </row>
    <row r="47" spans="1:9" x14ac:dyDescent="0.3">
      <c r="A47" s="1">
        <v>45667</v>
      </c>
      <c r="B47" t="s">
        <v>9</v>
      </c>
      <c r="C47">
        <v>196</v>
      </c>
      <c r="D47">
        <v>0.05</v>
      </c>
      <c r="E47">
        <v>9.8000000000000007</v>
      </c>
      <c r="F47">
        <v>2</v>
      </c>
      <c r="G47" t="b">
        <v>0</v>
      </c>
      <c r="H47">
        <f>IF(inventory__Data[[#This Row],[stock_on_hand]]&lt;=0,1,0)</f>
        <v>0</v>
      </c>
      <c r="I47">
        <f>COUNTIFS(inventory__Data[product_id],inventory__Data[[#This Row],[product_id]],inventory__Data[stock_on_hand],"&lt;=0")</f>
        <v>25</v>
      </c>
    </row>
    <row r="48" spans="1:9" x14ac:dyDescent="0.3">
      <c r="A48" s="1">
        <v>45667</v>
      </c>
      <c r="B48" t="s">
        <v>12</v>
      </c>
      <c r="C48">
        <v>171</v>
      </c>
      <c r="D48">
        <v>0.02</v>
      </c>
      <c r="E48">
        <v>3.42</v>
      </c>
      <c r="F48">
        <v>5</v>
      </c>
      <c r="G48" t="b">
        <v>0</v>
      </c>
      <c r="H48">
        <f>IF(inventory__Data[[#This Row],[stock_on_hand]]&lt;=0,1,0)</f>
        <v>0</v>
      </c>
      <c r="I48">
        <f>COUNTIFS(inventory__Data[product_id],inventory__Data[[#This Row],[product_id]],inventory__Data[stock_on_hand],"&lt;=0")</f>
        <v>23</v>
      </c>
    </row>
    <row r="49" spans="1:9" x14ac:dyDescent="0.3">
      <c r="A49" s="1">
        <v>45667</v>
      </c>
      <c r="B49" t="s">
        <v>15</v>
      </c>
      <c r="C49">
        <v>228</v>
      </c>
      <c r="D49">
        <v>0.04</v>
      </c>
      <c r="E49">
        <v>9.1199999999999992</v>
      </c>
      <c r="F49">
        <v>5</v>
      </c>
      <c r="G49" t="b">
        <v>0</v>
      </c>
      <c r="H49">
        <f>IF(inventory__Data[[#This Row],[stock_on_hand]]&lt;=0,1,0)</f>
        <v>0</v>
      </c>
      <c r="I49">
        <f>COUNTIFS(inventory__Data[product_id],inventory__Data[[#This Row],[product_id]],inventory__Data[stock_on_hand],"&lt;=0")</f>
        <v>30</v>
      </c>
    </row>
    <row r="50" spans="1:9" x14ac:dyDescent="0.3">
      <c r="A50" s="1">
        <v>45667</v>
      </c>
      <c r="B50" t="s">
        <v>18</v>
      </c>
      <c r="C50">
        <v>170</v>
      </c>
      <c r="D50">
        <v>0.15</v>
      </c>
      <c r="E50">
        <v>25.5</v>
      </c>
      <c r="F50">
        <v>2</v>
      </c>
      <c r="G50" t="b">
        <v>0</v>
      </c>
      <c r="H50">
        <f>IF(inventory__Data[[#This Row],[stock_on_hand]]&lt;=0,1,0)</f>
        <v>0</v>
      </c>
      <c r="I50">
        <f>COUNTIFS(inventory__Data[product_id],inventory__Data[[#This Row],[product_id]],inventory__Data[stock_on_hand],"&lt;=0")</f>
        <v>30</v>
      </c>
    </row>
    <row r="51" spans="1:9" x14ac:dyDescent="0.3">
      <c r="A51" s="1">
        <v>45667</v>
      </c>
      <c r="B51" t="s">
        <v>21</v>
      </c>
      <c r="C51">
        <v>205</v>
      </c>
      <c r="D51">
        <v>0.03</v>
      </c>
      <c r="E51">
        <v>6.15</v>
      </c>
      <c r="F51">
        <v>2</v>
      </c>
      <c r="G51" t="b">
        <v>0</v>
      </c>
      <c r="H51">
        <f>IF(inventory__Data[[#This Row],[stock_on_hand]]&lt;=0,1,0)</f>
        <v>0</v>
      </c>
      <c r="I51">
        <f>COUNTIFS(inventory__Data[product_id],inventory__Data[[#This Row],[product_id]],inventory__Data[stock_on_hand],"&lt;=0")</f>
        <v>29</v>
      </c>
    </row>
    <row r="52" spans="1:9" x14ac:dyDescent="0.3">
      <c r="A52" s="1">
        <v>45668</v>
      </c>
      <c r="B52" t="s">
        <v>9</v>
      </c>
      <c r="C52">
        <v>127</v>
      </c>
      <c r="D52">
        <v>0.05</v>
      </c>
      <c r="E52">
        <v>6.35</v>
      </c>
      <c r="F52">
        <v>2</v>
      </c>
      <c r="G52" t="b">
        <v>0</v>
      </c>
      <c r="H52">
        <f>IF(inventory__Data[[#This Row],[stock_on_hand]]&lt;=0,1,0)</f>
        <v>0</v>
      </c>
      <c r="I52">
        <f>COUNTIFS(inventory__Data[product_id],inventory__Data[[#This Row],[product_id]],inventory__Data[stock_on_hand],"&lt;=0")</f>
        <v>25</v>
      </c>
    </row>
    <row r="53" spans="1:9" x14ac:dyDescent="0.3">
      <c r="A53" s="1">
        <v>45668</v>
      </c>
      <c r="B53" t="s">
        <v>12</v>
      </c>
      <c r="C53">
        <v>110</v>
      </c>
      <c r="D53">
        <v>0.02</v>
      </c>
      <c r="E53">
        <v>2.2000000000000002</v>
      </c>
      <c r="F53">
        <v>5</v>
      </c>
      <c r="G53" t="b">
        <v>0</v>
      </c>
      <c r="H53">
        <f>IF(inventory__Data[[#This Row],[stock_on_hand]]&lt;=0,1,0)</f>
        <v>0</v>
      </c>
      <c r="I53">
        <f>COUNTIFS(inventory__Data[product_id],inventory__Data[[#This Row],[product_id]],inventory__Data[stock_on_hand],"&lt;=0")</f>
        <v>23</v>
      </c>
    </row>
    <row r="54" spans="1:9" x14ac:dyDescent="0.3">
      <c r="A54" s="1">
        <v>45668</v>
      </c>
      <c r="B54" t="s">
        <v>15</v>
      </c>
      <c r="C54">
        <v>203</v>
      </c>
      <c r="D54">
        <v>0.04</v>
      </c>
      <c r="E54">
        <v>8.1199999999999992</v>
      </c>
      <c r="F54">
        <v>5</v>
      </c>
      <c r="G54" t="b">
        <v>0</v>
      </c>
      <c r="H54">
        <f>IF(inventory__Data[[#This Row],[stock_on_hand]]&lt;=0,1,0)</f>
        <v>0</v>
      </c>
      <c r="I54">
        <f>COUNTIFS(inventory__Data[product_id],inventory__Data[[#This Row],[product_id]],inventory__Data[stock_on_hand],"&lt;=0")</f>
        <v>30</v>
      </c>
    </row>
    <row r="55" spans="1:9" x14ac:dyDescent="0.3">
      <c r="A55" s="1">
        <v>45668</v>
      </c>
      <c r="B55" t="s">
        <v>18</v>
      </c>
      <c r="C55">
        <v>157</v>
      </c>
      <c r="D55">
        <v>0.15</v>
      </c>
      <c r="E55">
        <v>23.55</v>
      </c>
      <c r="F55">
        <v>2</v>
      </c>
      <c r="G55" t="b">
        <v>0</v>
      </c>
      <c r="H55">
        <f>IF(inventory__Data[[#This Row],[stock_on_hand]]&lt;=0,1,0)</f>
        <v>0</v>
      </c>
      <c r="I55">
        <f>COUNTIFS(inventory__Data[product_id],inventory__Data[[#This Row],[product_id]],inventory__Data[stock_on_hand],"&lt;=0")</f>
        <v>30</v>
      </c>
    </row>
    <row r="56" spans="1:9" x14ac:dyDescent="0.3">
      <c r="A56" s="1">
        <v>45668</v>
      </c>
      <c r="B56" t="s">
        <v>21</v>
      </c>
      <c r="C56">
        <v>163</v>
      </c>
      <c r="D56">
        <v>0.03</v>
      </c>
      <c r="E56">
        <v>4.8899999999999997</v>
      </c>
      <c r="F56">
        <v>15</v>
      </c>
      <c r="G56" t="b">
        <v>0</v>
      </c>
      <c r="H56">
        <f>IF(inventory__Data[[#This Row],[stock_on_hand]]&lt;=0,1,0)</f>
        <v>0</v>
      </c>
      <c r="I56">
        <f>COUNTIFS(inventory__Data[product_id],inventory__Data[[#This Row],[product_id]],inventory__Data[stock_on_hand],"&lt;=0")</f>
        <v>29</v>
      </c>
    </row>
    <row r="57" spans="1:9" x14ac:dyDescent="0.3">
      <c r="A57" s="1">
        <v>45669</v>
      </c>
      <c r="B57" t="s">
        <v>9</v>
      </c>
      <c r="C57">
        <v>66</v>
      </c>
      <c r="D57">
        <v>0.05</v>
      </c>
      <c r="E57">
        <v>3.3</v>
      </c>
      <c r="F57">
        <v>5</v>
      </c>
      <c r="G57" t="b">
        <v>0</v>
      </c>
      <c r="H57">
        <f>IF(inventory__Data[[#This Row],[stock_on_hand]]&lt;=0,1,0)</f>
        <v>0</v>
      </c>
      <c r="I57">
        <f>COUNTIFS(inventory__Data[product_id],inventory__Data[[#This Row],[product_id]],inventory__Data[stock_on_hand],"&lt;=0")</f>
        <v>25</v>
      </c>
    </row>
    <row r="58" spans="1:9" x14ac:dyDescent="0.3">
      <c r="A58" s="1">
        <v>45669</v>
      </c>
      <c r="B58" t="s">
        <v>12</v>
      </c>
      <c r="C58">
        <v>71</v>
      </c>
      <c r="D58">
        <v>0.02</v>
      </c>
      <c r="E58">
        <v>1.42</v>
      </c>
      <c r="F58">
        <v>2</v>
      </c>
      <c r="G58" t="b">
        <v>0</v>
      </c>
      <c r="H58">
        <f>IF(inventory__Data[[#This Row],[stock_on_hand]]&lt;=0,1,0)</f>
        <v>0</v>
      </c>
      <c r="I58">
        <f>COUNTIFS(inventory__Data[product_id],inventory__Data[[#This Row],[product_id]],inventory__Data[stock_on_hand],"&lt;=0")</f>
        <v>23</v>
      </c>
    </row>
    <row r="59" spans="1:9" x14ac:dyDescent="0.3">
      <c r="A59" s="1">
        <v>45669</v>
      </c>
      <c r="B59" t="s">
        <v>15</v>
      </c>
      <c r="C59">
        <v>130</v>
      </c>
      <c r="D59">
        <v>0.04</v>
      </c>
      <c r="E59">
        <v>5.2</v>
      </c>
      <c r="F59">
        <v>2</v>
      </c>
      <c r="G59" t="b">
        <v>0</v>
      </c>
      <c r="H59">
        <f>IF(inventory__Data[[#This Row],[stock_on_hand]]&lt;=0,1,0)</f>
        <v>0</v>
      </c>
      <c r="I59">
        <f>COUNTIFS(inventory__Data[product_id],inventory__Data[[#This Row],[product_id]],inventory__Data[stock_on_hand],"&lt;=0")</f>
        <v>30</v>
      </c>
    </row>
    <row r="60" spans="1:9" x14ac:dyDescent="0.3">
      <c r="A60" s="1">
        <v>45669</v>
      </c>
      <c r="B60" t="s">
        <v>18</v>
      </c>
      <c r="C60">
        <v>106</v>
      </c>
      <c r="D60">
        <v>0.15</v>
      </c>
      <c r="E60">
        <v>15.9</v>
      </c>
      <c r="F60">
        <v>10</v>
      </c>
      <c r="G60" t="b">
        <v>0</v>
      </c>
      <c r="H60">
        <f>IF(inventory__Data[[#This Row],[stock_on_hand]]&lt;=0,1,0)</f>
        <v>0</v>
      </c>
      <c r="I60">
        <f>COUNTIFS(inventory__Data[product_id],inventory__Data[[#This Row],[product_id]],inventory__Data[stock_on_hand],"&lt;=0")</f>
        <v>30</v>
      </c>
    </row>
    <row r="61" spans="1:9" x14ac:dyDescent="0.3">
      <c r="A61" s="1">
        <v>45669</v>
      </c>
      <c r="B61" t="s">
        <v>21</v>
      </c>
      <c r="C61">
        <v>148</v>
      </c>
      <c r="D61">
        <v>0.03</v>
      </c>
      <c r="E61">
        <v>4.4400000000000004</v>
      </c>
      <c r="F61">
        <v>2</v>
      </c>
      <c r="G61" t="b">
        <v>0</v>
      </c>
      <c r="H61">
        <f>IF(inventory__Data[[#This Row],[stock_on_hand]]&lt;=0,1,0)</f>
        <v>0</v>
      </c>
      <c r="I61">
        <f>COUNTIFS(inventory__Data[product_id],inventory__Data[[#This Row],[product_id]],inventory__Data[stock_on_hand],"&lt;=0")</f>
        <v>29</v>
      </c>
    </row>
    <row r="62" spans="1:9" x14ac:dyDescent="0.3">
      <c r="A62" s="1">
        <v>45670</v>
      </c>
      <c r="B62" t="s">
        <v>9</v>
      </c>
      <c r="C62">
        <v>36</v>
      </c>
      <c r="D62">
        <v>0.05</v>
      </c>
      <c r="E62">
        <v>1.8</v>
      </c>
      <c r="F62">
        <v>2</v>
      </c>
      <c r="G62" t="b">
        <v>0</v>
      </c>
      <c r="H62">
        <f>IF(inventory__Data[[#This Row],[stock_on_hand]]&lt;=0,1,0)</f>
        <v>0</v>
      </c>
      <c r="I62">
        <f>COUNTIFS(inventory__Data[product_id],inventory__Data[[#This Row],[product_id]],inventory__Data[stock_on_hand],"&lt;=0")</f>
        <v>25</v>
      </c>
    </row>
    <row r="63" spans="1:9" x14ac:dyDescent="0.3">
      <c r="A63" s="1">
        <v>45670</v>
      </c>
      <c r="B63" t="s">
        <v>12</v>
      </c>
      <c r="C63">
        <v>61</v>
      </c>
      <c r="D63">
        <v>0.02</v>
      </c>
      <c r="E63">
        <v>1.22</v>
      </c>
      <c r="F63">
        <v>5</v>
      </c>
      <c r="G63" t="b">
        <v>0</v>
      </c>
      <c r="H63">
        <f>IF(inventory__Data[[#This Row],[stock_on_hand]]&lt;=0,1,0)</f>
        <v>0</v>
      </c>
      <c r="I63">
        <f>COUNTIFS(inventory__Data[product_id],inventory__Data[[#This Row],[product_id]],inventory__Data[stock_on_hand],"&lt;=0")</f>
        <v>23</v>
      </c>
    </row>
    <row r="64" spans="1:9" x14ac:dyDescent="0.3">
      <c r="A64" s="1">
        <v>45670</v>
      </c>
      <c r="B64" t="s">
        <v>15</v>
      </c>
      <c r="C64">
        <v>125</v>
      </c>
      <c r="D64">
        <v>0.04</v>
      </c>
      <c r="E64">
        <v>5</v>
      </c>
      <c r="F64">
        <v>5</v>
      </c>
      <c r="G64" t="b">
        <v>0</v>
      </c>
      <c r="H64">
        <f>IF(inventory__Data[[#This Row],[stock_on_hand]]&lt;=0,1,0)</f>
        <v>0</v>
      </c>
      <c r="I64">
        <f>COUNTIFS(inventory__Data[product_id],inventory__Data[[#This Row],[product_id]],inventory__Data[stock_on_hand],"&lt;=0")</f>
        <v>30</v>
      </c>
    </row>
    <row r="65" spans="1:9" x14ac:dyDescent="0.3">
      <c r="A65" s="1">
        <v>45670</v>
      </c>
      <c r="B65" t="s">
        <v>18</v>
      </c>
      <c r="C65">
        <v>89</v>
      </c>
      <c r="D65">
        <v>0.15</v>
      </c>
      <c r="E65">
        <v>13.35</v>
      </c>
      <c r="F65">
        <v>5</v>
      </c>
      <c r="G65" t="b">
        <v>0</v>
      </c>
      <c r="H65">
        <f>IF(inventory__Data[[#This Row],[stock_on_hand]]&lt;=0,1,0)</f>
        <v>0</v>
      </c>
      <c r="I65">
        <f>COUNTIFS(inventory__Data[product_id],inventory__Data[[#This Row],[product_id]],inventory__Data[stock_on_hand],"&lt;=0")</f>
        <v>30</v>
      </c>
    </row>
    <row r="66" spans="1:9" x14ac:dyDescent="0.3">
      <c r="A66" s="1">
        <v>45670</v>
      </c>
      <c r="B66" t="s">
        <v>21</v>
      </c>
      <c r="C66">
        <v>142</v>
      </c>
      <c r="D66">
        <v>0.03</v>
      </c>
      <c r="E66">
        <v>4.26</v>
      </c>
      <c r="F66">
        <v>10</v>
      </c>
      <c r="G66" t="b">
        <v>0</v>
      </c>
      <c r="H66">
        <f>IF(inventory__Data[[#This Row],[stock_on_hand]]&lt;=0,1,0)</f>
        <v>0</v>
      </c>
      <c r="I66">
        <f>COUNTIFS(inventory__Data[product_id],inventory__Data[[#This Row],[product_id]],inventory__Data[stock_on_hand],"&lt;=0")</f>
        <v>29</v>
      </c>
    </row>
    <row r="67" spans="1:9" x14ac:dyDescent="0.3">
      <c r="A67" s="1">
        <v>45671</v>
      </c>
      <c r="B67" t="s">
        <v>9</v>
      </c>
      <c r="C67">
        <v>31</v>
      </c>
      <c r="D67">
        <v>0.05</v>
      </c>
      <c r="E67">
        <v>1.55</v>
      </c>
      <c r="F67">
        <v>2</v>
      </c>
      <c r="G67" t="b">
        <v>0</v>
      </c>
      <c r="H67">
        <f>IF(inventory__Data[[#This Row],[stock_on_hand]]&lt;=0,1,0)</f>
        <v>0</v>
      </c>
      <c r="I67">
        <f>COUNTIFS(inventory__Data[product_id],inventory__Data[[#This Row],[product_id]],inventory__Data[stock_on_hand],"&lt;=0")</f>
        <v>25</v>
      </c>
    </row>
    <row r="68" spans="1:9" x14ac:dyDescent="0.3">
      <c r="A68" s="1">
        <v>45671</v>
      </c>
      <c r="B68" t="s">
        <v>12</v>
      </c>
      <c r="C68">
        <v>36</v>
      </c>
      <c r="D68">
        <v>0.02</v>
      </c>
      <c r="E68">
        <v>0.72</v>
      </c>
      <c r="F68">
        <v>2</v>
      </c>
      <c r="G68" t="b">
        <v>0</v>
      </c>
      <c r="H68">
        <f>IF(inventory__Data[[#This Row],[stock_on_hand]]&lt;=0,1,0)</f>
        <v>0</v>
      </c>
      <c r="I68">
        <f>COUNTIFS(inventory__Data[product_id],inventory__Data[[#This Row],[product_id]],inventory__Data[stock_on_hand],"&lt;=0")</f>
        <v>23</v>
      </c>
    </row>
    <row r="69" spans="1:9" x14ac:dyDescent="0.3">
      <c r="A69" s="1">
        <v>45671</v>
      </c>
      <c r="B69" t="s">
        <v>15</v>
      </c>
      <c r="C69">
        <v>81</v>
      </c>
      <c r="D69">
        <v>0.04</v>
      </c>
      <c r="E69">
        <v>3.24</v>
      </c>
      <c r="F69">
        <v>5</v>
      </c>
      <c r="G69" t="b">
        <v>0</v>
      </c>
      <c r="H69">
        <f>IF(inventory__Data[[#This Row],[stock_on_hand]]&lt;=0,1,0)</f>
        <v>0</v>
      </c>
      <c r="I69">
        <f>COUNTIFS(inventory__Data[product_id],inventory__Data[[#This Row],[product_id]],inventory__Data[stock_on_hand],"&lt;=0")</f>
        <v>30</v>
      </c>
    </row>
    <row r="70" spans="1:9" x14ac:dyDescent="0.3">
      <c r="A70" s="1">
        <v>45671</v>
      </c>
      <c r="B70" t="s">
        <v>18</v>
      </c>
      <c r="C70">
        <v>53</v>
      </c>
      <c r="D70">
        <v>0.15</v>
      </c>
      <c r="E70">
        <v>7.95</v>
      </c>
      <c r="F70">
        <v>2</v>
      </c>
      <c r="G70" t="b">
        <v>0</v>
      </c>
      <c r="H70">
        <f>IF(inventory__Data[[#This Row],[stock_on_hand]]&lt;=0,1,0)</f>
        <v>0</v>
      </c>
      <c r="I70">
        <f>COUNTIFS(inventory__Data[product_id],inventory__Data[[#This Row],[product_id]],inventory__Data[stock_on_hand],"&lt;=0")</f>
        <v>30</v>
      </c>
    </row>
    <row r="71" spans="1:9" x14ac:dyDescent="0.3">
      <c r="A71" s="1">
        <v>45671</v>
      </c>
      <c r="B71" t="s">
        <v>21</v>
      </c>
      <c r="C71">
        <v>128</v>
      </c>
      <c r="D71">
        <v>0.03</v>
      </c>
      <c r="E71">
        <v>3.84</v>
      </c>
      <c r="F71">
        <v>2</v>
      </c>
      <c r="G71" t="b">
        <v>0</v>
      </c>
      <c r="H71">
        <f>IF(inventory__Data[[#This Row],[stock_on_hand]]&lt;=0,1,0)</f>
        <v>0</v>
      </c>
      <c r="I71">
        <f>COUNTIFS(inventory__Data[product_id],inventory__Data[[#This Row],[product_id]],inventory__Data[stock_on_hand],"&lt;=0")</f>
        <v>29</v>
      </c>
    </row>
    <row r="72" spans="1:9" x14ac:dyDescent="0.3">
      <c r="A72" s="1">
        <v>45672</v>
      </c>
      <c r="B72" t="s">
        <v>9</v>
      </c>
      <c r="C72">
        <v>0</v>
      </c>
      <c r="D72">
        <v>0.05</v>
      </c>
      <c r="E72">
        <v>0</v>
      </c>
      <c r="F72">
        <v>15</v>
      </c>
      <c r="G72" t="b">
        <v>0</v>
      </c>
      <c r="H72">
        <f>IF(inventory__Data[[#This Row],[stock_on_hand]]&lt;=0,1,0)</f>
        <v>1</v>
      </c>
      <c r="I72">
        <f>COUNTIFS(inventory__Data[product_id],inventory__Data[[#This Row],[product_id]],inventory__Data[stock_on_hand],"&lt;=0")</f>
        <v>25</v>
      </c>
    </row>
    <row r="73" spans="1:9" x14ac:dyDescent="0.3">
      <c r="A73" s="1">
        <v>45672</v>
      </c>
      <c r="B73" t="s">
        <v>12</v>
      </c>
      <c r="C73">
        <v>24</v>
      </c>
      <c r="D73">
        <v>0.02</v>
      </c>
      <c r="E73">
        <v>0.48</v>
      </c>
      <c r="F73">
        <v>10</v>
      </c>
      <c r="G73" t="b">
        <v>0</v>
      </c>
      <c r="H73">
        <f>IF(inventory__Data[[#This Row],[stock_on_hand]]&lt;=0,1,0)</f>
        <v>0</v>
      </c>
      <c r="I73">
        <f>COUNTIFS(inventory__Data[product_id],inventory__Data[[#This Row],[product_id]],inventory__Data[stock_on_hand],"&lt;=0")</f>
        <v>23</v>
      </c>
    </row>
    <row r="74" spans="1:9" x14ac:dyDescent="0.3">
      <c r="A74" s="1">
        <v>45672</v>
      </c>
      <c r="B74" t="s">
        <v>15</v>
      </c>
      <c r="C74">
        <v>58</v>
      </c>
      <c r="D74">
        <v>0.04</v>
      </c>
      <c r="E74">
        <v>2.3199999999999998</v>
      </c>
      <c r="F74">
        <v>2</v>
      </c>
      <c r="G74" t="b">
        <v>0</v>
      </c>
      <c r="H74">
        <f>IF(inventory__Data[[#This Row],[stock_on_hand]]&lt;=0,1,0)</f>
        <v>0</v>
      </c>
      <c r="I74">
        <f>COUNTIFS(inventory__Data[product_id],inventory__Data[[#This Row],[product_id]],inventory__Data[stock_on_hand],"&lt;=0")</f>
        <v>30</v>
      </c>
    </row>
    <row r="75" spans="1:9" x14ac:dyDescent="0.3">
      <c r="A75" s="1">
        <v>45672</v>
      </c>
      <c r="B75" t="s">
        <v>18</v>
      </c>
      <c r="C75">
        <v>6</v>
      </c>
      <c r="D75">
        <v>0.15</v>
      </c>
      <c r="E75">
        <v>0.9</v>
      </c>
      <c r="F75">
        <v>2</v>
      </c>
      <c r="G75" t="b">
        <v>0</v>
      </c>
      <c r="H75">
        <f>IF(inventory__Data[[#This Row],[stock_on_hand]]&lt;=0,1,0)</f>
        <v>0</v>
      </c>
      <c r="I75">
        <f>COUNTIFS(inventory__Data[product_id],inventory__Data[[#This Row],[product_id]],inventory__Data[stock_on_hand],"&lt;=0")</f>
        <v>30</v>
      </c>
    </row>
    <row r="76" spans="1:9" x14ac:dyDescent="0.3">
      <c r="A76" s="1">
        <v>45672</v>
      </c>
      <c r="B76" t="s">
        <v>21</v>
      </c>
      <c r="C76">
        <v>118</v>
      </c>
      <c r="D76">
        <v>0.03</v>
      </c>
      <c r="E76">
        <v>3.54</v>
      </c>
      <c r="F76">
        <v>5</v>
      </c>
      <c r="G76" t="b">
        <v>0</v>
      </c>
      <c r="H76">
        <f>IF(inventory__Data[[#This Row],[stock_on_hand]]&lt;=0,1,0)</f>
        <v>0</v>
      </c>
      <c r="I76">
        <f>COUNTIFS(inventory__Data[product_id],inventory__Data[[#This Row],[product_id]],inventory__Data[stock_on_hand],"&lt;=0")</f>
        <v>29</v>
      </c>
    </row>
    <row r="77" spans="1:9" x14ac:dyDescent="0.3">
      <c r="A77" s="1">
        <v>45673</v>
      </c>
      <c r="B77" t="s">
        <v>9</v>
      </c>
      <c r="C77">
        <v>0</v>
      </c>
      <c r="D77">
        <v>0.05</v>
      </c>
      <c r="E77">
        <v>0</v>
      </c>
      <c r="F77">
        <v>2</v>
      </c>
      <c r="G77" t="b">
        <v>0</v>
      </c>
      <c r="H77">
        <f>IF(inventory__Data[[#This Row],[stock_on_hand]]&lt;=0,1,0)</f>
        <v>1</v>
      </c>
      <c r="I77">
        <f>COUNTIFS(inventory__Data[product_id],inventory__Data[[#This Row],[product_id]],inventory__Data[stock_on_hand],"&lt;=0")</f>
        <v>25</v>
      </c>
    </row>
    <row r="78" spans="1:9" x14ac:dyDescent="0.3">
      <c r="A78" s="1">
        <v>45673</v>
      </c>
      <c r="B78" t="s">
        <v>12</v>
      </c>
      <c r="C78">
        <v>0</v>
      </c>
      <c r="D78">
        <v>0.02</v>
      </c>
      <c r="E78">
        <v>0</v>
      </c>
      <c r="F78">
        <v>5</v>
      </c>
      <c r="G78" t="b">
        <v>0</v>
      </c>
      <c r="H78">
        <f>IF(inventory__Data[[#This Row],[stock_on_hand]]&lt;=0,1,0)</f>
        <v>1</v>
      </c>
      <c r="I78">
        <f>COUNTIFS(inventory__Data[product_id],inventory__Data[[#This Row],[product_id]],inventory__Data[stock_on_hand],"&lt;=0")</f>
        <v>23</v>
      </c>
    </row>
    <row r="79" spans="1:9" x14ac:dyDescent="0.3">
      <c r="A79" s="1">
        <v>45673</v>
      </c>
      <c r="B79" t="s">
        <v>15</v>
      </c>
      <c r="C79">
        <v>21</v>
      </c>
      <c r="D79">
        <v>0.04</v>
      </c>
      <c r="E79">
        <v>0.84</v>
      </c>
      <c r="F79">
        <v>2</v>
      </c>
      <c r="G79" t="b">
        <v>0</v>
      </c>
      <c r="H79">
        <f>IF(inventory__Data[[#This Row],[stock_on_hand]]&lt;=0,1,0)</f>
        <v>0</v>
      </c>
      <c r="I79">
        <f>COUNTIFS(inventory__Data[product_id],inventory__Data[[#This Row],[product_id]],inventory__Data[stock_on_hand],"&lt;=0")</f>
        <v>30</v>
      </c>
    </row>
    <row r="80" spans="1:9" x14ac:dyDescent="0.3">
      <c r="A80" s="1">
        <v>45673</v>
      </c>
      <c r="B80" t="s">
        <v>18</v>
      </c>
      <c r="C80">
        <v>0</v>
      </c>
      <c r="D80">
        <v>0.15</v>
      </c>
      <c r="E80">
        <v>0</v>
      </c>
      <c r="F80">
        <v>10</v>
      </c>
      <c r="G80" t="b">
        <v>0</v>
      </c>
      <c r="H80">
        <f>IF(inventory__Data[[#This Row],[stock_on_hand]]&lt;=0,1,0)</f>
        <v>1</v>
      </c>
      <c r="I80">
        <f>COUNTIFS(inventory__Data[product_id],inventory__Data[[#This Row],[product_id]],inventory__Data[stock_on_hand],"&lt;=0")</f>
        <v>30</v>
      </c>
    </row>
    <row r="81" spans="1:9" x14ac:dyDescent="0.3">
      <c r="A81" s="1">
        <v>45673</v>
      </c>
      <c r="B81" t="s">
        <v>21</v>
      </c>
      <c r="C81">
        <v>76</v>
      </c>
      <c r="D81">
        <v>0.03</v>
      </c>
      <c r="E81">
        <v>2.2799999999999998</v>
      </c>
      <c r="F81">
        <v>5</v>
      </c>
      <c r="G81" t="b">
        <v>0</v>
      </c>
      <c r="H81">
        <f>IF(inventory__Data[[#This Row],[stock_on_hand]]&lt;=0,1,0)</f>
        <v>0</v>
      </c>
      <c r="I81">
        <f>COUNTIFS(inventory__Data[product_id],inventory__Data[[#This Row],[product_id]],inventory__Data[stock_on_hand],"&lt;=0")</f>
        <v>29</v>
      </c>
    </row>
    <row r="82" spans="1:9" x14ac:dyDescent="0.3">
      <c r="A82" s="1">
        <v>45674</v>
      </c>
      <c r="B82" t="s">
        <v>9</v>
      </c>
      <c r="C82">
        <v>0</v>
      </c>
      <c r="D82">
        <v>0.05</v>
      </c>
      <c r="E82">
        <v>0</v>
      </c>
      <c r="F82">
        <v>10</v>
      </c>
      <c r="G82" t="b">
        <v>0</v>
      </c>
      <c r="H82">
        <f>IF(inventory__Data[[#This Row],[stock_on_hand]]&lt;=0,1,0)</f>
        <v>1</v>
      </c>
      <c r="I82">
        <f>COUNTIFS(inventory__Data[product_id],inventory__Data[[#This Row],[product_id]],inventory__Data[stock_on_hand],"&lt;=0")</f>
        <v>25</v>
      </c>
    </row>
    <row r="83" spans="1:9" x14ac:dyDescent="0.3">
      <c r="A83" s="1">
        <v>45674</v>
      </c>
      <c r="B83" t="s">
        <v>12</v>
      </c>
      <c r="C83">
        <v>0</v>
      </c>
      <c r="D83">
        <v>0.02</v>
      </c>
      <c r="E83">
        <v>0</v>
      </c>
      <c r="F83">
        <v>2</v>
      </c>
      <c r="G83" t="b">
        <v>0</v>
      </c>
      <c r="H83">
        <f>IF(inventory__Data[[#This Row],[stock_on_hand]]&lt;=0,1,0)</f>
        <v>1</v>
      </c>
      <c r="I83">
        <f>COUNTIFS(inventory__Data[product_id],inventory__Data[[#This Row],[product_id]],inventory__Data[stock_on_hand],"&lt;=0")</f>
        <v>23</v>
      </c>
    </row>
    <row r="84" spans="1:9" x14ac:dyDescent="0.3">
      <c r="A84" s="1">
        <v>45674</v>
      </c>
      <c r="B84" t="s">
        <v>15</v>
      </c>
      <c r="C84">
        <v>0</v>
      </c>
      <c r="D84">
        <v>0.04</v>
      </c>
      <c r="E84">
        <v>0</v>
      </c>
      <c r="F84">
        <v>5</v>
      </c>
      <c r="G84" t="b">
        <v>0</v>
      </c>
      <c r="H84">
        <f>IF(inventory__Data[[#This Row],[stock_on_hand]]&lt;=0,1,0)</f>
        <v>1</v>
      </c>
      <c r="I84">
        <f>COUNTIFS(inventory__Data[product_id],inventory__Data[[#This Row],[product_id]],inventory__Data[stock_on_hand],"&lt;=0")</f>
        <v>30</v>
      </c>
    </row>
    <row r="85" spans="1:9" x14ac:dyDescent="0.3">
      <c r="A85" s="1">
        <v>45674</v>
      </c>
      <c r="B85" t="s">
        <v>18</v>
      </c>
      <c r="C85">
        <v>0</v>
      </c>
      <c r="D85">
        <v>0.15</v>
      </c>
      <c r="E85">
        <v>0</v>
      </c>
      <c r="F85">
        <v>5</v>
      </c>
      <c r="G85" t="b">
        <v>0</v>
      </c>
      <c r="H85">
        <f>IF(inventory__Data[[#This Row],[stock_on_hand]]&lt;=0,1,0)</f>
        <v>1</v>
      </c>
      <c r="I85">
        <f>COUNTIFS(inventory__Data[product_id],inventory__Data[[#This Row],[product_id]],inventory__Data[stock_on_hand],"&lt;=0")</f>
        <v>30</v>
      </c>
    </row>
    <row r="86" spans="1:9" x14ac:dyDescent="0.3">
      <c r="A86" s="1">
        <v>45674</v>
      </c>
      <c r="B86" t="s">
        <v>21</v>
      </c>
      <c r="C86">
        <v>51</v>
      </c>
      <c r="D86">
        <v>0.03</v>
      </c>
      <c r="E86">
        <v>1.53</v>
      </c>
      <c r="F86">
        <v>15</v>
      </c>
      <c r="G86" t="b">
        <v>0</v>
      </c>
      <c r="H86">
        <f>IF(inventory__Data[[#This Row],[stock_on_hand]]&lt;=0,1,0)</f>
        <v>0</v>
      </c>
      <c r="I86">
        <f>COUNTIFS(inventory__Data[product_id],inventory__Data[[#This Row],[product_id]],inventory__Data[stock_on_hand],"&lt;=0")</f>
        <v>29</v>
      </c>
    </row>
    <row r="87" spans="1:9" x14ac:dyDescent="0.3">
      <c r="A87" s="1">
        <v>45675</v>
      </c>
      <c r="B87" t="s">
        <v>9</v>
      </c>
      <c r="C87">
        <v>0</v>
      </c>
      <c r="D87">
        <v>0.05</v>
      </c>
      <c r="E87">
        <v>0</v>
      </c>
      <c r="F87">
        <v>2</v>
      </c>
      <c r="G87" t="b">
        <v>0</v>
      </c>
      <c r="H87">
        <f>IF(inventory__Data[[#This Row],[stock_on_hand]]&lt;=0,1,0)</f>
        <v>1</v>
      </c>
      <c r="I87">
        <f>COUNTIFS(inventory__Data[product_id],inventory__Data[[#This Row],[product_id]],inventory__Data[stock_on_hand],"&lt;=0")</f>
        <v>25</v>
      </c>
    </row>
    <row r="88" spans="1:9" x14ac:dyDescent="0.3">
      <c r="A88" s="1">
        <v>45675</v>
      </c>
      <c r="B88" t="s">
        <v>12</v>
      </c>
      <c r="C88">
        <v>0</v>
      </c>
      <c r="D88">
        <v>0.02</v>
      </c>
      <c r="E88">
        <v>0</v>
      </c>
      <c r="F88">
        <v>2</v>
      </c>
      <c r="G88" t="b">
        <v>0</v>
      </c>
      <c r="H88">
        <f>IF(inventory__Data[[#This Row],[stock_on_hand]]&lt;=0,1,0)</f>
        <v>1</v>
      </c>
      <c r="I88">
        <f>COUNTIFS(inventory__Data[product_id],inventory__Data[[#This Row],[product_id]],inventory__Data[stock_on_hand],"&lt;=0")</f>
        <v>23</v>
      </c>
    </row>
    <row r="89" spans="1:9" x14ac:dyDescent="0.3">
      <c r="A89" s="1">
        <v>45675</v>
      </c>
      <c r="B89" t="s">
        <v>15</v>
      </c>
      <c r="C89">
        <v>714</v>
      </c>
      <c r="D89">
        <v>0.04</v>
      </c>
      <c r="E89">
        <v>0</v>
      </c>
      <c r="F89">
        <v>2</v>
      </c>
      <c r="G89" t="b">
        <v>0</v>
      </c>
      <c r="H89">
        <f>IF(inventory__Data[[#This Row],[stock_on_hand]]&lt;=0,1,0)</f>
        <v>0</v>
      </c>
      <c r="I89">
        <f>COUNTIFS(inventory__Data[product_id],inventory__Data[[#This Row],[product_id]],inventory__Data[stock_on_hand],"&lt;=0")</f>
        <v>30</v>
      </c>
    </row>
    <row r="90" spans="1:9" x14ac:dyDescent="0.3">
      <c r="A90" s="1">
        <v>45675</v>
      </c>
      <c r="B90" t="s">
        <v>18</v>
      </c>
      <c r="C90">
        <v>546</v>
      </c>
      <c r="D90">
        <v>0.15</v>
      </c>
      <c r="E90">
        <v>0</v>
      </c>
      <c r="F90">
        <v>15</v>
      </c>
      <c r="G90" t="b">
        <v>0</v>
      </c>
      <c r="H90">
        <f>IF(inventory__Data[[#This Row],[stock_on_hand]]&lt;=0,1,0)</f>
        <v>0</v>
      </c>
      <c r="I90">
        <f>COUNTIFS(inventory__Data[product_id],inventory__Data[[#This Row],[product_id]],inventory__Data[stock_on_hand],"&lt;=0")</f>
        <v>30</v>
      </c>
    </row>
    <row r="91" spans="1:9" x14ac:dyDescent="0.3">
      <c r="A91" s="1">
        <v>45675</v>
      </c>
      <c r="B91" t="s">
        <v>21</v>
      </c>
      <c r="C91">
        <v>849</v>
      </c>
      <c r="D91">
        <v>0.03</v>
      </c>
      <c r="E91">
        <v>0</v>
      </c>
      <c r="F91">
        <v>2</v>
      </c>
      <c r="G91" t="b">
        <v>0</v>
      </c>
      <c r="H91">
        <f>IF(inventory__Data[[#This Row],[stock_on_hand]]&lt;=0,1,0)</f>
        <v>0</v>
      </c>
      <c r="I91">
        <f>COUNTIFS(inventory__Data[product_id],inventory__Data[[#This Row],[product_id]],inventory__Data[stock_on_hand],"&lt;=0")</f>
        <v>29</v>
      </c>
    </row>
    <row r="92" spans="1:9" x14ac:dyDescent="0.3">
      <c r="A92" s="1">
        <v>45676</v>
      </c>
      <c r="B92" t="s">
        <v>9</v>
      </c>
      <c r="C92">
        <v>687</v>
      </c>
      <c r="D92">
        <v>0.05</v>
      </c>
      <c r="E92">
        <v>0</v>
      </c>
      <c r="F92">
        <v>2</v>
      </c>
      <c r="G92" t="b">
        <v>0</v>
      </c>
      <c r="H92">
        <f>IF(inventory__Data[[#This Row],[stock_on_hand]]&lt;=0,1,0)</f>
        <v>0</v>
      </c>
      <c r="I92">
        <f>COUNTIFS(inventory__Data[product_id],inventory__Data[[#This Row],[product_id]],inventory__Data[stock_on_hand],"&lt;=0")</f>
        <v>25</v>
      </c>
    </row>
    <row r="93" spans="1:9" x14ac:dyDescent="0.3">
      <c r="A93" s="1">
        <v>45676</v>
      </c>
      <c r="B93" t="s">
        <v>12</v>
      </c>
      <c r="C93">
        <v>651</v>
      </c>
      <c r="D93">
        <v>0.02</v>
      </c>
      <c r="E93">
        <v>0</v>
      </c>
      <c r="F93">
        <v>2</v>
      </c>
      <c r="G93" t="b">
        <v>0</v>
      </c>
      <c r="H93">
        <f>IF(inventory__Data[[#This Row],[stock_on_hand]]&lt;=0,1,0)</f>
        <v>0</v>
      </c>
      <c r="I93">
        <f>COUNTIFS(inventory__Data[product_id],inventory__Data[[#This Row],[product_id]],inventory__Data[stock_on_hand],"&lt;=0")</f>
        <v>23</v>
      </c>
    </row>
    <row r="94" spans="1:9" x14ac:dyDescent="0.3">
      <c r="A94" s="1">
        <v>45676</v>
      </c>
      <c r="B94" t="s">
        <v>15</v>
      </c>
      <c r="C94">
        <v>397</v>
      </c>
      <c r="D94">
        <v>0.04</v>
      </c>
      <c r="E94">
        <v>0</v>
      </c>
      <c r="F94">
        <v>2</v>
      </c>
      <c r="G94" t="b">
        <v>0</v>
      </c>
      <c r="H94">
        <f>IF(inventory__Data[[#This Row],[stock_on_hand]]&lt;=0,1,0)</f>
        <v>0</v>
      </c>
      <c r="I94">
        <f>COUNTIFS(inventory__Data[product_id],inventory__Data[[#This Row],[product_id]],inventory__Data[stock_on_hand],"&lt;=0")</f>
        <v>30</v>
      </c>
    </row>
    <row r="95" spans="1:9" x14ac:dyDescent="0.3">
      <c r="A95" s="1">
        <v>45676</v>
      </c>
      <c r="B95" t="s">
        <v>18</v>
      </c>
      <c r="C95">
        <v>671</v>
      </c>
      <c r="D95">
        <v>0.15</v>
      </c>
      <c r="E95">
        <v>0</v>
      </c>
      <c r="F95">
        <v>2</v>
      </c>
      <c r="G95" t="b">
        <v>0</v>
      </c>
      <c r="H95">
        <f>IF(inventory__Data[[#This Row],[stock_on_hand]]&lt;=0,1,0)</f>
        <v>0</v>
      </c>
      <c r="I95">
        <f>COUNTIFS(inventory__Data[product_id],inventory__Data[[#This Row],[product_id]],inventory__Data[stock_on_hand],"&lt;=0")</f>
        <v>30</v>
      </c>
    </row>
    <row r="96" spans="1:9" x14ac:dyDescent="0.3">
      <c r="A96" s="1">
        <v>45676</v>
      </c>
      <c r="B96" t="s">
        <v>21</v>
      </c>
      <c r="C96">
        <v>340</v>
      </c>
      <c r="D96">
        <v>0.03</v>
      </c>
      <c r="E96">
        <v>0</v>
      </c>
      <c r="F96">
        <v>2</v>
      </c>
      <c r="G96" t="b">
        <v>0</v>
      </c>
      <c r="H96">
        <f>IF(inventory__Data[[#This Row],[stock_on_hand]]&lt;=0,1,0)</f>
        <v>0</v>
      </c>
      <c r="I96">
        <f>COUNTIFS(inventory__Data[product_id],inventory__Data[[#This Row],[product_id]],inventory__Data[stock_on_hand],"&lt;=0")</f>
        <v>29</v>
      </c>
    </row>
    <row r="97" spans="1:9" x14ac:dyDescent="0.3">
      <c r="A97" s="1">
        <v>45677</v>
      </c>
      <c r="B97" t="s">
        <v>9</v>
      </c>
      <c r="C97">
        <v>112</v>
      </c>
      <c r="D97">
        <v>0.05</v>
      </c>
      <c r="E97">
        <v>0</v>
      </c>
      <c r="F97">
        <v>2</v>
      </c>
      <c r="G97" t="b">
        <v>0</v>
      </c>
      <c r="H97">
        <f>IF(inventory__Data[[#This Row],[stock_on_hand]]&lt;=0,1,0)</f>
        <v>0</v>
      </c>
      <c r="I97">
        <f>COUNTIFS(inventory__Data[product_id],inventory__Data[[#This Row],[product_id]],inventory__Data[stock_on_hand],"&lt;=0")</f>
        <v>25</v>
      </c>
    </row>
    <row r="98" spans="1:9" x14ac:dyDescent="0.3">
      <c r="A98" s="1">
        <v>45677</v>
      </c>
      <c r="B98" t="s">
        <v>12</v>
      </c>
      <c r="C98">
        <v>646</v>
      </c>
      <c r="D98">
        <v>0.02</v>
      </c>
      <c r="E98">
        <v>0</v>
      </c>
      <c r="F98">
        <v>5</v>
      </c>
      <c r="G98" t="b">
        <v>0</v>
      </c>
      <c r="H98">
        <f>IF(inventory__Data[[#This Row],[stock_on_hand]]&lt;=0,1,0)</f>
        <v>0</v>
      </c>
      <c r="I98">
        <f>COUNTIFS(inventory__Data[product_id],inventory__Data[[#This Row],[product_id]],inventory__Data[stock_on_hand],"&lt;=0")</f>
        <v>23</v>
      </c>
    </row>
    <row r="99" spans="1:9" x14ac:dyDescent="0.3">
      <c r="A99" s="1">
        <v>45677</v>
      </c>
      <c r="B99" t="s">
        <v>15</v>
      </c>
      <c r="C99">
        <v>133</v>
      </c>
      <c r="D99">
        <v>0.04</v>
      </c>
      <c r="E99">
        <v>0</v>
      </c>
      <c r="F99">
        <v>2</v>
      </c>
      <c r="G99" t="b">
        <v>0</v>
      </c>
      <c r="H99">
        <f>IF(inventory__Data[[#This Row],[stock_on_hand]]&lt;=0,1,0)</f>
        <v>0</v>
      </c>
      <c r="I99">
        <f>COUNTIFS(inventory__Data[product_id],inventory__Data[[#This Row],[product_id]],inventory__Data[stock_on_hand],"&lt;=0")</f>
        <v>30</v>
      </c>
    </row>
    <row r="100" spans="1:9" x14ac:dyDescent="0.3">
      <c r="A100" s="1">
        <v>45677</v>
      </c>
      <c r="B100" t="s">
        <v>18</v>
      </c>
      <c r="C100">
        <v>169</v>
      </c>
      <c r="D100">
        <v>0.15</v>
      </c>
      <c r="E100">
        <v>0</v>
      </c>
      <c r="F100">
        <v>2</v>
      </c>
      <c r="G100" t="b">
        <v>0</v>
      </c>
      <c r="H100">
        <f>IF(inventory__Data[[#This Row],[stock_on_hand]]&lt;=0,1,0)</f>
        <v>0</v>
      </c>
      <c r="I100">
        <f>COUNTIFS(inventory__Data[product_id],inventory__Data[[#This Row],[product_id]],inventory__Data[stock_on_hand],"&lt;=0")</f>
        <v>30</v>
      </c>
    </row>
    <row r="101" spans="1:9" x14ac:dyDescent="0.3">
      <c r="A101" s="1">
        <v>45677</v>
      </c>
      <c r="B101" t="s">
        <v>21</v>
      </c>
      <c r="C101">
        <v>4</v>
      </c>
      <c r="D101">
        <v>0.03</v>
      </c>
      <c r="E101">
        <v>0</v>
      </c>
      <c r="F101">
        <v>5</v>
      </c>
      <c r="G101" t="b">
        <v>0</v>
      </c>
      <c r="H101">
        <f>IF(inventory__Data[[#This Row],[stock_on_hand]]&lt;=0,1,0)</f>
        <v>0</v>
      </c>
      <c r="I101">
        <f>COUNTIFS(inventory__Data[product_id],inventory__Data[[#This Row],[product_id]],inventory__Data[stock_on_hand],"&lt;=0")</f>
        <v>29</v>
      </c>
    </row>
    <row r="102" spans="1:9" x14ac:dyDescent="0.3">
      <c r="A102" s="1">
        <v>45678</v>
      </c>
      <c r="B102" t="s">
        <v>9</v>
      </c>
      <c r="C102">
        <v>220</v>
      </c>
      <c r="D102">
        <v>0.05</v>
      </c>
      <c r="E102">
        <v>0</v>
      </c>
      <c r="F102">
        <v>2</v>
      </c>
      <c r="G102" t="b">
        <v>0</v>
      </c>
      <c r="H102">
        <f>IF(inventory__Data[[#This Row],[stock_on_hand]]&lt;=0,1,0)</f>
        <v>0</v>
      </c>
      <c r="I102">
        <f>COUNTIFS(inventory__Data[product_id],inventory__Data[[#This Row],[product_id]],inventory__Data[stock_on_hand],"&lt;=0")</f>
        <v>25</v>
      </c>
    </row>
    <row r="103" spans="1:9" x14ac:dyDescent="0.3">
      <c r="A103" s="1">
        <v>45678</v>
      </c>
      <c r="B103" t="s">
        <v>12</v>
      </c>
      <c r="C103">
        <v>283</v>
      </c>
      <c r="D103">
        <v>0.02</v>
      </c>
      <c r="E103">
        <v>0</v>
      </c>
      <c r="F103">
        <v>5</v>
      </c>
      <c r="G103" t="b">
        <v>0</v>
      </c>
      <c r="H103">
        <f>IF(inventory__Data[[#This Row],[stock_on_hand]]&lt;=0,1,0)</f>
        <v>0</v>
      </c>
      <c r="I103">
        <f>COUNTIFS(inventory__Data[product_id],inventory__Data[[#This Row],[product_id]],inventory__Data[stock_on_hand],"&lt;=0")</f>
        <v>23</v>
      </c>
    </row>
    <row r="104" spans="1:9" x14ac:dyDescent="0.3">
      <c r="A104" s="1">
        <v>45678</v>
      </c>
      <c r="B104" t="s">
        <v>15</v>
      </c>
      <c r="C104">
        <v>420</v>
      </c>
      <c r="D104">
        <v>0.04</v>
      </c>
      <c r="E104">
        <v>0</v>
      </c>
      <c r="F104">
        <v>2</v>
      </c>
      <c r="G104" t="b">
        <v>0</v>
      </c>
      <c r="H104">
        <f>IF(inventory__Data[[#This Row],[stock_on_hand]]&lt;=0,1,0)</f>
        <v>0</v>
      </c>
      <c r="I104">
        <f>COUNTIFS(inventory__Data[product_id],inventory__Data[[#This Row],[product_id]],inventory__Data[stock_on_hand],"&lt;=0")</f>
        <v>30</v>
      </c>
    </row>
    <row r="105" spans="1:9" x14ac:dyDescent="0.3">
      <c r="A105" s="1">
        <v>45678</v>
      </c>
      <c r="B105" t="s">
        <v>18</v>
      </c>
      <c r="C105">
        <v>71</v>
      </c>
      <c r="D105">
        <v>0.15</v>
      </c>
      <c r="E105">
        <v>0</v>
      </c>
      <c r="F105">
        <v>2</v>
      </c>
      <c r="G105" t="b">
        <v>0</v>
      </c>
      <c r="H105">
        <f>IF(inventory__Data[[#This Row],[stock_on_hand]]&lt;=0,1,0)</f>
        <v>0</v>
      </c>
      <c r="I105">
        <f>COUNTIFS(inventory__Data[product_id],inventory__Data[[#This Row],[product_id]],inventory__Data[stock_on_hand],"&lt;=0")</f>
        <v>30</v>
      </c>
    </row>
    <row r="106" spans="1:9" x14ac:dyDescent="0.3">
      <c r="A106" s="1">
        <v>45678</v>
      </c>
      <c r="B106" t="s">
        <v>21</v>
      </c>
      <c r="C106">
        <v>775</v>
      </c>
      <c r="D106">
        <v>0.03</v>
      </c>
      <c r="E106">
        <v>0</v>
      </c>
      <c r="F106">
        <v>2</v>
      </c>
      <c r="G106" t="b">
        <v>0</v>
      </c>
      <c r="H106">
        <f>IF(inventory__Data[[#This Row],[stock_on_hand]]&lt;=0,1,0)</f>
        <v>0</v>
      </c>
      <c r="I106">
        <f>COUNTIFS(inventory__Data[product_id],inventory__Data[[#This Row],[product_id]],inventory__Data[stock_on_hand],"&lt;=0")</f>
        <v>29</v>
      </c>
    </row>
    <row r="107" spans="1:9" x14ac:dyDescent="0.3">
      <c r="A107" s="1">
        <v>45679</v>
      </c>
      <c r="B107" t="s">
        <v>9</v>
      </c>
      <c r="C107">
        <v>244</v>
      </c>
      <c r="D107">
        <v>0.05</v>
      </c>
      <c r="E107">
        <v>0</v>
      </c>
      <c r="F107">
        <v>5</v>
      </c>
      <c r="G107" t="b">
        <v>0</v>
      </c>
      <c r="H107">
        <f>IF(inventory__Data[[#This Row],[stock_on_hand]]&lt;=0,1,0)</f>
        <v>0</v>
      </c>
      <c r="I107">
        <f>COUNTIFS(inventory__Data[product_id],inventory__Data[[#This Row],[product_id]],inventory__Data[stock_on_hand],"&lt;=0")</f>
        <v>25</v>
      </c>
    </row>
    <row r="108" spans="1:9" x14ac:dyDescent="0.3">
      <c r="A108" s="1">
        <v>45679</v>
      </c>
      <c r="B108" t="s">
        <v>12</v>
      </c>
      <c r="C108">
        <v>554</v>
      </c>
      <c r="D108">
        <v>0.02</v>
      </c>
      <c r="E108">
        <v>0</v>
      </c>
      <c r="F108">
        <v>2</v>
      </c>
      <c r="G108" t="b">
        <v>0</v>
      </c>
      <c r="H108">
        <f>IF(inventory__Data[[#This Row],[stock_on_hand]]&lt;=0,1,0)</f>
        <v>0</v>
      </c>
      <c r="I108">
        <f>COUNTIFS(inventory__Data[product_id],inventory__Data[[#This Row],[product_id]],inventory__Data[stock_on_hand],"&lt;=0")</f>
        <v>23</v>
      </c>
    </row>
    <row r="109" spans="1:9" x14ac:dyDescent="0.3">
      <c r="A109" s="1">
        <v>45679</v>
      </c>
      <c r="B109" t="s">
        <v>15</v>
      </c>
      <c r="C109">
        <v>400</v>
      </c>
      <c r="D109">
        <v>0.04</v>
      </c>
      <c r="E109">
        <v>0</v>
      </c>
      <c r="F109">
        <v>15</v>
      </c>
      <c r="G109" t="b">
        <v>0</v>
      </c>
      <c r="H109">
        <f>IF(inventory__Data[[#This Row],[stock_on_hand]]&lt;=0,1,0)</f>
        <v>0</v>
      </c>
      <c r="I109">
        <f>COUNTIFS(inventory__Data[product_id],inventory__Data[[#This Row],[product_id]],inventory__Data[stock_on_hand],"&lt;=0")</f>
        <v>30</v>
      </c>
    </row>
    <row r="110" spans="1:9" x14ac:dyDescent="0.3">
      <c r="A110" s="1">
        <v>45679</v>
      </c>
      <c r="B110" t="s">
        <v>18</v>
      </c>
      <c r="C110">
        <v>714</v>
      </c>
      <c r="D110">
        <v>0.15</v>
      </c>
      <c r="E110">
        <v>0</v>
      </c>
      <c r="F110">
        <v>2</v>
      </c>
      <c r="G110" t="b">
        <v>0</v>
      </c>
      <c r="H110">
        <f>IF(inventory__Data[[#This Row],[stock_on_hand]]&lt;=0,1,0)</f>
        <v>0</v>
      </c>
      <c r="I110">
        <f>COUNTIFS(inventory__Data[product_id],inventory__Data[[#This Row],[product_id]],inventory__Data[stock_on_hand],"&lt;=0")</f>
        <v>30</v>
      </c>
    </row>
    <row r="111" spans="1:9" x14ac:dyDescent="0.3">
      <c r="A111" s="1">
        <v>45679</v>
      </c>
      <c r="B111" t="s">
        <v>21</v>
      </c>
      <c r="C111">
        <v>179</v>
      </c>
      <c r="D111">
        <v>0.03</v>
      </c>
      <c r="E111">
        <v>0</v>
      </c>
      <c r="F111">
        <v>5</v>
      </c>
      <c r="G111" t="b">
        <v>0</v>
      </c>
      <c r="H111">
        <f>IF(inventory__Data[[#This Row],[stock_on_hand]]&lt;=0,1,0)</f>
        <v>0</v>
      </c>
      <c r="I111">
        <f>COUNTIFS(inventory__Data[product_id],inventory__Data[[#This Row],[product_id]],inventory__Data[stock_on_hand],"&lt;=0")</f>
        <v>29</v>
      </c>
    </row>
    <row r="112" spans="1:9" x14ac:dyDescent="0.3">
      <c r="A112" s="1">
        <v>45680</v>
      </c>
      <c r="B112" t="s">
        <v>9</v>
      </c>
      <c r="C112">
        <v>337</v>
      </c>
      <c r="D112">
        <v>0.05</v>
      </c>
      <c r="E112">
        <v>0</v>
      </c>
      <c r="F112">
        <v>5</v>
      </c>
      <c r="G112" t="b">
        <v>0</v>
      </c>
      <c r="H112">
        <f>IF(inventory__Data[[#This Row],[stock_on_hand]]&lt;=0,1,0)</f>
        <v>0</v>
      </c>
      <c r="I112">
        <f>COUNTIFS(inventory__Data[product_id],inventory__Data[[#This Row],[product_id]],inventory__Data[stock_on_hand],"&lt;=0")</f>
        <v>25</v>
      </c>
    </row>
    <row r="113" spans="1:9" x14ac:dyDescent="0.3">
      <c r="A113" s="1">
        <v>45680</v>
      </c>
      <c r="B113" t="s">
        <v>12</v>
      </c>
      <c r="C113">
        <v>239</v>
      </c>
      <c r="D113">
        <v>0.02</v>
      </c>
      <c r="E113">
        <v>0</v>
      </c>
      <c r="F113">
        <v>5</v>
      </c>
      <c r="G113" t="b">
        <v>0</v>
      </c>
      <c r="H113">
        <f>IF(inventory__Data[[#This Row],[stock_on_hand]]&lt;=0,1,0)</f>
        <v>0</v>
      </c>
      <c r="I113">
        <f>COUNTIFS(inventory__Data[product_id],inventory__Data[[#This Row],[product_id]],inventory__Data[stock_on_hand],"&lt;=0")</f>
        <v>23</v>
      </c>
    </row>
    <row r="114" spans="1:9" x14ac:dyDescent="0.3">
      <c r="A114" s="1">
        <v>45680</v>
      </c>
      <c r="B114" t="s">
        <v>15</v>
      </c>
      <c r="C114">
        <v>699</v>
      </c>
      <c r="D114">
        <v>0.04</v>
      </c>
      <c r="E114">
        <v>0</v>
      </c>
      <c r="F114">
        <v>15</v>
      </c>
      <c r="G114" t="b">
        <v>0</v>
      </c>
      <c r="H114">
        <f>IF(inventory__Data[[#This Row],[stock_on_hand]]&lt;=0,1,0)</f>
        <v>0</v>
      </c>
      <c r="I114">
        <f>COUNTIFS(inventory__Data[product_id],inventory__Data[[#This Row],[product_id]],inventory__Data[stock_on_hand],"&lt;=0")</f>
        <v>30</v>
      </c>
    </row>
    <row r="115" spans="1:9" x14ac:dyDescent="0.3">
      <c r="A115" s="1">
        <v>45680</v>
      </c>
      <c r="B115" t="s">
        <v>18</v>
      </c>
      <c r="C115">
        <v>643</v>
      </c>
      <c r="D115">
        <v>0.15</v>
      </c>
      <c r="E115">
        <v>0</v>
      </c>
      <c r="F115">
        <v>15</v>
      </c>
      <c r="G115" t="b">
        <v>0</v>
      </c>
      <c r="H115">
        <f>IF(inventory__Data[[#This Row],[stock_on_hand]]&lt;=0,1,0)</f>
        <v>0</v>
      </c>
      <c r="I115">
        <f>COUNTIFS(inventory__Data[product_id],inventory__Data[[#This Row],[product_id]],inventory__Data[stock_on_hand],"&lt;=0")</f>
        <v>30</v>
      </c>
    </row>
    <row r="116" spans="1:9" x14ac:dyDescent="0.3">
      <c r="A116" s="1">
        <v>45680</v>
      </c>
      <c r="B116" t="s">
        <v>21</v>
      </c>
      <c r="C116">
        <v>846</v>
      </c>
      <c r="D116">
        <v>0.03</v>
      </c>
      <c r="E116">
        <v>0</v>
      </c>
      <c r="F116">
        <v>5</v>
      </c>
      <c r="G116" t="b">
        <v>0</v>
      </c>
      <c r="H116">
        <f>IF(inventory__Data[[#This Row],[stock_on_hand]]&lt;=0,1,0)</f>
        <v>0</v>
      </c>
      <c r="I116">
        <f>COUNTIFS(inventory__Data[product_id],inventory__Data[[#This Row],[product_id]],inventory__Data[stock_on_hand],"&lt;=0")</f>
        <v>29</v>
      </c>
    </row>
    <row r="117" spans="1:9" x14ac:dyDescent="0.3">
      <c r="A117" s="1">
        <v>45681</v>
      </c>
      <c r="B117" t="s">
        <v>9</v>
      </c>
      <c r="C117">
        <v>220</v>
      </c>
      <c r="D117">
        <v>0.05</v>
      </c>
      <c r="E117">
        <v>0</v>
      </c>
      <c r="F117">
        <v>2</v>
      </c>
      <c r="G117" t="b">
        <v>0</v>
      </c>
      <c r="H117">
        <f>IF(inventory__Data[[#This Row],[stock_on_hand]]&lt;=0,1,0)</f>
        <v>0</v>
      </c>
      <c r="I117">
        <f>COUNTIFS(inventory__Data[product_id],inventory__Data[[#This Row],[product_id]],inventory__Data[stock_on_hand],"&lt;=0")</f>
        <v>25</v>
      </c>
    </row>
    <row r="118" spans="1:9" x14ac:dyDescent="0.3">
      <c r="A118" s="1">
        <v>45681</v>
      </c>
      <c r="B118" t="s">
        <v>12</v>
      </c>
      <c r="C118">
        <v>256</v>
      </c>
      <c r="D118">
        <v>0.02</v>
      </c>
      <c r="E118">
        <v>0</v>
      </c>
      <c r="F118">
        <v>5</v>
      </c>
      <c r="G118" t="b">
        <v>0</v>
      </c>
      <c r="H118">
        <f>IF(inventory__Data[[#This Row],[stock_on_hand]]&lt;=0,1,0)</f>
        <v>0</v>
      </c>
      <c r="I118">
        <f>COUNTIFS(inventory__Data[product_id],inventory__Data[[#This Row],[product_id]],inventory__Data[stock_on_hand],"&lt;=0")</f>
        <v>23</v>
      </c>
    </row>
    <row r="119" spans="1:9" x14ac:dyDescent="0.3">
      <c r="A119" s="1">
        <v>45681</v>
      </c>
      <c r="B119" t="s">
        <v>15</v>
      </c>
      <c r="C119">
        <v>411</v>
      </c>
      <c r="D119">
        <v>0.04</v>
      </c>
      <c r="E119">
        <v>0</v>
      </c>
      <c r="F119">
        <v>2</v>
      </c>
      <c r="G119" t="b">
        <v>0</v>
      </c>
      <c r="H119">
        <f>IF(inventory__Data[[#This Row],[stock_on_hand]]&lt;=0,1,0)</f>
        <v>0</v>
      </c>
      <c r="I119">
        <f>COUNTIFS(inventory__Data[product_id],inventory__Data[[#This Row],[product_id]],inventory__Data[stock_on_hand],"&lt;=0")</f>
        <v>30</v>
      </c>
    </row>
    <row r="120" spans="1:9" x14ac:dyDescent="0.3">
      <c r="A120" s="1">
        <v>45681</v>
      </c>
      <c r="B120" t="s">
        <v>18</v>
      </c>
      <c r="C120">
        <v>236</v>
      </c>
      <c r="D120">
        <v>0.15</v>
      </c>
      <c r="E120">
        <v>0</v>
      </c>
      <c r="F120">
        <v>2</v>
      </c>
      <c r="G120" t="b">
        <v>0</v>
      </c>
      <c r="H120">
        <f>IF(inventory__Data[[#This Row],[stock_on_hand]]&lt;=0,1,0)</f>
        <v>0</v>
      </c>
      <c r="I120">
        <f>COUNTIFS(inventory__Data[product_id],inventory__Data[[#This Row],[product_id]],inventory__Data[stock_on_hand],"&lt;=0")</f>
        <v>30</v>
      </c>
    </row>
    <row r="121" spans="1:9" x14ac:dyDescent="0.3">
      <c r="A121" s="1">
        <v>45681</v>
      </c>
      <c r="B121" t="s">
        <v>21</v>
      </c>
      <c r="C121">
        <v>605</v>
      </c>
      <c r="D121">
        <v>0.03</v>
      </c>
      <c r="E121">
        <v>0</v>
      </c>
      <c r="F121">
        <v>2</v>
      </c>
      <c r="G121" t="b">
        <v>0</v>
      </c>
      <c r="H121">
        <f>IF(inventory__Data[[#This Row],[stock_on_hand]]&lt;=0,1,0)</f>
        <v>0</v>
      </c>
      <c r="I121">
        <f>COUNTIFS(inventory__Data[product_id],inventory__Data[[#This Row],[product_id]],inventory__Data[stock_on_hand],"&lt;=0")</f>
        <v>29</v>
      </c>
    </row>
    <row r="122" spans="1:9" x14ac:dyDescent="0.3">
      <c r="A122" s="1">
        <v>45682</v>
      </c>
      <c r="B122" t="s">
        <v>9</v>
      </c>
      <c r="C122">
        <v>71</v>
      </c>
      <c r="D122">
        <v>0.05</v>
      </c>
      <c r="E122">
        <v>0</v>
      </c>
      <c r="F122">
        <v>2</v>
      </c>
      <c r="G122" t="b">
        <v>0</v>
      </c>
      <c r="H122">
        <f>IF(inventory__Data[[#This Row],[stock_on_hand]]&lt;=0,1,0)</f>
        <v>0</v>
      </c>
      <c r="I122">
        <f>COUNTIFS(inventory__Data[product_id],inventory__Data[[#This Row],[product_id]],inventory__Data[stock_on_hand],"&lt;=0")</f>
        <v>25</v>
      </c>
    </row>
    <row r="123" spans="1:9" x14ac:dyDescent="0.3">
      <c r="A123" s="1">
        <v>45682</v>
      </c>
      <c r="B123" t="s">
        <v>12</v>
      </c>
      <c r="C123">
        <v>768</v>
      </c>
      <c r="D123">
        <v>0.02</v>
      </c>
      <c r="E123">
        <v>0</v>
      </c>
      <c r="F123">
        <v>2</v>
      </c>
      <c r="G123" t="b">
        <v>0</v>
      </c>
      <c r="H123">
        <f>IF(inventory__Data[[#This Row],[stock_on_hand]]&lt;=0,1,0)</f>
        <v>0</v>
      </c>
      <c r="I123">
        <f>COUNTIFS(inventory__Data[product_id],inventory__Data[[#This Row],[product_id]],inventory__Data[stock_on_hand],"&lt;=0")</f>
        <v>23</v>
      </c>
    </row>
    <row r="124" spans="1:9" x14ac:dyDescent="0.3">
      <c r="A124" s="1">
        <v>45682</v>
      </c>
      <c r="B124" t="s">
        <v>15</v>
      </c>
      <c r="C124">
        <v>791</v>
      </c>
      <c r="D124">
        <v>0.04</v>
      </c>
      <c r="E124">
        <v>0</v>
      </c>
      <c r="F124">
        <v>2</v>
      </c>
      <c r="G124" t="b">
        <v>0</v>
      </c>
      <c r="H124">
        <f>IF(inventory__Data[[#This Row],[stock_on_hand]]&lt;=0,1,0)</f>
        <v>0</v>
      </c>
      <c r="I124">
        <f>COUNTIFS(inventory__Data[product_id],inventory__Data[[#This Row],[product_id]],inventory__Data[stock_on_hand],"&lt;=0")</f>
        <v>30</v>
      </c>
    </row>
    <row r="125" spans="1:9" x14ac:dyDescent="0.3">
      <c r="A125" s="1">
        <v>45682</v>
      </c>
      <c r="B125" t="s">
        <v>18</v>
      </c>
      <c r="C125">
        <v>524</v>
      </c>
      <c r="D125">
        <v>0.15</v>
      </c>
      <c r="E125">
        <v>0</v>
      </c>
      <c r="F125">
        <v>2</v>
      </c>
      <c r="G125" t="b">
        <v>0</v>
      </c>
      <c r="H125">
        <f>IF(inventory__Data[[#This Row],[stock_on_hand]]&lt;=0,1,0)</f>
        <v>0</v>
      </c>
      <c r="I125">
        <f>COUNTIFS(inventory__Data[product_id],inventory__Data[[#This Row],[product_id]],inventory__Data[stock_on_hand],"&lt;=0")</f>
        <v>30</v>
      </c>
    </row>
    <row r="126" spans="1:9" x14ac:dyDescent="0.3">
      <c r="A126" s="1">
        <v>45682</v>
      </c>
      <c r="B126" t="s">
        <v>21</v>
      </c>
      <c r="C126">
        <v>537</v>
      </c>
      <c r="D126">
        <v>0.03</v>
      </c>
      <c r="E126">
        <v>0</v>
      </c>
      <c r="F126">
        <v>10</v>
      </c>
      <c r="G126" t="b">
        <v>0</v>
      </c>
      <c r="H126">
        <f>IF(inventory__Data[[#This Row],[stock_on_hand]]&lt;=0,1,0)</f>
        <v>0</v>
      </c>
      <c r="I126">
        <f>COUNTIFS(inventory__Data[product_id],inventory__Data[[#This Row],[product_id]],inventory__Data[stock_on_hand],"&lt;=0")</f>
        <v>29</v>
      </c>
    </row>
    <row r="127" spans="1:9" x14ac:dyDescent="0.3">
      <c r="A127" s="1">
        <v>45683</v>
      </c>
      <c r="B127" t="s">
        <v>9</v>
      </c>
      <c r="C127">
        <v>615</v>
      </c>
      <c r="D127">
        <v>0.05</v>
      </c>
      <c r="E127">
        <v>0</v>
      </c>
      <c r="F127">
        <v>5</v>
      </c>
      <c r="G127" t="b">
        <v>0</v>
      </c>
      <c r="H127">
        <f>IF(inventory__Data[[#This Row],[stock_on_hand]]&lt;=0,1,0)</f>
        <v>0</v>
      </c>
      <c r="I127">
        <f>COUNTIFS(inventory__Data[product_id],inventory__Data[[#This Row],[product_id]],inventory__Data[stock_on_hand],"&lt;=0")</f>
        <v>25</v>
      </c>
    </row>
    <row r="128" spans="1:9" x14ac:dyDescent="0.3">
      <c r="A128" s="1">
        <v>45683</v>
      </c>
      <c r="B128" t="s">
        <v>12</v>
      </c>
      <c r="C128">
        <v>72</v>
      </c>
      <c r="D128">
        <v>0.02</v>
      </c>
      <c r="E128">
        <v>0</v>
      </c>
      <c r="F128">
        <v>5</v>
      </c>
      <c r="G128" t="b">
        <v>0</v>
      </c>
      <c r="H128">
        <f>IF(inventory__Data[[#This Row],[stock_on_hand]]&lt;=0,1,0)</f>
        <v>0</v>
      </c>
      <c r="I128">
        <f>COUNTIFS(inventory__Data[product_id],inventory__Data[[#This Row],[product_id]],inventory__Data[stock_on_hand],"&lt;=0")</f>
        <v>23</v>
      </c>
    </row>
    <row r="129" spans="1:9" x14ac:dyDescent="0.3">
      <c r="A129" s="1">
        <v>45683</v>
      </c>
      <c r="B129" t="s">
        <v>15</v>
      </c>
      <c r="C129">
        <v>654</v>
      </c>
      <c r="D129">
        <v>0.04</v>
      </c>
      <c r="E129">
        <v>0</v>
      </c>
      <c r="F129">
        <v>10</v>
      </c>
      <c r="G129" t="b">
        <v>0</v>
      </c>
      <c r="H129">
        <f>IF(inventory__Data[[#This Row],[stock_on_hand]]&lt;=0,1,0)</f>
        <v>0</v>
      </c>
      <c r="I129">
        <f>COUNTIFS(inventory__Data[product_id],inventory__Data[[#This Row],[product_id]],inventory__Data[stock_on_hand],"&lt;=0")</f>
        <v>30</v>
      </c>
    </row>
    <row r="130" spans="1:9" x14ac:dyDescent="0.3">
      <c r="A130" s="1">
        <v>45683</v>
      </c>
      <c r="B130" t="s">
        <v>18</v>
      </c>
      <c r="C130">
        <v>373</v>
      </c>
      <c r="D130">
        <v>0.15</v>
      </c>
      <c r="E130">
        <v>0</v>
      </c>
      <c r="F130">
        <v>2</v>
      </c>
      <c r="G130" t="b">
        <v>0</v>
      </c>
      <c r="H130">
        <f>IF(inventory__Data[[#This Row],[stock_on_hand]]&lt;=0,1,0)</f>
        <v>0</v>
      </c>
      <c r="I130">
        <f>COUNTIFS(inventory__Data[product_id],inventory__Data[[#This Row],[product_id]],inventory__Data[stock_on_hand],"&lt;=0")</f>
        <v>30</v>
      </c>
    </row>
    <row r="131" spans="1:9" x14ac:dyDescent="0.3">
      <c r="A131" s="1">
        <v>45683</v>
      </c>
      <c r="B131" t="s">
        <v>21</v>
      </c>
      <c r="C131">
        <v>731</v>
      </c>
      <c r="D131">
        <v>0.03</v>
      </c>
      <c r="E131">
        <v>0</v>
      </c>
      <c r="F131">
        <v>5</v>
      </c>
      <c r="G131" t="b">
        <v>0</v>
      </c>
      <c r="H131">
        <f>IF(inventory__Data[[#This Row],[stock_on_hand]]&lt;=0,1,0)</f>
        <v>0</v>
      </c>
      <c r="I131">
        <f>COUNTIFS(inventory__Data[product_id],inventory__Data[[#This Row],[product_id]],inventory__Data[stock_on_hand],"&lt;=0")</f>
        <v>29</v>
      </c>
    </row>
    <row r="132" spans="1:9" x14ac:dyDescent="0.3">
      <c r="A132" s="1">
        <v>45684</v>
      </c>
      <c r="B132" t="s">
        <v>9</v>
      </c>
      <c r="C132">
        <v>480</v>
      </c>
      <c r="D132">
        <v>0.05</v>
      </c>
      <c r="E132">
        <v>0</v>
      </c>
      <c r="F132">
        <v>2</v>
      </c>
      <c r="G132" t="b">
        <v>0</v>
      </c>
      <c r="H132">
        <f>IF(inventory__Data[[#This Row],[stock_on_hand]]&lt;=0,1,0)</f>
        <v>0</v>
      </c>
      <c r="I132">
        <f>COUNTIFS(inventory__Data[product_id],inventory__Data[[#This Row],[product_id]],inventory__Data[stock_on_hand],"&lt;=0")</f>
        <v>25</v>
      </c>
    </row>
    <row r="133" spans="1:9" x14ac:dyDescent="0.3">
      <c r="A133" s="1">
        <v>45684</v>
      </c>
      <c r="B133" t="s">
        <v>12</v>
      </c>
      <c r="C133">
        <v>562</v>
      </c>
      <c r="D133">
        <v>0.02</v>
      </c>
      <c r="E133">
        <v>0</v>
      </c>
      <c r="F133">
        <v>2</v>
      </c>
      <c r="G133" t="b">
        <v>0</v>
      </c>
      <c r="H133">
        <f>IF(inventory__Data[[#This Row],[stock_on_hand]]&lt;=0,1,0)</f>
        <v>0</v>
      </c>
      <c r="I133">
        <f>COUNTIFS(inventory__Data[product_id],inventory__Data[[#This Row],[product_id]],inventory__Data[stock_on_hand],"&lt;=0")</f>
        <v>23</v>
      </c>
    </row>
    <row r="134" spans="1:9" x14ac:dyDescent="0.3">
      <c r="A134" s="1">
        <v>45684</v>
      </c>
      <c r="B134" t="s">
        <v>15</v>
      </c>
      <c r="C134">
        <v>610</v>
      </c>
      <c r="D134">
        <v>0.04</v>
      </c>
      <c r="E134">
        <v>0</v>
      </c>
      <c r="F134">
        <v>2</v>
      </c>
      <c r="G134" t="b">
        <v>0</v>
      </c>
      <c r="H134">
        <f>IF(inventory__Data[[#This Row],[stock_on_hand]]&lt;=0,1,0)</f>
        <v>0</v>
      </c>
      <c r="I134">
        <f>COUNTIFS(inventory__Data[product_id],inventory__Data[[#This Row],[product_id]],inventory__Data[stock_on_hand],"&lt;=0")</f>
        <v>30</v>
      </c>
    </row>
    <row r="135" spans="1:9" x14ac:dyDescent="0.3">
      <c r="A135" s="1">
        <v>45684</v>
      </c>
      <c r="B135" t="s">
        <v>18</v>
      </c>
      <c r="C135">
        <v>391</v>
      </c>
      <c r="D135">
        <v>0.15</v>
      </c>
      <c r="E135">
        <v>0</v>
      </c>
      <c r="F135">
        <v>2</v>
      </c>
      <c r="G135" t="b">
        <v>0</v>
      </c>
      <c r="H135">
        <f>IF(inventory__Data[[#This Row],[stock_on_hand]]&lt;=0,1,0)</f>
        <v>0</v>
      </c>
      <c r="I135">
        <f>COUNTIFS(inventory__Data[product_id],inventory__Data[[#This Row],[product_id]],inventory__Data[stock_on_hand],"&lt;=0")</f>
        <v>30</v>
      </c>
    </row>
    <row r="136" spans="1:9" x14ac:dyDescent="0.3">
      <c r="A136" s="1">
        <v>45684</v>
      </c>
      <c r="B136" t="s">
        <v>21</v>
      </c>
      <c r="C136">
        <v>622</v>
      </c>
      <c r="D136">
        <v>0.03</v>
      </c>
      <c r="E136">
        <v>0</v>
      </c>
      <c r="F136">
        <v>10</v>
      </c>
      <c r="G136" t="b">
        <v>0</v>
      </c>
      <c r="H136">
        <f>IF(inventory__Data[[#This Row],[stock_on_hand]]&lt;=0,1,0)</f>
        <v>0</v>
      </c>
      <c r="I136">
        <f>COUNTIFS(inventory__Data[product_id],inventory__Data[[#This Row],[product_id]],inventory__Data[stock_on_hand],"&lt;=0")</f>
        <v>29</v>
      </c>
    </row>
    <row r="137" spans="1:9" x14ac:dyDescent="0.3">
      <c r="A137" s="1">
        <v>45685</v>
      </c>
      <c r="B137" t="s">
        <v>9</v>
      </c>
      <c r="C137">
        <v>523</v>
      </c>
      <c r="D137">
        <v>0.05</v>
      </c>
      <c r="E137">
        <v>0</v>
      </c>
      <c r="F137">
        <v>2</v>
      </c>
      <c r="G137" t="b">
        <v>0</v>
      </c>
      <c r="H137">
        <f>IF(inventory__Data[[#This Row],[stock_on_hand]]&lt;=0,1,0)</f>
        <v>0</v>
      </c>
      <c r="I137">
        <f>COUNTIFS(inventory__Data[product_id],inventory__Data[[#This Row],[product_id]],inventory__Data[stock_on_hand],"&lt;=0")</f>
        <v>25</v>
      </c>
    </row>
    <row r="138" spans="1:9" x14ac:dyDescent="0.3">
      <c r="A138" s="1">
        <v>45685</v>
      </c>
      <c r="B138" t="s">
        <v>12</v>
      </c>
      <c r="C138">
        <v>102</v>
      </c>
      <c r="D138">
        <v>0.02</v>
      </c>
      <c r="E138">
        <v>0</v>
      </c>
      <c r="F138">
        <v>2</v>
      </c>
      <c r="G138" t="b">
        <v>0</v>
      </c>
      <c r="H138">
        <f>IF(inventory__Data[[#This Row],[stock_on_hand]]&lt;=0,1,0)</f>
        <v>0</v>
      </c>
      <c r="I138">
        <f>COUNTIFS(inventory__Data[product_id],inventory__Data[[#This Row],[product_id]],inventory__Data[stock_on_hand],"&lt;=0")</f>
        <v>23</v>
      </c>
    </row>
    <row r="139" spans="1:9" x14ac:dyDescent="0.3">
      <c r="A139" s="1">
        <v>45685</v>
      </c>
      <c r="B139" t="s">
        <v>15</v>
      </c>
      <c r="C139">
        <v>626</v>
      </c>
      <c r="D139">
        <v>0.04</v>
      </c>
      <c r="E139">
        <v>0</v>
      </c>
      <c r="F139">
        <v>2</v>
      </c>
      <c r="G139" t="b">
        <v>0</v>
      </c>
      <c r="H139">
        <f>IF(inventory__Data[[#This Row],[stock_on_hand]]&lt;=0,1,0)</f>
        <v>0</v>
      </c>
      <c r="I139">
        <f>COUNTIFS(inventory__Data[product_id],inventory__Data[[#This Row],[product_id]],inventory__Data[stock_on_hand],"&lt;=0")</f>
        <v>30</v>
      </c>
    </row>
    <row r="140" spans="1:9" x14ac:dyDescent="0.3">
      <c r="A140" s="1">
        <v>45685</v>
      </c>
      <c r="B140" t="s">
        <v>18</v>
      </c>
      <c r="C140">
        <v>44</v>
      </c>
      <c r="D140">
        <v>0.15</v>
      </c>
      <c r="E140">
        <v>0</v>
      </c>
      <c r="F140">
        <v>5</v>
      </c>
      <c r="G140" t="b">
        <v>0</v>
      </c>
      <c r="H140">
        <f>IF(inventory__Data[[#This Row],[stock_on_hand]]&lt;=0,1,0)</f>
        <v>0</v>
      </c>
      <c r="I140">
        <f>COUNTIFS(inventory__Data[product_id],inventory__Data[[#This Row],[product_id]],inventory__Data[stock_on_hand],"&lt;=0")</f>
        <v>30</v>
      </c>
    </row>
    <row r="141" spans="1:9" x14ac:dyDescent="0.3">
      <c r="A141" s="1">
        <v>45685</v>
      </c>
      <c r="B141" t="s">
        <v>21</v>
      </c>
      <c r="C141">
        <v>799</v>
      </c>
      <c r="D141">
        <v>0.03</v>
      </c>
      <c r="E141">
        <v>0</v>
      </c>
      <c r="F141">
        <v>2</v>
      </c>
      <c r="G141" t="b">
        <v>0</v>
      </c>
      <c r="H141">
        <f>IF(inventory__Data[[#This Row],[stock_on_hand]]&lt;=0,1,0)</f>
        <v>0</v>
      </c>
      <c r="I141">
        <f>COUNTIFS(inventory__Data[product_id],inventory__Data[[#This Row],[product_id]],inventory__Data[stock_on_hand],"&lt;=0")</f>
        <v>29</v>
      </c>
    </row>
    <row r="142" spans="1:9" x14ac:dyDescent="0.3">
      <c r="A142" s="1">
        <v>45686</v>
      </c>
      <c r="B142" t="s">
        <v>9</v>
      </c>
      <c r="C142">
        <v>678</v>
      </c>
      <c r="D142">
        <v>0.05</v>
      </c>
      <c r="E142">
        <v>0</v>
      </c>
      <c r="F142">
        <v>2</v>
      </c>
      <c r="G142" t="b">
        <v>0</v>
      </c>
      <c r="H142">
        <f>IF(inventory__Data[[#This Row],[stock_on_hand]]&lt;=0,1,0)</f>
        <v>0</v>
      </c>
      <c r="I142">
        <f>COUNTIFS(inventory__Data[product_id],inventory__Data[[#This Row],[product_id]],inventory__Data[stock_on_hand],"&lt;=0")</f>
        <v>25</v>
      </c>
    </row>
    <row r="143" spans="1:9" x14ac:dyDescent="0.3">
      <c r="A143" s="1">
        <v>45686</v>
      </c>
      <c r="B143" t="s">
        <v>12</v>
      </c>
      <c r="C143">
        <v>99</v>
      </c>
      <c r="D143">
        <v>0.02</v>
      </c>
      <c r="E143">
        <v>0</v>
      </c>
      <c r="F143">
        <v>2</v>
      </c>
      <c r="G143" t="b">
        <v>0</v>
      </c>
      <c r="H143">
        <f>IF(inventory__Data[[#This Row],[stock_on_hand]]&lt;=0,1,0)</f>
        <v>0</v>
      </c>
      <c r="I143">
        <f>COUNTIFS(inventory__Data[product_id],inventory__Data[[#This Row],[product_id]],inventory__Data[stock_on_hand],"&lt;=0")</f>
        <v>23</v>
      </c>
    </row>
    <row r="144" spans="1:9" x14ac:dyDescent="0.3">
      <c r="A144" s="1">
        <v>45686</v>
      </c>
      <c r="B144" t="s">
        <v>15</v>
      </c>
      <c r="C144">
        <v>138</v>
      </c>
      <c r="D144">
        <v>0.04</v>
      </c>
      <c r="E144">
        <v>0</v>
      </c>
      <c r="F144">
        <v>5</v>
      </c>
      <c r="G144" t="b">
        <v>0</v>
      </c>
      <c r="H144">
        <f>IF(inventory__Data[[#This Row],[stock_on_hand]]&lt;=0,1,0)</f>
        <v>0</v>
      </c>
      <c r="I144">
        <f>COUNTIFS(inventory__Data[product_id],inventory__Data[[#This Row],[product_id]],inventory__Data[stock_on_hand],"&lt;=0")</f>
        <v>30</v>
      </c>
    </row>
    <row r="145" spans="1:9" x14ac:dyDescent="0.3">
      <c r="A145" s="1">
        <v>45686</v>
      </c>
      <c r="B145" t="s">
        <v>18</v>
      </c>
      <c r="C145">
        <v>357</v>
      </c>
      <c r="D145">
        <v>0.15</v>
      </c>
      <c r="E145">
        <v>0</v>
      </c>
      <c r="F145">
        <v>10</v>
      </c>
      <c r="G145" t="b">
        <v>0</v>
      </c>
      <c r="H145">
        <f>IF(inventory__Data[[#This Row],[stock_on_hand]]&lt;=0,1,0)</f>
        <v>0</v>
      </c>
      <c r="I145">
        <f>COUNTIFS(inventory__Data[product_id],inventory__Data[[#This Row],[product_id]],inventory__Data[stock_on_hand],"&lt;=0")</f>
        <v>30</v>
      </c>
    </row>
    <row r="146" spans="1:9" x14ac:dyDescent="0.3">
      <c r="A146" s="1">
        <v>45686</v>
      </c>
      <c r="B146" t="s">
        <v>21</v>
      </c>
      <c r="C146">
        <v>676</v>
      </c>
      <c r="D146">
        <v>0.03</v>
      </c>
      <c r="E146">
        <v>0</v>
      </c>
      <c r="F146">
        <v>2</v>
      </c>
      <c r="G146" t="b">
        <v>0</v>
      </c>
      <c r="H146">
        <f>IF(inventory__Data[[#This Row],[stock_on_hand]]&lt;=0,1,0)</f>
        <v>0</v>
      </c>
      <c r="I146">
        <f>COUNTIFS(inventory__Data[product_id],inventory__Data[[#This Row],[product_id]],inventory__Data[stock_on_hand],"&lt;=0")</f>
        <v>29</v>
      </c>
    </row>
    <row r="147" spans="1:9" x14ac:dyDescent="0.3">
      <c r="A147" s="1">
        <v>45687</v>
      </c>
      <c r="B147" t="s">
        <v>9</v>
      </c>
      <c r="C147">
        <v>829</v>
      </c>
      <c r="D147">
        <v>0.05</v>
      </c>
      <c r="E147">
        <v>0</v>
      </c>
      <c r="F147">
        <v>2</v>
      </c>
      <c r="G147" t="b">
        <v>0</v>
      </c>
      <c r="H147">
        <f>IF(inventory__Data[[#This Row],[stock_on_hand]]&lt;=0,1,0)</f>
        <v>0</v>
      </c>
      <c r="I147">
        <f>COUNTIFS(inventory__Data[product_id],inventory__Data[[#This Row],[product_id]],inventory__Data[stock_on_hand],"&lt;=0")</f>
        <v>25</v>
      </c>
    </row>
    <row r="148" spans="1:9" x14ac:dyDescent="0.3">
      <c r="A148" s="1">
        <v>45687</v>
      </c>
      <c r="B148" t="s">
        <v>12</v>
      </c>
      <c r="C148">
        <v>152</v>
      </c>
      <c r="D148">
        <v>0.02</v>
      </c>
      <c r="E148">
        <v>0</v>
      </c>
      <c r="F148">
        <v>5</v>
      </c>
      <c r="G148" t="b">
        <v>0</v>
      </c>
      <c r="H148">
        <f>IF(inventory__Data[[#This Row],[stock_on_hand]]&lt;=0,1,0)</f>
        <v>0</v>
      </c>
      <c r="I148">
        <f>COUNTIFS(inventory__Data[product_id],inventory__Data[[#This Row],[product_id]],inventory__Data[stock_on_hand],"&lt;=0")</f>
        <v>23</v>
      </c>
    </row>
    <row r="149" spans="1:9" x14ac:dyDescent="0.3">
      <c r="A149" s="1">
        <v>45687</v>
      </c>
      <c r="B149" t="s">
        <v>15</v>
      </c>
      <c r="C149">
        <v>511</v>
      </c>
      <c r="D149">
        <v>0.04</v>
      </c>
      <c r="E149">
        <v>0</v>
      </c>
      <c r="F149">
        <v>5</v>
      </c>
      <c r="G149" t="b">
        <v>0</v>
      </c>
      <c r="H149">
        <f>IF(inventory__Data[[#This Row],[stock_on_hand]]&lt;=0,1,0)</f>
        <v>0</v>
      </c>
      <c r="I149">
        <f>COUNTIFS(inventory__Data[product_id],inventory__Data[[#This Row],[product_id]],inventory__Data[stock_on_hand],"&lt;=0")</f>
        <v>30</v>
      </c>
    </row>
    <row r="150" spans="1:9" x14ac:dyDescent="0.3">
      <c r="A150" s="1">
        <v>45687</v>
      </c>
      <c r="B150" t="s">
        <v>18</v>
      </c>
      <c r="C150">
        <v>214</v>
      </c>
      <c r="D150">
        <v>0.15</v>
      </c>
      <c r="E150">
        <v>0</v>
      </c>
      <c r="F150">
        <v>15</v>
      </c>
      <c r="G150" t="b">
        <v>0</v>
      </c>
      <c r="H150">
        <f>IF(inventory__Data[[#This Row],[stock_on_hand]]&lt;=0,1,0)</f>
        <v>0</v>
      </c>
      <c r="I150">
        <f>COUNTIFS(inventory__Data[product_id],inventory__Data[[#This Row],[product_id]],inventory__Data[stock_on_hand],"&lt;=0")</f>
        <v>30</v>
      </c>
    </row>
    <row r="151" spans="1:9" x14ac:dyDescent="0.3">
      <c r="A151" s="1">
        <v>45687</v>
      </c>
      <c r="B151" t="s">
        <v>21</v>
      </c>
      <c r="C151">
        <v>93</v>
      </c>
      <c r="D151">
        <v>0.03</v>
      </c>
      <c r="E151">
        <v>0</v>
      </c>
      <c r="F151">
        <v>2</v>
      </c>
      <c r="G151" t="b">
        <v>0</v>
      </c>
      <c r="H151">
        <f>IF(inventory__Data[[#This Row],[stock_on_hand]]&lt;=0,1,0)</f>
        <v>0</v>
      </c>
      <c r="I151">
        <f>COUNTIFS(inventory__Data[product_id],inventory__Data[[#This Row],[product_id]],inventory__Data[stock_on_hand],"&lt;=0")</f>
        <v>29</v>
      </c>
    </row>
    <row r="152" spans="1:9" x14ac:dyDescent="0.3">
      <c r="A152" s="1">
        <v>45688</v>
      </c>
      <c r="B152" t="s">
        <v>9</v>
      </c>
      <c r="C152">
        <v>741</v>
      </c>
      <c r="D152">
        <v>0.05</v>
      </c>
      <c r="E152">
        <v>0</v>
      </c>
      <c r="F152">
        <v>2</v>
      </c>
      <c r="G152" t="b">
        <v>0</v>
      </c>
      <c r="H152">
        <f>IF(inventory__Data[[#This Row],[stock_on_hand]]&lt;=0,1,0)</f>
        <v>0</v>
      </c>
      <c r="I152">
        <f>COUNTIFS(inventory__Data[product_id],inventory__Data[[#This Row],[product_id]],inventory__Data[stock_on_hand],"&lt;=0")</f>
        <v>25</v>
      </c>
    </row>
    <row r="153" spans="1:9" x14ac:dyDescent="0.3">
      <c r="A153" s="1">
        <v>45688</v>
      </c>
      <c r="B153" t="s">
        <v>12</v>
      </c>
      <c r="C153">
        <v>223</v>
      </c>
      <c r="D153">
        <v>0.02</v>
      </c>
      <c r="E153">
        <v>0</v>
      </c>
      <c r="F153">
        <v>2</v>
      </c>
      <c r="G153" t="b">
        <v>0</v>
      </c>
      <c r="H153">
        <f>IF(inventory__Data[[#This Row],[stock_on_hand]]&lt;=0,1,0)</f>
        <v>0</v>
      </c>
      <c r="I153">
        <f>COUNTIFS(inventory__Data[product_id],inventory__Data[[#This Row],[product_id]],inventory__Data[stock_on_hand],"&lt;=0")</f>
        <v>23</v>
      </c>
    </row>
    <row r="154" spans="1:9" x14ac:dyDescent="0.3">
      <c r="A154" s="1">
        <v>45688</v>
      </c>
      <c r="B154" t="s">
        <v>15</v>
      </c>
      <c r="C154">
        <v>192</v>
      </c>
      <c r="D154">
        <v>0.04</v>
      </c>
      <c r="E154">
        <v>0</v>
      </c>
      <c r="F154">
        <v>2</v>
      </c>
      <c r="G154" t="b">
        <v>0</v>
      </c>
      <c r="H154">
        <f>IF(inventory__Data[[#This Row],[stock_on_hand]]&lt;=0,1,0)</f>
        <v>0</v>
      </c>
      <c r="I154">
        <f>COUNTIFS(inventory__Data[product_id],inventory__Data[[#This Row],[product_id]],inventory__Data[stock_on_hand],"&lt;=0")</f>
        <v>30</v>
      </c>
    </row>
    <row r="155" spans="1:9" x14ac:dyDescent="0.3">
      <c r="A155" s="1">
        <v>45688</v>
      </c>
      <c r="B155" t="s">
        <v>18</v>
      </c>
      <c r="C155">
        <v>251</v>
      </c>
      <c r="D155">
        <v>0.15</v>
      </c>
      <c r="E155">
        <v>0</v>
      </c>
      <c r="F155">
        <v>10</v>
      </c>
      <c r="G155" t="b">
        <v>0</v>
      </c>
      <c r="H155">
        <f>IF(inventory__Data[[#This Row],[stock_on_hand]]&lt;=0,1,0)</f>
        <v>0</v>
      </c>
      <c r="I155">
        <f>COUNTIFS(inventory__Data[product_id],inventory__Data[[#This Row],[product_id]],inventory__Data[stock_on_hand],"&lt;=0")</f>
        <v>30</v>
      </c>
    </row>
    <row r="156" spans="1:9" x14ac:dyDescent="0.3">
      <c r="A156" s="1">
        <v>45688</v>
      </c>
      <c r="B156" t="s">
        <v>21</v>
      </c>
      <c r="C156">
        <v>522</v>
      </c>
      <c r="D156">
        <v>0.03</v>
      </c>
      <c r="E156">
        <v>0</v>
      </c>
      <c r="F156">
        <v>2</v>
      </c>
      <c r="G156" t="b">
        <v>0</v>
      </c>
      <c r="H156">
        <f>IF(inventory__Data[[#This Row],[stock_on_hand]]&lt;=0,1,0)</f>
        <v>0</v>
      </c>
      <c r="I156">
        <f>COUNTIFS(inventory__Data[product_id],inventory__Data[[#This Row],[product_id]],inventory__Data[stock_on_hand],"&lt;=0")</f>
        <v>29</v>
      </c>
    </row>
    <row r="157" spans="1:9" x14ac:dyDescent="0.3">
      <c r="A157" s="1">
        <v>45689</v>
      </c>
      <c r="B157" t="s">
        <v>9</v>
      </c>
      <c r="C157">
        <v>474</v>
      </c>
      <c r="D157">
        <v>0.05</v>
      </c>
      <c r="E157">
        <v>0</v>
      </c>
      <c r="F157">
        <v>10</v>
      </c>
      <c r="G157" t="b">
        <v>0</v>
      </c>
      <c r="H157">
        <f>IF(inventory__Data[[#This Row],[stock_on_hand]]&lt;=0,1,0)</f>
        <v>0</v>
      </c>
      <c r="I157">
        <f>COUNTIFS(inventory__Data[product_id],inventory__Data[[#This Row],[product_id]],inventory__Data[stock_on_hand],"&lt;=0")</f>
        <v>25</v>
      </c>
    </row>
    <row r="158" spans="1:9" x14ac:dyDescent="0.3">
      <c r="A158" s="1">
        <v>45689</v>
      </c>
      <c r="B158" t="s">
        <v>12</v>
      </c>
      <c r="C158">
        <v>803</v>
      </c>
      <c r="D158">
        <v>0.02</v>
      </c>
      <c r="E158">
        <v>0</v>
      </c>
      <c r="F158">
        <v>2</v>
      </c>
      <c r="G158" t="b">
        <v>0</v>
      </c>
      <c r="H158">
        <f>IF(inventory__Data[[#This Row],[stock_on_hand]]&lt;=0,1,0)</f>
        <v>0</v>
      </c>
      <c r="I158">
        <f>COUNTIFS(inventory__Data[product_id],inventory__Data[[#This Row],[product_id]],inventory__Data[stock_on_hand],"&lt;=0")</f>
        <v>23</v>
      </c>
    </row>
    <row r="159" spans="1:9" x14ac:dyDescent="0.3">
      <c r="A159" s="1">
        <v>45689</v>
      </c>
      <c r="B159" t="s">
        <v>15</v>
      </c>
      <c r="C159">
        <v>41</v>
      </c>
      <c r="D159">
        <v>0.04</v>
      </c>
      <c r="E159">
        <v>0</v>
      </c>
      <c r="F159">
        <v>2</v>
      </c>
      <c r="G159" t="b">
        <v>0</v>
      </c>
      <c r="H159">
        <f>IF(inventory__Data[[#This Row],[stock_on_hand]]&lt;=0,1,0)</f>
        <v>0</v>
      </c>
      <c r="I159">
        <f>COUNTIFS(inventory__Data[product_id],inventory__Data[[#This Row],[product_id]],inventory__Data[stock_on_hand],"&lt;=0")</f>
        <v>30</v>
      </c>
    </row>
    <row r="160" spans="1:9" x14ac:dyDescent="0.3">
      <c r="A160" s="1">
        <v>45689</v>
      </c>
      <c r="B160" t="s">
        <v>18</v>
      </c>
      <c r="C160">
        <v>64</v>
      </c>
      <c r="D160">
        <v>0.15</v>
      </c>
      <c r="E160">
        <v>0</v>
      </c>
      <c r="F160">
        <v>2</v>
      </c>
      <c r="G160" t="b">
        <v>0</v>
      </c>
      <c r="H160">
        <f>IF(inventory__Data[[#This Row],[stock_on_hand]]&lt;=0,1,0)</f>
        <v>0</v>
      </c>
      <c r="I160">
        <f>COUNTIFS(inventory__Data[product_id],inventory__Data[[#This Row],[product_id]],inventory__Data[stock_on_hand],"&lt;=0")</f>
        <v>30</v>
      </c>
    </row>
    <row r="161" spans="1:9" x14ac:dyDescent="0.3">
      <c r="A161" s="1">
        <v>45689</v>
      </c>
      <c r="B161" t="s">
        <v>21</v>
      </c>
      <c r="C161">
        <v>689</v>
      </c>
      <c r="D161">
        <v>0.03</v>
      </c>
      <c r="E161">
        <v>0</v>
      </c>
      <c r="F161">
        <v>2</v>
      </c>
      <c r="G161" t="b">
        <v>0</v>
      </c>
      <c r="H161">
        <f>IF(inventory__Data[[#This Row],[stock_on_hand]]&lt;=0,1,0)</f>
        <v>0</v>
      </c>
      <c r="I161">
        <f>COUNTIFS(inventory__Data[product_id],inventory__Data[[#This Row],[product_id]],inventory__Data[stock_on_hand],"&lt;=0")</f>
        <v>29</v>
      </c>
    </row>
    <row r="162" spans="1:9" x14ac:dyDescent="0.3">
      <c r="A162" s="1">
        <v>45690</v>
      </c>
      <c r="B162" t="s">
        <v>9</v>
      </c>
      <c r="C162">
        <v>111</v>
      </c>
      <c r="D162">
        <v>0.05</v>
      </c>
      <c r="E162">
        <v>0</v>
      </c>
      <c r="F162">
        <v>2</v>
      </c>
      <c r="G162" t="b">
        <v>0</v>
      </c>
      <c r="H162">
        <f>IF(inventory__Data[[#This Row],[stock_on_hand]]&lt;=0,1,0)</f>
        <v>0</v>
      </c>
      <c r="I162">
        <f>COUNTIFS(inventory__Data[product_id],inventory__Data[[#This Row],[product_id]],inventory__Data[stock_on_hand],"&lt;=0")</f>
        <v>25</v>
      </c>
    </row>
    <row r="163" spans="1:9" x14ac:dyDescent="0.3">
      <c r="A163" s="1">
        <v>45690</v>
      </c>
      <c r="B163" t="s">
        <v>12</v>
      </c>
      <c r="C163">
        <v>850</v>
      </c>
      <c r="D163">
        <v>0.02</v>
      </c>
      <c r="E163">
        <v>0</v>
      </c>
      <c r="F163">
        <v>2</v>
      </c>
      <c r="G163" t="b">
        <v>0</v>
      </c>
      <c r="H163">
        <f>IF(inventory__Data[[#This Row],[stock_on_hand]]&lt;=0,1,0)</f>
        <v>0</v>
      </c>
      <c r="I163">
        <f>COUNTIFS(inventory__Data[product_id],inventory__Data[[#This Row],[product_id]],inventory__Data[stock_on_hand],"&lt;=0")</f>
        <v>23</v>
      </c>
    </row>
    <row r="164" spans="1:9" x14ac:dyDescent="0.3">
      <c r="A164" s="1">
        <v>45690</v>
      </c>
      <c r="B164" t="s">
        <v>15</v>
      </c>
      <c r="C164">
        <v>729</v>
      </c>
      <c r="D164">
        <v>0.04</v>
      </c>
      <c r="E164">
        <v>0</v>
      </c>
      <c r="F164">
        <v>5</v>
      </c>
      <c r="G164" t="b">
        <v>0</v>
      </c>
      <c r="H164">
        <f>IF(inventory__Data[[#This Row],[stock_on_hand]]&lt;=0,1,0)</f>
        <v>0</v>
      </c>
      <c r="I164">
        <f>COUNTIFS(inventory__Data[product_id],inventory__Data[[#This Row],[product_id]],inventory__Data[stock_on_hand],"&lt;=0")</f>
        <v>30</v>
      </c>
    </row>
    <row r="165" spans="1:9" x14ac:dyDescent="0.3">
      <c r="A165" s="1">
        <v>45690</v>
      </c>
      <c r="B165" t="s">
        <v>18</v>
      </c>
      <c r="C165">
        <v>615</v>
      </c>
      <c r="D165">
        <v>0.15</v>
      </c>
      <c r="E165">
        <v>0</v>
      </c>
      <c r="F165">
        <v>5</v>
      </c>
      <c r="G165" t="b">
        <v>0</v>
      </c>
      <c r="H165">
        <f>IF(inventory__Data[[#This Row],[stock_on_hand]]&lt;=0,1,0)</f>
        <v>0</v>
      </c>
      <c r="I165">
        <f>COUNTIFS(inventory__Data[product_id],inventory__Data[[#This Row],[product_id]],inventory__Data[stock_on_hand],"&lt;=0")</f>
        <v>30</v>
      </c>
    </row>
    <row r="166" spans="1:9" x14ac:dyDescent="0.3">
      <c r="A166" s="1">
        <v>45690</v>
      </c>
      <c r="B166" t="s">
        <v>21</v>
      </c>
      <c r="C166">
        <v>76</v>
      </c>
      <c r="D166">
        <v>0.03</v>
      </c>
      <c r="E166">
        <v>0</v>
      </c>
      <c r="F166">
        <v>5</v>
      </c>
      <c r="G166" t="b">
        <v>0</v>
      </c>
      <c r="H166">
        <f>IF(inventory__Data[[#This Row],[stock_on_hand]]&lt;=0,1,0)</f>
        <v>0</v>
      </c>
      <c r="I166">
        <f>COUNTIFS(inventory__Data[product_id],inventory__Data[[#This Row],[product_id]],inventory__Data[stock_on_hand],"&lt;=0")</f>
        <v>29</v>
      </c>
    </row>
    <row r="167" spans="1:9" x14ac:dyDescent="0.3">
      <c r="A167" s="1">
        <v>45691</v>
      </c>
      <c r="B167" t="s">
        <v>9</v>
      </c>
      <c r="C167">
        <v>339</v>
      </c>
      <c r="D167">
        <v>0.05</v>
      </c>
      <c r="E167">
        <v>0</v>
      </c>
      <c r="F167">
        <v>2</v>
      </c>
      <c r="G167" t="b">
        <v>0</v>
      </c>
      <c r="H167">
        <f>IF(inventory__Data[[#This Row],[stock_on_hand]]&lt;=0,1,0)</f>
        <v>0</v>
      </c>
      <c r="I167">
        <f>COUNTIFS(inventory__Data[product_id],inventory__Data[[#This Row],[product_id]],inventory__Data[stock_on_hand],"&lt;=0")</f>
        <v>25</v>
      </c>
    </row>
    <row r="168" spans="1:9" x14ac:dyDescent="0.3">
      <c r="A168" s="1">
        <v>45691</v>
      </c>
      <c r="B168" t="s">
        <v>12</v>
      </c>
      <c r="C168">
        <v>561</v>
      </c>
      <c r="D168">
        <v>0.02</v>
      </c>
      <c r="E168">
        <v>0</v>
      </c>
      <c r="F168">
        <v>2</v>
      </c>
      <c r="G168" t="b">
        <v>0</v>
      </c>
      <c r="H168">
        <f>IF(inventory__Data[[#This Row],[stock_on_hand]]&lt;=0,1,0)</f>
        <v>0</v>
      </c>
      <c r="I168">
        <f>COUNTIFS(inventory__Data[product_id],inventory__Data[[#This Row],[product_id]],inventory__Data[stock_on_hand],"&lt;=0")</f>
        <v>23</v>
      </c>
    </row>
    <row r="169" spans="1:9" x14ac:dyDescent="0.3">
      <c r="A169" s="1">
        <v>45691</v>
      </c>
      <c r="B169" t="s">
        <v>15</v>
      </c>
      <c r="C169">
        <v>698</v>
      </c>
      <c r="D169">
        <v>0.04</v>
      </c>
      <c r="E169">
        <v>0</v>
      </c>
      <c r="F169">
        <v>2</v>
      </c>
      <c r="G169" t="b">
        <v>0</v>
      </c>
      <c r="H169">
        <f>IF(inventory__Data[[#This Row],[stock_on_hand]]&lt;=0,1,0)</f>
        <v>0</v>
      </c>
      <c r="I169">
        <f>COUNTIFS(inventory__Data[product_id],inventory__Data[[#This Row],[product_id]],inventory__Data[stock_on_hand],"&lt;=0")</f>
        <v>30</v>
      </c>
    </row>
    <row r="170" spans="1:9" x14ac:dyDescent="0.3">
      <c r="A170" s="1">
        <v>45691</v>
      </c>
      <c r="B170" t="s">
        <v>18</v>
      </c>
      <c r="C170">
        <v>665</v>
      </c>
      <c r="D170">
        <v>0.15</v>
      </c>
      <c r="E170">
        <v>0</v>
      </c>
      <c r="F170">
        <v>5</v>
      </c>
      <c r="G170" t="b">
        <v>0</v>
      </c>
      <c r="H170">
        <f>IF(inventory__Data[[#This Row],[stock_on_hand]]&lt;=0,1,0)</f>
        <v>0</v>
      </c>
      <c r="I170">
        <f>COUNTIFS(inventory__Data[product_id],inventory__Data[[#This Row],[product_id]],inventory__Data[stock_on_hand],"&lt;=0")</f>
        <v>30</v>
      </c>
    </row>
    <row r="171" spans="1:9" x14ac:dyDescent="0.3">
      <c r="A171" s="1">
        <v>45691</v>
      </c>
      <c r="B171" t="s">
        <v>21</v>
      </c>
      <c r="C171">
        <v>234</v>
      </c>
      <c r="D171">
        <v>0.03</v>
      </c>
      <c r="E171">
        <v>0</v>
      </c>
      <c r="F171">
        <v>15</v>
      </c>
      <c r="G171" t="b">
        <v>0</v>
      </c>
      <c r="H171">
        <f>IF(inventory__Data[[#This Row],[stock_on_hand]]&lt;=0,1,0)</f>
        <v>0</v>
      </c>
      <c r="I171">
        <f>COUNTIFS(inventory__Data[product_id],inventory__Data[[#This Row],[product_id]],inventory__Data[stock_on_hand],"&lt;=0")</f>
        <v>29</v>
      </c>
    </row>
    <row r="172" spans="1:9" x14ac:dyDescent="0.3">
      <c r="A172" s="1">
        <v>45692</v>
      </c>
      <c r="B172" t="s">
        <v>9</v>
      </c>
      <c r="C172">
        <v>820</v>
      </c>
      <c r="D172">
        <v>0.05</v>
      </c>
      <c r="E172">
        <v>0</v>
      </c>
      <c r="F172">
        <v>2</v>
      </c>
      <c r="G172" t="b">
        <v>0</v>
      </c>
      <c r="H172">
        <f>IF(inventory__Data[[#This Row],[stock_on_hand]]&lt;=0,1,0)</f>
        <v>0</v>
      </c>
      <c r="I172">
        <f>COUNTIFS(inventory__Data[product_id],inventory__Data[[#This Row],[product_id]],inventory__Data[stock_on_hand],"&lt;=0")</f>
        <v>25</v>
      </c>
    </row>
    <row r="173" spans="1:9" x14ac:dyDescent="0.3">
      <c r="A173" s="1">
        <v>45692</v>
      </c>
      <c r="B173" t="s">
        <v>12</v>
      </c>
      <c r="C173">
        <v>892</v>
      </c>
      <c r="D173">
        <v>0.02</v>
      </c>
      <c r="E173">
        <v>0</v>
      </c>
      <c r="F173">
        <v>5</v>
      </c>
      <c r="G173" t="b">
        <v>0</v>
      </c>
      <c r="H173">
        <f>IF(inventory__Data[[#This Row],[stock_on_hand]]&lt;=0,1,0)</f>
        <v>0</v>
      </c>
      <c r="I173">
        <f>COUNTIFS(inventory__Data[product_id],inventory__Data[[#This Row],[product_id]],inventory__Data[stock_on_hand],"&lt;=0")</f>
        <v>23</v>
      </c>
    </row>
    <row r="174" spans="1:9" x14ac:dyDescent="0.3">
      <c r="A174" s="1">
        <v>45692</v>
      </c>
      <c r="B174" t="s">
        <v>15</v>
      </c>
      <c r="C174">
        <v>845</v>
      </c>
      <c r="D174">
        <v>0.04</v>
      </c>
      <c r="E174">
        <v>0</v>
      </c>
      <c r="F174">
        <v>2</v>
      </c>
      <c r="G174" t="b">
        <v>0</v>
      </c>
      <c r="H174">
        <f>IF(inventory__Data[[#This Row],[stock_on_hand]]&lt;=0,1,0)</f>
        <v>0</v>
      </c>
      <c r="I174">
        <f>COUNTIFS(inventory__Data[product_id],inventory__Data[[#This Row],[product_id]],inventory__Data[stock_on_hand],"&lt;=0")</f>
        <v>30</v>
      </c>
    </row>
    <row r="175" spans="1:9" x14ac:dyDescent="0.3">
      <c r="A175" s="1">
        <v>45692</v>
      </c>
      <c r="B175" t="s">
        <v>18</v>
      </c>
      <c r="C175">
        <v>740</v>
      </c>
      <c r="D175">
        <v>0.15</v>
      </c>
      <c r="E175">
        <v>0</v>
      </c>
      <c r="F175">
        <v>2</v>
      </c>
      <c r="G175" t="b">
        <v>0</v>
      </c>
      <c r="H175">
        <f>IF(inventory__Data[[#This Row],[stock_on_hand]]&lt;=0,1,0)</f>
        <v>0</v>
      </c>
      <c r="I175">
        <f>COUNTIFS(inventory__Data[product_id],inventory__Data[[#This Row],[product_id]],inventory__Data[stock_on_hand],"&lt;=0")</f>
        <v>30</v>
      </c>
    </row>
    <row r="176" spans="1:9" x14ac:dyDescent="0.3">
      <c r="A176" s="1">
        <v>45692</v>
      </c>
      <c r="B176" t="s">
        <v>21</v>
      </c>
      <c r="C176">
        <v>207</v>
      </c>
      <c r="D176">
        <v>0.03</v>
      </c>
      <c r="E176">
        <v>0</v>
      </c>
      <c r="F176">
        <v>2</v>
      </c>
      <c r="G176" t="b">
        <v>0</v>
      </c>
      <c r="H176">
        <f>IF(inventory__Data[[#This Row],[stock_on_hand]]&lt;=0,1,0)</f>
        <v>0</v>
      </c>
      <c r="I176">
        <f>COUNTIFS(inventory__Data[product_id],inventory__Data[[#This Row],[product_id]],inventory__Data[stock_on_hand],"&lt;=0")</f>
        <v>29</v>
      </c>
    </row>
    <row r="177" spans="1:9" x14ac:dyDescent="0.3">
      <c r="A177" s="1">
        <v>45693</v>
      </c>
      <c r="B177" t="s">
        <v>9</v>
      </c>
      <c r="C177">
        <v>800</v>
      </c>
      <c r="D177">
        <v>0.05</v>
      </c>
      <c r="E177">
        <v>0</v>
      </c>
      <c r="F177">
        <v>2</v>
      </c>
      <c r="G177" t="b">
        <v>0</v>
      </c>
      <c r="H177">
        <f>IF(inventory__Data[[#This Row],[stock_on_hand]]&lt;=0,1,0)</f>
        <v>0</v>
      </c>
      <c r="I177">
        <f>COUNTIFS(inventory__Data[product_id],inventory__Data[[#This Row],[product_id]],inventory__Data[stock_on_hand],"&lt;=0")</f>
        <v>25</v>
      </c>
    </row>
    <row r="178" spans="1:9" x14ac:dyDescent="0.3">
      <c r="A178" s="1">
        <v>45693</v>
      </c>
      <c r="B178" t="s">
        <v>12</v>
      </c>
      <c r="C178">
        <v>0</v>
      </c>
      <c r="D178">
        <v>0.02</v>
      </c>
      <c r="E178">
        <v>0</v>
      </c>
      <c r="F178">
        <v>5</v>
      </c>
      <c r="G178" t="b">
        <v>0</v>
      </c>
      <c r="H178">
        <f>IF(inventory__Data[[#This Row],[stock_on_hand]]&lt;=0,1,0)</f>
        <v>1</v>
      </c>
      <c r="I178">
        <f>COUNTIFS(inventory__Data[product_id],inventory__Data[[#This Row],[product_id]],inventory__Data[stock_on_hand],"&lt;=0")</f>
        <v>23</v>
      </c>
    </row>
    <row r="179" spans="1:9" x14ac:dyDescent="0.3">
      <c r="A179" s="1">
        <v>45693</v>
      </c>
      <c r="B179" t="s">
        <v>15</v>
      </c>
      <c r="C179">
        <v>52</v>
      </c>
      <c r="D179">
        <v>0.04</v>
      </c>
      <c r="E179">
        <v>0</v>
      </c>
      <c r="F179">
        <v>5</v>
      </c>
      <c r="G179" t="b">
        <v>0</v>
      </c>
      <c r="H179">
        <f>IF(inventory__Data[[#This Row],[stock_on_hand]]&lt;=0,1,0)</f>
        <v>0</v>
      </c>
      <c r="I179">
        <f>COUNTIFS(inventory__Data[product_id],inventory__Data[[#This Row],[product_id]],inventory__Data[stock_on_hand],"&lt;=0")</f>
        <v>30</v>
      </c>
    </row>
    <row r="180" spans="1:9" x14ac:dyDescent="0.3">
      <c r="A180" s="1">
        <v>45693</v>
      </c>
      <c r="B180" t="s">
        <v>18</v>
      </c>
      <c r="C180">
        <v>719</v>
      </c>
      <c r="D180">
        <v>0.15</v>
      </c>
      <c r="E180">
        <v>0</v>
      </c>
      <c r="F180">
        <v>2</v>
      </c>
      <c r="G180" t="b">
        <v>0</v>
      </c>
      <c r="H180">
        <f>IF(inventory__Data[[#This Row],[stock_on_hand]]&lt;=0,1,0)</f>
        <v>0</v>
      </c>
      <c r="I180">
        <f>COUNTIFS(inventory__Data[product_id],inventory__Data[[#This Row],[product_id]],inventory__Data[stock_on_hand],"&lt;=0")</f>
        <v>30</v>
      </c>
    </row>
    <row r="181" spans="1:9" x14ac:dyDescent="0.3">
      <c r="A181" s="1">
        <v>45693</v>
      </c>
      <c r="B181" t="s">
        <v>21</v>
      </c>
      <c r="C181">
        <v>661</v>
      </c>
      <c r="D181">
        <v>0.03</v>
      </c>
      <c r="E181">
        <v>0</v>
      </c>
      <c r="F181">
        <v>2</v>
      </c>
      <c r="G181" t="b">
        <v>0</v>
      </c>
      <c r="H181">
        <f>IF(inventory__Data[[#This Row],[stock_on_hand]]&lt;=0,1,0)</f>
        <v>0</v>
      </c>
      <c r="I181">
        <f>COUNTIFS(inventory__Data[product_id],inventory__Data[[#This Row],[product_id]],inventory__Data[stock_on_hand],"&lt;=0")</f>
        <v>29</v>
      </c>
    </row>
    <row r="182" spans="1:9" x14ac:dyDescent="0.3">
      <c r="A182" s="1">
        <v>45694</v>
      </c>
      <c r="B182" t="s">
        <v>9</v>
      </c>
      <c r="C182">
        <v>61</v>
      </c>
      <c r="D182">
        <v>0.05</v>
      </c>
      <c r="E182">
        <v>0</v>
      </c>
      <c r="F182">
        <v>2</v>
      </c>
      <c r="G182" t="b">
        <v>0</v>
      </c>
      <c r="H182">
        <f>IF(inventory__Data[[#This Row],[stock_on_hand]]&lt;=0,1,0)</f>
        <v>0</v>
      </c>
      <c r="I182">
        <f>COUNTIFS(inventory__Data[product_id],inventory__Data[[#This Row],[product_id]],inventory__Data[stock_on_hand],"&lt;=0")</f>
        <v>25</v>
      </c>
    </row>
    <row r="183" spans="1:9" x14ac:dyDescent="0.3">
      <c r="A183" s="1">
        <v>45694</v>
      </c>
      <c r="B183" t="s">
        <v>12</v>
      </c>
      <c r="C183">
        <v>385</v>
      </c>
      <c r="D183">
        <v>0.02</v>
      </c>
      <c r="E183">
        <v>0</v>
      </c>
      <c r="F183">
        <v>5</v>
      </c>
      <c r="G183" t="b">
        <v>0</v>
      </c>
      <c r="H183">
        <f>IF(inventory__Data[[#This Row],[stock_on_hand]]&lt;=0,1,0)</f>
        <v>0</v>
      </c>
      <c r="I183">
        <f>COUNTIFS(inventory__Data[product_id],inventory__Data[[#This Row],[product_id]],inventory__Data[stock_on_hand],"&lt;=0")</f>
        <v>23</v>
      </c>
    </row>
    <row r="184" spans="1:9" x14ac:dyDescent="0.3">
      <c r="A184" s="1">
        <v>45694</v>
      </c>
      <c r="B184" t="s">
        <v>15</v>
      </c>
      <c r="C184">
        <v>585</v>
      </c>
      <c r="D184">
        <v>0.04</v>
      </c>
      <c r="E184">
        <v>0</v>
      </c>
      <c r="F184">
        <v>2</v>
      </c>
      <c r="G184" t="b">
        <v>0</v>
      </c>
      <c r="H184">
        <f>IF(inventory__Data[[#This Row],[stock_on_hand]]&lt;=0,1,0)</f>
        <v>0</v>
      </c>
      <c r="I184">
        <f>COUNTIFS(inventory__Data[product_id],inventory__Data[[#This Row],[product_id]],inventory__Data[stock_on_hand],"&lt;=0")</f>
        <v>30</v>
      </c>
    </row>
    <row r="185" spans="1:9" x14ac:dyDescent="0.3">
      <c r="A185" s="1">
        <v>45694</v>
      </c>
      <c r="B185" t="s">
        <v>18</v>
      </c>
      <c r="C185">
        <v>286</v>
      </c>
      <c r="D185">
        <v>0.15</v>
      </c>
      <c r="E185">
        <v>0</v>
      </c>
      <c r="F185">
        <v>2</v>
      </c>
      <c r="G185" t="b">
        <v>0</v>
      </c>
      <c r="H185">
        <f>IF(inventory__Data[[#This Row],[stock_on_hand]]&lt;=0,1,0)</f>
        <v>0</v>
      </c>
      <c r="I185">
        <f>COUNTIFS(inventory__Data[product_id],inventory__Data[[#This Row],[product_id]],inventory__Data[stock_on_hand],"&lt;=0")</f>
        <v>30</v>
      </c>
    </row>
    <row r="186" spans="1:9" x14ac:dyDescent="0.3">
      <c r="A186" s="1">
        <v>45694</v>
      </c>
      <c r="B186" t="s">
        <v>21</v>
      </c>
      <c r="C186">
        <v>0</v>
      </c>
      <c r="D186">
        <v>0.03</v>
      </c>
      <c r="E186">
        <v>0</v>
      </c>
      <c r="F186">
        <v>2</v>
      </c>
      <c r="G186" t="b">
        <v>0</v>
      </c>
      <c r="H186">
        <f>IF(inventory__Data[[#This Row],[stock_on_hand]]&lt;=0,1,0)</f>
        <v>1</v>
      </c>
      <c r="I186">
        <f>COUNTIFS(inventory__Data[product_id],inventory__Data[[#This Row],[product_id]],inventory__Data[stock_on_hand],"&lt;=0")</f>
        <v>29</v>
      </c>
    </row>
    <row r="187" spans="1:9" x14ac:dyDescent="0.3">
      <c r="A187" s="1">
        <v>45695</v>
      </c>
      <c r="B187" t="s">
        <v>9</v>
      </c>
      <c r="C187">
        <v>559</v>
      </c>
      <c r="D187">
        <v>0.05</v>
      </c>
      <c r="E187">
        <v>0</v>
      </c>
      <c r="F187">
        <v>2</v>
      </c>
      <c r="G187" t="b">
        <v>0</v>
      </c>
      <c r="H187">
        <f>IF(inventory__Data[[#This Row],[stock_on_hand]]&lt;=0,1,0)</f>
        <v>0</v>
      </c>
      <c r="I187">
        <f>COUNTIFS(inventory__Data[product_id],inventory__Data[[#This Row],[product_id]],inventory__Data[stock_on_hand],"&lt;=0")</f>
        <v>25</v>
      </c>
    </row>
    <row r="188" spans="1:9" x14ac:dyDescent="0.3">
      <c r="A188" s="1">
        <v>45695</v>
      </c>
      <c r="B188" t="s">
        <v>12</v>
      </c>
      <c r="C188">
        <v>628</v>
      </c>
      <c r="D188">
        <v>0.02</v>
      </c>
      <c r="E188">
        <v>0</v>
      </c>
      <c r="F188">
        <v>2</v>
      </c>
      <c r="G188" t="b">
        <v>0</v>
      </c>
      <c r="H188">
        <f>IF(inventory__Data[[#This Row],[stock_on_hand]]&lt;=0,1,0)</f>
        <v>0</v>
      </c>
      <c r="I188">
        <f>COUNTIFS(inventory__Data[product_id],inventory__Data[[#This Row],[product_id]],inventory__Data[stock_on_hand],"&lt;=0")</f>
        <v>23</v>
      </c>
    </row>
    <row r="189" spans="1:9" x14ac:dyDescent="0.3">
      <c r="A189" s="1">
        <v>45695</v>
      </c>
      <c r="B189" t="s">
        <v>15</v>
      </c>
      <c r="C189">
        <v>202</v>
      </c>
      <c r="D189">
        <v>0.04</v>
      </c>
      <c r="E189">
        <v>0</v>
      </c>
      <c r="F189">
        <v>2</v>
      </c>
      <c r="G189" t="b">
        <v>0</v>
      </c>
      <c r="H189">
        <f>IF(inventory__Data[[#This Row],[stock_on_hand]]&lt;=0,1,0)</f>
        <v>0</v>
      </c>
      <c r="I189">
        <f>COUNTIFS(inventory__Data[product_id],inventory__Data[[#This Row],[product_id]],inventory__Data[stock_on_hand],"&lt;=0")</f>
        <v>30</v>
      </c>
    </row>
    <row r="190" spans="1:9" x14ac:dyDescent="0.3">
      <c r="A190" s="1">
        <v>45695</v>
      </c>
      <c r="B190" t="s">
        <v>18</v>
      </c>
      <c r="C190">
        <v>278</v>
      </c>
      <c r="D190">
        <v>0.15</v>
      </c>
      <c r="E190">
        <v>0</v>
      </c>
      <c r="F190">
        <v>2</v>
      </c>
      <c r="G190" t="b">
        <v>0</v>
      </c>
      <c r="H190">
        <f>IF(inventory__Data[[#This Row],[stock_on_hand]]&lt;=0,1,0)</f>
        <v>0</v>
      </c>
      <c r="I190">
        <f>COUNTIFS(inventory__Data[product_id],inventory__Data[[#This Row],[product_id]],inventory__Data[stock_on_hand],"&lt;=0")</f>
        <v>30</v>
      </c>
    </row>
    <row r="191" spans="1:9" x14ac:dyDescent="0.3">
      <c r="A191" s="1">
        <v>45695</v>
      </c>
      <c r="B191" t="s">
        <v>21</v>
      </c>
      <c r="C191">
        <v>311</v>
      </c>
      <c r="D191">
        <v>0.03</v>
      </c>
      <c r="E191">
        <v>0</v>
      </c>
      <c r="F191">
        <v>2</v>
      </c>
      <c r="G191" t="b">
        <v>0</v>
      </c>
      <c r="H191">
        <f>IF(inventory__Data[[#This Row],[stock_on_hand]]&lt;=0,1,0)</f>
        <v>0</v>
      </c>
      <c r="I191">
        <f>COUNTIFS(inventory__Data[product_id],inventory__Data[[#This Row],[product_id]],inventory__Data[stock_on_hand],"&lt;=0")</f>
        <v>29</v>
      </c>
    </row>
    <row r="192" spans="1:9" x14ac:dyDescent="0.3">
      <c r="A192" s="1">
        <v>45696</v>
      </c>
      <c r="B192" t="s">
        <v>9</v>
      </c>
      <c r="C192">
        <v>580</v>
      </c>
      <c r="D192">
        <v>0.05</v>
      </c>
      <c r="E192">
        <v>0</v>
      </c>
      <c r="F192">
        <v>5</v>
      </c>
      <c r="G192" t="b">
        <v>0</v>
      </c>
      <c r="H192">
        <f>IF(inventory__Data[[#This Row],[stock_on_hand]]&lt;=0,1,0)</f>
        <v>0</v>
      </c>
      <c r="I192">
        <f>COUNTIFS(inventory__Data[product_id],inventory__Data[[#This Row],[product_id]],inventory__Data[stock_on_hand],"&lt;=0")</f>
        <v>25</v>
      </c>
    </row>
    <row r="193" spans="1:9" x14ac:dyDescent="0.3">
      <c r="A193" s="1">
        <v>45696</v>
      </c>
      <c r="B193" t="s">
        <v>12</v>
      </c>
      <c r="C193">
        <v>507</v>
      </c>
      <c r="D193">
        <v>0.02</v>
      </c>
      <c r="E193">
        <v>0</v>
      </c>
      <c r="F193">
        <v>5</v>
      </c>
      <c r="G193" t="b">
        <v>0</v>
      </c>
      <c r="H193">
        <f>IF(inventory__Data[[#This Row],[stock_on_hand]]&lt;=0,1,0)</f>
        <v>0</v>
      </c>
      <c r="I193">
        <f>COUNTIFS(inventory__Data[product_id],inventory__Data[[#This Row],[product_id]],inventory__Data[stock_on_hand],"&lt;=0")</f>
        <v>23</v>
      </c>
    </row>
    <row r="194" spans="1:9" x14ac:dyDescent="0.3">
      <c r="A194" s="1">
        <v>45696</v>
      </c>
      <c r="B194" t="s">
        <v>15</v>
      </c>
      <c r="C194">
        <v>486</v>
      </c>
      <c r="D194">
        <v>0.04</v>
      </c>
      <c r="E194">
        <v>0</v>
      </c>
      <c r="F194">
        <v>2</v>
      </c>
      <c r="G194" t="b">
        <v>0</v>
      </c>
      <c r="H194">
        <f>IF(inventory__Data[[#This Row],[stock_on_hand]]&lt;=0,1,0)</f>
        <v>0</v>
      </c>
      <c r="I194">
        <f>COUNTIFS(inventory__Data[product_id],inventory__Data[[#This Row],[product_id]],inventory__Data[stock_on_hand],"&lt;=0")</f>
        <v>30</v>
      </c>
    </row>
    <row r="195" spans="1:9" x14ac:dyDescent="0.3">
      <c r="A195" s="1">
        <v>45696</v>
      </c>
      <c r="B195" t="s">
        <v>18</v>
      </c>
      <c r="C195">
        <v>584</v>
      </c>
      <c r="D195">
        <v>0.15</v>
      </c>
      <c r="E195">
        <v>0</v>
      </c>
      <c r="F195">
        <v>5</v>
      </c>
      <c r="G195" t="b">
        <v>0</v>
      </c>
      <c r="H195">
        <f>IF(inventory__Data[[#This Row],[stock_on_hand]]&lt;=0,1,0)</f>
        <v>0</v>
      </c>
      <c r="I195">
        <f>COUNTIFS(inventory__Data[product_id],inventory__Data[[#This Row],[product_id]],inventory__Data[stock_on_hand],"&lt;=0")</f>
        <v>30</v>
      </c>
    </row>
    <row r="196" spans="1:9" x14ac:dyDescent="0.3">
      <c r="A196" s="1">
        <v>45696</v>
      </c>
      <c r="B196" t="s">
        <v>21</v>
      </c>
      <c r="C196">
        <v>8</v>
      </c>
      <c r="D196">
        <v>0.03</v>
      </c>
      <c r="E196">
        <v>0</v>
      </c>
      <c r="F196">
        <v>2</v>
      </c>
      <c r="G196" t="b">
        <v>0</v>
      </c>
      <c r="H196">
        <f>IF(inventory__Data[[#This Row],[stock_on_hand]]&lt;=0,1,0)</f>
        <v>0</v>
      </c>
      <c r="I196">
        <f>COUNTIFS(inventory__Data[product_id],inventory__Data[[#This Row],[product_id]],inventory__Data[stock_on_hand],"&lt;=0")</f>
        <v>29</v>
      </c>
    </row>
    <row r="197" spans="1:9" x14ac:dyDescent="0.3">
      <c r="A197" s="1">
        <v>45697</v>
      </c>
      <c r="B197" t="s">
        <v>9</v>
      </c>
      <c r="C197">
        <v>307</v>
      </c>
      <c r="D197">
        <v>0.05</v>
      </c>
      <c r="E197">
        <v>0</v>
      </c>
      <c r="F197">
        <v>10</v>
      </c>
      <c r="G197" t="b">
        <v>0</v>
      </c>
      <c r="H197">
        <f>IF(inventory__Data[[#This Row],[stock_on_hand]]&lt;=0,1,0)</f>
        <v>0</v>
      </c>
      <c r="I197">
        <f>COUNTIFS(inventory__Data[product_id],inventory__Data[[#This Row],[product_id]],inventory__Data[stock_on_hand],"&lt;=0")</f>
        <v>25</v>
      </c>
    </row>
    <row r="198" spans="1:9" x14ac:dyDescent="0.3">
      <c r="A198" s="1">
        <v>45697</v>
      </c>
      <c r="B198" t="s">
        <v>12</v>
      </c>
      <c r="C198">
        <v>284</v>
      </c>
      <c r="D198">
        <v>0.02</v>
      </c>
      <c r="E198">
        <v>0</v>
      </c>
      <c r="F198">
        <v>2</v>
      </c>
      <c r="G198" t="b">
        <v>0</v>
      </c>
      <c r="H198">
        <f>IF(inventory__Data[[#This Row],[stock_on_hand]]&lt;=0,1,0)</f>
        <v>0</v>
      </c>
      <c r="I198">
        <f>COUNTIFS(inventory__Data[product_id],inventory__Data[[#This Row],[product_id]],inventory__Data[stock_on_hand],"&lt;=0")</f>
        <v>23</v>
      </c>
    </row>
    <row r="199" spans="1:9" x14ac:dyDescent="0.3">
      <c r="A199" s="1">
        <v>45697</v>
      </c>
      <c r="B199" t="s">
        <v>15</v>
      </c>
      <c r="C199">
        <v>897</v>
      </c>
      <c r="D199">
        <v>0.04</v>
      </c>
      <c r="E199">
        <v>0</v>
      </c>
      <c r="F199">
        <v>15</v>
      </c>
      <c r="G199" t="b">
        <v>0</v>
      </c>
      <c r="H199">
        <f>IF(inventory__Data[[#This Row],[stock_on_hand]]&lt;=0,1,0)</f>
        <v>0</v>
      </c>
      <c r="I199">
        <f>COUNTIFS(inventory__Data[product_id],inventory__Data[[#This Row],[product_id]],inventory__Data[stock_on_hand],"&lt;=0")</f>
        <v>30</v>
      </c>
    </row>
    <row r="200" spans="1:9" x14ac:dyDescent="0.3">
      <c r="A200" s="1">
        <v>45697</v>
      </c>
      <c r="B200" t="s">
        <v>18</v>
      </c>
      <c r="C200">
        <v>743</v>
      </c>
      <c r="D200">
        <v>0.15</v>
      </c>
      <c r="E200">
        <v>0</v>
      </c>
      <c r="F200">
        <v>2</v>
      </c>
      <c r="G200" t="b">
        <v>0</v>
      </c>
      <c r="H200">
        <f>IF(inventory__Data[[#This Row],[stock_on_hand]]&lt;=0,1,0)</f>
        <v>0</v>
      </c>
      <c r="I200">
        <f>COUNTIFS(inventory__Data[product_id],inventory__Data[[#This Row],[product_id]],inventory__Data[stock_on_hand],"&lt;=0")</f>
        <v>30</v>
      </c>
    </row>
    <row r="201" spans="1:9" x14ac:dyDescent="0.3">
      <c r="A201" s="1">
        <v>45697</v>
      </c>
      <c r="B201" t="s">
        <v>21</v>
      </c>
      <c r="C201">
        <v>183</v>
      </c>
      <c r="D201">
        <v>0.03</v>
      </c>
      <c r="E201">
        <v>0</v>
      </c>
      <c r="F201">
        <v>2</v>
      </c>
      <c r="G201" t="b">
        <v>0</v>
      </c>
      <c r="H201">
        <f>IF(inventory__Data[[#This Row],[stock_on_hand]]&lt;=0,1,0)</f>
        <v>0</v>
      </c>
      <c r="I201">
        <f>COUNTIFS(inventory__Data[product_id],inventory__Data[[#This Row],[product_id]],inventory__Data[stock_on_hand],"&lt;=0")</f>
        <v>29</v>
      </c>
    </row>
    <row r="202" spans="1:9" x14ac:dyDescent="0.3">
      <c r="A202" s="1">
        <v>45698</v>
      </c>
      <c r="B202" t="s">
        <v>9</v>
      </c>
      <c r="C202">
        <v>177</v>
      </c>
      <c r="D202">
        <v>0.05</v>
      </c>
      <c r="E202">
        <v>0</v>
      </c>
      <c r="F202">
        <v>2</v>
      </c>
      <c r="G202" t="b">
        <v>0</v>
      </c>
      <c r="H202">
        <f>IF(inventory__Data[[#This Row],[stock_on_hand]]&lt;=0,1,0)</f>
        <v>0</v>
      </c>
      <c r="I202">
        <f>COUNTIFS(inventory__Data[product_id],inventory__Data[[#This Row],[product_id]],inventory__Data[stock_on_hand],"&lt;=0")</f>
        <v>25</v>
      </c>
    </row>
    <row r="203" spans="1:9" x14ac:dyDescent="0.3">
      <c r="A203" s="1">
        <v>45698</v>
      </c>
      <c r="B203" t="s">
        <v>12</v>
      </c>
      <c r="C203">
        <v>577</v>
      </c>
      <c r="D203">
        <v>0.02</v>
      </c>
      <c r="E203">
        <v>0</v>
      </c>
      <c r="F203">
        <v>2</v>
      </c>
      <c r="G203" t="b">
        <v>0</v>
      </c>
      <c r="H203">
        <f>IF(inventory__Data[[#This Row],[stock_on_hand]]&lt;=0,1,0)</f>
        <v>0</v>
      </c>
      <c r="I203">
        <f>COUNTIFS(inventory__Data[product_id],inventory__Data[[#This Row],[product_id]],inventory__Data[stock_on_hand],"&lt;=0")</f>
        <v>23</v>
      </c>
    </row>
    <row r="204" spans="1:9" x14ac:dyDescent="0.3">
      <c r="A204" s="1">
        <v>45698</v>
      </c>
      <c r="B204" t="s">
        <v>15</v>
      </c>
      <c r="C204">
        <v>59</v>
      </c>
      <c r="D204">
        <v>0.04</v>
      </c>
      <c r="E204">
        <v>0</v>
      </c>
      <c r="F204">
        <v>5</v>
      </c>
      <c r="G204" t="b">
        <v>0</v>
      </c>
      <c r="H204">
        <f>IF(inventory__Data[[#This Row],[stock_on_hand]]&lt;=0,1,0)</f>
        <v>0</v>
      </c>
      <c r="I204">
        <f>COUNTIFS(inventory__Data[product_id],inventory__Data[[#This Row],[product_id]],inventory__Data[stock_on_hand],"&lt;=0")</f>
        <v>30</v>
      </c>
    </row>
    <row r="205" spans="1:9" x14ac:dyDescent="0.3">
      <c r="A205" s="1">
        <v>45698</v>
      </c>
      <c r="B205" t="s">
        <v>18</v>
      </c>
      <c r="C205">
        <v>89</v>
      </c>
      <c r="D205">
        <v>0.15</v>
      </c>
      <c r="E205">
        <v>0</v>
      </c>
      <c r="F205">
        <v>15</v>
      </c>
      <c r="G205" t="b">
        <v>0</v>
      </c>
      <c r="H205">
        <f>IF(inventory__Data[[#This Row],[stock_on_hand]]&lt;=0,1,0)</f>
        <v>0</v>
      </c>
      <c r="I205">
        <f>COUNTIFS(inventory__Data[product_id],inventory__Data[[#This Row],[product_id]],inventory__Data[stock_on_hand],"&lt;=0")</f>
        <v>30</v>
      </c>
    </row>
    <row r="206" spans="1:9" x14ac:dyDescent="0.3">
      <c r="A206" s="1">
        <v>45698</v>
      </c>
      <c r="B206" t="s">
        <v>21</v>
      </c>
      <c r="C206">
        <v>128</v>
      </c>
      <c r="D206">
        <v>0.03</v>
      </c>
      <c r="E206">
        <v>0</v>
      </c>
      <c r="F206">
        <v>2</v>
      </c>
      <c r="G206" t="b">
        <v>0</v>
      </c>
      <c r="H206">
        <f>IF(inventory__Data[[#This Row],[stock_on_hand]]&lt;=0,1,0)</f>
        <v>0</v>
      </c>
      <c r="I206">
        <f>COUNTIFS(inventory__Data[product_id],inventory__Data[[#This Row],[product_id]],inventory__Data[stock_on_hand],"&lt;=0")</f>
        <v>29</v>
      </c>
    </row>
    <row r="207" spans="1:9" x14ac:dyDescent="0.3">
      <c r="A207" s="1">
        <v>45699</v>
      </c>
      <c r="B207" t="s">
        <v>9</v>
      </c>
      <c r="C207">
        <v>418</v>
      </c>
      <c r="D207">
        <v>0.05</v>
      </c>
      <c r="E207">
        <v>0</v>
      </c>
      <c r="F207">
        <v>2</v>
      </c>
      <c r="G207" t="b">
        <v>0</v>
      </c>
      <c r="H207">
        <f>IF(inventory__Data[[#This Row],[stock_on_hand]]&lt;=0,1,0)</f>
        <v>0</v>
      </c>
      <c r="I207">
        <f>COUNTIFS(inventory__Data[product_id],inventory__Data[[#This Row],[product_id]],inventory__Data[stock_on_hand],"&lt;=0")</f>
        <v>25</v>
      </c>
    </row>
    <row r="208" spans="1:9" x14ac:dyDescent="0.3">
      <c r="A208" s="1">
        <v>45699</v>
      </c>
      <c r="B208" t="s">
        <v>12</v>
      </c>
      <c r="C208">
        <v>568</v>
      </c>
      <c r="D208">
        <v>0.02</v>
      </c>
      <c r="E208">
        <v>0</v>
      </c>
      <c r="F208">
        <v>2</v>
      </c>
      <c r="G208" t="b">
        <v>0</v>
      </c>
      <c r="H208">
        <f>IF(inventory__Data[[#This Row],[stock_on_hand]]&lt;=0,1,0)</f>
        <v>0</v>
      </c>
      <c r="I208">
        <f>COUNTIFS(inventory__Data[product_id],inventory__Data[[#This Row],[product_id]],inventory__Data[stock_on_hand],"&lt;=0")</f>
        <v>23</v>
      </c>
    </row>
    <row r="209" spans="1:9" x14ac:dyDescent="0.3">
      <c r="A209" s="1">
        <v>45699</v>
      </c>
      <c r="B209" t="s">
        <v>15</v>
      </c>
      <c r="C209">
        <v>296</v>
      </c>
      <c r="D209">
        <v>0.04</v>
      </c>
      <c r="E209">
        <v>0</v>
      </c>
      <c r="F209">
        <v>5</v>
      </c>
      <c r="G209" t="b">
        <v>0</v>
      </c>
      <c r="H209">
        <f>IF(inventory__Data[[#This Row],[stock_on_hand]]&lt;=0,1,0)</f>
        <v>0</v>
      </c>
      <c r="I209">
        <f>COUNTIFS(inventory__Data[product_id],inventory__Data[[#This Row],[product_id]],inventory__Data[stock_on_hand],"&lt;=0")</f>
        <v>30</v>
      </c>
    </row>
    <row r="210" spans="1:9" x14ac:dyDescent="0.3">
      <c r="A210" s="1">
        <v>45699</v>
      </c>
      <c r="B210" t="s">
        <v>18</v>
      </c>
      <c r="C210">
        <v>369</v>
      </c>
      <c r="D210">
        <v>0.15</v>
      </c>
      <c r="E210">
        <v>0</v>
      </c>
      <c r="F210">
        <v>2</v>
      </c>
      <c r="G210" t="b">
        <v>0</v>
      </c>
      <c r="H210">
        <f>IF(inventory__Data[[#This Row],[stock_on_hand]]&lt;=0,1,0)</f>
        <v>0</v>
      </c>
      <c r="I210">
        <f>COUNTIFS(inventory__Data[product_id],inventory__Data[[#This Row],[product_id]],inventory__Data[stock_on_hand],"&lt;=0")</f>
        <v>30</v>
      </c>
    </row>
    <row r="211" spans="1:9" x14ac:dyDescent="0.3">
      <c r="A211" s="1">
        <v>45699</v>
      </c>
      <c r="B211" t="s">
        <v>21</v>
      </c>
      <c r="C211">
        <v>73</v>
      </c>
      <c r="D211">
        <v>0.03</v>
      </c>
      <c r="E211">
        <v>0</v>
      </c>
      <c r="F211">
        <v>2</v>
      </c>
      <c r="G211" t="b">
        <v>0</v>
      </c>
      <c r="H211">
        <f>IF(inventory__Data[[#This Row],[stock_on_hand]]&lt;=0,1,0)</f>
        <v>0</v>
      </c>
      <c r="I211">
        <f>COUNTIFS(inventory__Data[product_id],inventory__Data[[#This Row],[product_id]],inventory__Data[stock_on_hand],"&lt;=0")</f>
        <v>29</v>
      </c>
    </row>
    <row r="212" spans="1:9" x14ac:dyDescent="0.3">
      <c r="A212" s="1">
        <v>45700</v>
      </c>
      <c r="B212" t="s">
        <v>9</v>
      </c>
      <c r="C212">
        <v>226</v>
      </c>
      <c r="D212">
        <v>0.05</v>
      </c>
      <c r="E212">
        <v>0</v>
      </c>
      <c r="F212">
        <v>2</v>
      </c>
      <c r="G212" t="b">
        <v>0</v>
      </c>
      <c r="H212">
        <f>IF(inventory__Data[[#This Row],[stock_on_hand]]&lt;=0,1,0)</f>
        <v>0</v>
      </c>
      <c r="I212">
        <f>COUNTIFS(inventory__Data[product_id],inventory__Data[[#This Row],[product_id]],inventory__Data[stock_on_hand],"&lt;=0")</f>
        <v>25</v>
      </c>
    </row>
    <row r="213" spans="1:9" x14ac:dyDescent="0.3">
      <c r="A213" s="1">
        <v>45700</v>
      </c>
      <c r="B213" t="s">
        <v>12</v>
      </c>
      <c r="C213">
        <v>74</v>
      </c>
      <c r="D213">
        <v>0.02</v>
      </c>
      <c r="E213">
        <v>0</v>
      </c>
      <c r="F213">
        <v>2</v>
      </c>
      <c r="G213" t="b">
        <v>0</v>
      </c>
      <c r="H213">
        <f>IF(inventory__Data[[#This Row],[stock_on_hand]]&lt;=0,1,0)</f>
        <v>0</v>
      </c>
      <c r="I213">
        <f>COUNTIFS(inventory__Data[product_id],inventory__Data[[#This Row],[product_id]],inventory__Data[stock_on_hand],"&lt;=0")</f>
        <v>23</v>
      </c>
    </row>
    <row r="214" spans="1:9" x14ac:dyDescent="0.3">
      <c r="A214" s="1">
        <v>45700</v>
      </c>
      <c r="B214" t="s">
        <v>15</v>
      </c>
      <c r="C214">
        <v>683</v>
      </c>
      <c r="D214">
        <v>0.04</v>
      </c>
      <c r="E214">
        <v>0</v>
      </c>
      <c r="F214">
        <v>2</v>
      </c>
      <c r="G214" t="b">
        <v>0</v>
      </c>
      <c r="H214">
        <f>IF(inventory__Data[[#This Row],[stock_on_hand]]&lt;=0,1,0)</f>
        <v>0</v>
      </c>
      <c r="I214">
        <f>COUNTIFS(inventory__Data[product_id],inventory__Data[[#This Row],[product_id]],inventory__Data[stock_on_hand],"&lt;=0")</f>
        <v>30</v>
      </c>
    </row>
    <row r="215" spans="1:9" x14ac:dyDescent="0.3">
      <c r="A215" s="1">
        <v>45700</v>
      </c>
      <c r="B215" t="s">
        <v>18</v>
      </c>
      <c r="C215">
        <v>223</v>
      </c>
      <c r="D215">
        <v>0.15</v>
      </c>
      <c r="E215">
        <v>0</v>
      </c>
      <c r="F215">
        <v>2</v>
      </c>
      <c r="G215" t="b">
        <v>0</v>
      </c>
      <c r="H215">
        <f>IF(inventory__Data[[#This Row],[stock_on_hand]]&lt;=0,1,0)</f>
        <v>0</v>
      </c>
      <c r="I215">
        <f>COUNTIFS(inventory__Data[product_id],inventory__Data[[#This Row],[product_id]],inventory__Data[stock_on_hand],"&lt;=0")</f>
        <v>30</v>
      </c>
    </row>
    <row r="216" spans="1:9" x14ac:dyDescent="0.3">
      <c r="A216" s="1">
        <v>45700</v>
      </c>
      <c r="B216" t="s">
        <v>21</v>
      </c>
      <c r="C216">
        <v>0</v>
      </c>
      <c r="D216">
        <v>0.03</v>
      </c>
      <c r="E216">
        <v>0</v>
      </c>
      <c r="F216">
        <v>5</v>
      </c>
      <c r="G216" t="b">
        <v>0</v>
      </c>
      <c r="H216">
        <f>IF(inventory__Data[[#This Row],[stock_on_hand]]&lt;=0,1,0)</f>
        <v>1</v>
      </c>
      <c r="I216">
        <f>COUNTIFS(inventory__Data[product_id],inventory__Data[[#This Row],[product_id]],inventory__Data[stock_on_hand],"&lt;=0")</f>
        <v>29</v>
      </c>
    </row>
    <row r="217" spans="1:9" x14ac:dyDescent="0.3">
      <c r="A217" s="1">
        <v>45701</v>
      </c>
      <c r="B217" t="s">
        <v>9</v>
      </c>
      <c r="C217">
        <v>628</v>
      </c>
      <c r="D217">
        <v>0.05</v>
      </c>
      <c r="E217">
        <v>0</v>
      </c>
      <c r="F217">
        <v>2</v>
      </c>
      <c r="G217" t="b">
        <v>0</v>
      </c>
      <c r="H217">
        <f>IF(inventory__Data[[#This Row],[stock_on_hand]]&lt;=0,1,0)</f>
        <v>0</v>
      </c>
      <c r="I217">
        <f>COUNTIFS(inventory__Data[product_id],inventory__Data[[#This Row],[product_id]],inventory__Data[stock_on_hand],"&lt;=0")</f>
        <v>25</v>
      </c>
    </row>
    <row r="218" spans="1:9" x14ac:dyDescent="0.3">
      <c r="A218" s="1">
        <v>45701</v>
      </c>
      <c r="B218" t="s">
        <v>12</v>
      </c>
      <c r="C218">
        <v>501</v>
      </c>
      <c r="D218">
        <v>0.02</v>
      </c>
      <c r="E218">
        <v>0</v>
      </c>
      <c r="F218">
        <v>5</v>
      </c>
      <c r="G218" t="b">
        <v>0</v>
      </c>
      <c r="H218">
        <f>IF(inventory__Data[[#This Row],[stock_on_hand]]&lt;=0,1,0)</f>
        <v>0</v>
      </c>
      <c r="I218">
        <f>COUNTIFS(inventory__Data[product_id],inventory__Data[[#This Row],[product_id]],inventory__Data[stock_on_hand],"&lt;=0")</f>
        <v>23</v>
      </c>
    </row>
    <row r="219" spans="1:9" x14ac:dyDescent="0.3">
      <c r="A219" s="1">
        <v>45701</v>
      </c>
      <c r="B219" t="s">
        <v>15</v>
      </c>
      <c r="C219">
        <v>274</v>
      </c>
      <c r="D219">
        <v>0.04</v>
      </c>
      <c r="E219">
        <v>0</v>
      </c>
      <c r="F219">
        <v>2</v>
      </c>
      <c r="G219" t="b">
        <v>0</v>
      </c>
      <c r="H219">
        <f>IF(inventory__Data[[#This Row],[stock_on_hand]]&lt;=0,1,0)</f>
        <v>0</v>
      </c>
      <c r="I219">
        <f>COUNTIFS(inventory__Data[product_id],inventory__Data[[#This Row],[product_id]],inventory__Data[stock_on_hand],"&lt;=0")</f>
        <v>30</v>
      </c>
    </row>
    <row r="220" spans="1:9" x14ac:dyDescent="0.3">
      <c r="A220" s="1">
        <v>45701</v>
      </c>
      <c r="B220" t="s">
        <v>18</v>
      </c>
      <c r="C220">
        <v>713</v>
      </c>
      <c r="D220">
        <v>0.15</v>
      </c>
      <c r="E220">
        <v>0</v>
      </c>
      <c r="F220">
        <v>5</v>
      </c>
      <c r="G220" t="b">
        <v>0</v>
      </c>
      <c r="H220">
        <f>IF(inventory__Data[[#This Row],[stock_on_hand]]&lt;=0,1,0)</f>
        <v>0</v>
      </c>
      <c r="I220">
        <f>COUNTIFS(inventory__Data[product_id],inventory__Data[[#This Row],[product_id]],inventory__Data[stock_on_hand],"&lt;=0")</f>
        <v>30</v>
      </c>
    </row>
    <row r="221" spans="1:9" x14ac:dyDescent="0.3">
      <c r="A221" s="1">
        <v>45701</v>
      </c>
      <c r="B221" t="s">
        <v>21</v>
      </c>
      <c r="C221">
        <v>0</v>
      </c>
      <c r="D221">
        <v>0.03</v>
      </c>
      <c r="E221">
        <v>0</v>
      </c>
      <c r="F221">
        <v>2</v>
      </c>
      <c r="G221" t="b">
        <v>0</v>
      </c>
      <c r="H221">
        <f>IF(inventory__Data[[#This Row],[stock_on_hand]]&lt;=0,1,0)</f>
        <v>1</v>
      </c>
      <c r="I221">
        <f>COUNTIFS(inventory__Data[product_id],inventory__Data[[#This Row],[product_id]],inventory__Data[stock_on_hand],"&lt;=0")</f>
        <v>29</v>
      </c>
    </row>
    <row r="222" spans="1:9" x14ac:dyDescent="0.3">
      <c r="A222" s="1">
        <v>45702</v>
      </c>
      <c r="B222" t="s">
        <v>9</v>
      </c>
      <c r="C222">
        <v>293</v>
      </c>
      <c r="D222">
        <v>0.05</v>
      </c>
      <c r="E222">
        <v>0</v>
      </c>
      <c r="F222">
        <v>2</v>
      </c>
      <c r="G222" t="b">
        <v>0</v>
      </c>
      <c r="H222">
        <f>IF(inventory__Data[[#This Row],[stock_on_hand]]&lt;=0,1,0)</f>
        <v>0</v>
      </c>
      <c r="I222">
        <f>COUNTIFS(inventory__Data[product_id],inventory__Data[[#This Row],[product_id]],inventory__Data[stock_on_hand],"&lt;=0")</f>
        <v>25</v>
      </c>
    </row>
    <row r="223" spans="1:9" x14ac:dyDescent="0.3">
      <c r="A223" s="1">
        <v>45702</v>
      </c>
      <c r="B223" t="s">
        <v>12</v>
      </c>
      <c r="C223">
        <v>51</v>
      </c>
      <c r="D223">
        <v>0.02</v>
      </c>
      <c r="E223">
        <v>0</v>
      </c>
      <c r="F223">
        <v>2</v>
      </c>
      <c r="G223" t="b">
        <v>0</v>
      </c>
      <c r="H223">
        <f>IF(inventory__Data[[#This Row],[stock_on_hand]]&lt;=0,1,0)</f>
        <v>0</v>
      </c>
      <c r="I223">
        <f>COUNTIFS(inventory__Data[product_id],inventory__Data[[#This Row],[product_id]],inventory__Data[stock_on_hand],"&lt;=0")</f>
        <v>23</v>
      </c>
    </row>
    <row r="224" spans="1:9" x14ac:dyDescent="0.3">
      <c r="A224" s="1">
        <v>45702</v>
      </c>
      <c r="B224" t="s">
        <v>15</v>
      </c>
      <c r="C224">
        <v>629</v>
      </c>
      <c r="D224">
        <v>0.04</v>
      </c>
      <c r="E224">
        <v>0</v>
      </c>
      <c r="F224">
        <v>2</v>
      </c>
      <c r="G224" t="b">
        <v>0</v>
      </c>
      <c r="H224">
        <f>IF(inventory__Data[[#This Row],[stock_on_hand]]&lt;=0,1,0)</f>
        <v>0</v>
      </c>
      <c r="I224">
        <f>COUNTIFS(inventory__Data[product_id],inventory__Data[[#This Row],[product_id]],inventory__Data[stock_on_hand],"&lt;=0")</f>
        <v>30</v>
      </c>
    </row>
    <row r="225" spans="1:9" x14ac:dyDescent="0.3">
      <c r="A225" s="1">
        <v>45702</v>
      </c>
      <c r="B225" t="s">
        <v>18</v>
      </c>
      <c r="C225">
        <v>318</v>
      </c>
      <c r="D225">
        <v>0.15</v>
      </c>
      <c r="E225">
        <v>0</v>
      </c>
      <c r="F225">
        <v>5</v>
      </c>
      <c r="G225" t="b">
        <v>0</v>
      </c>
      <c r="H225">
        <f>IF(inventory__Data[[#This Row],[stock_on_hand]]&lt;=0,1,0)</f>
        <v>0</v>
      </c>
      <c r="I225">
        <f>COUNTIFS(inventory__Data[product_id],inventory__Data[[#This Row],[product_id]],inventory__Data[stock_on_hand],"&lt;=0")</f>
        <v>30</v>
      </c>
    </row>
    <row r="226" spans="1:9" x14ac:dyDescent="0.3">
      <c r="A226" s="1">
        <v>45702</v>
      </c>
      <c r="B226" t="s">
        <v>21</v>
      </c>
      <c r="C226">
        <v>793</v>
      </c>
      <c r="D226">
        <v>0.03</v>
      </c>
      <c r="E226">
        <v>0</v>
      </c>
      <c r="F226">
        <v>5</v>
      </c>
      <c r="G226" t="b">
        <v>0</v>
      </c>
      <c r="H226">
        <f>IF(inventory__Data[[#This Row],[stock_on_hand]]&lt;=0,1,0)</f>
        <v>0</v>
      </c>
      <c r="I226">
        <f>COUNTIFS(inventory__Data[product_id],inventory__Data[[#This Row],[product_id]],inventory__Data[stock_on_hand],"&lt;=0")</f>
        <v>29</v>
      </c>
    </row>
    <row r="227" spans="1:9" x14ac:dyDescent="0.3">
      <c r="A227" s="1">
        <v>45703</v>
      </c>
      <c r="B227" t="s">
        <v>9</v>
      </c>
      <c r="C227">
        <v>507</v>
      </c>
      <c r="D227">
        <v>0.05</v>
      </c>
      <c r="E227">
        <v>0</v>
      </c>
      <c r="F227">
        <v>2</v>
      </c>
      <c r="G227" t="b">
        <v>0</v>
      </c>
      <c r="H227">
        <f>IF(inventory__Data[[#This Row],[stock_on_hand]]&lt;=0,1,0)</f>
        <v>0</v>
      </c>
      <c r="I227">
        <f>COUNTIFS(inventory__Data[product_id],inventory__Data[[#This Row],[product_id]],inventory__Data[stock_on_hand],"&lt;=0")</f>
        <v>25</v>
      </c>
    </row>
    <row r="228" spans="1:9" x14ac:dyDescent="0.3">
      <c r="A228" s="1">
        <v>45703</v>
      </c>
      <c r="B228" t="s">
        <v>12</v>
      </c>
      <c r="C228">
        <v>862</v>
      </c>
      <c r="D228">
        <v>0.02</v>
      </c>
      <c r="E228">
        <v>0</v>
      </c>
      <c r="F228">
        <v>2</v>
      </c>
      <c r="G228" t="b">
        <v>0</v>
      </c>
      <c r="H228">
        <f>IF(inventory__Data[[#This Row],[stock_on_hand]]&lt;=0,1,0)</f>
        <v>0</v>
      </c>
      <c r="I228">
        <f>COUNTIFS(inventory__Data[product_id],inventory__Data[[#This Row],[product_id]],inventory__Data[stock_on_hand],"&lt;=0")</f>
        <v>23</v>
      </c>
    </row>
    <row r="229" spans="1:9" x14ac:dyDescent="0.3">
      <c r="A229" s="1">
        <v>45703</v>
      </c>
      <c r="B229" t="s">
        <v>15</v>
      </c>
      <c r="C229">
        <v>539</v>
      </c>
      <c r="D229">
        <v>0.04</v>
      </c>
      <c r="E229">
        <v>0</v>
      </c>
      <c r="F229">
        <v>2</v>
      </c>
      <c r="G229" t="b">
        <v>0</v>
      </c>
      <c r="H229">
        <f>IF(inventory__Data[[#This Row],[stock_on_hand]]&lt;=0,1,0)</f>
        <v>0</v>
      </c>
      <c r="I229">
        <f>COUNTIFS(inventory__Data[product_id],inventory__Data[[#This Row],[product_id]],inventory__Data[stock_on_hand],"&lt;=0")</f>
        <v>30</v>
      </c>
    </row>
    <row r="230" spans="1:9" x14ac:dyDescent="0.3">
      <c r="A230" s="1">
        <v>45703</v>
      </c>
      <c r="B230" t="s">
        <v>18</v>
      </c>
      <c r="C230">
        <v>704</v>
      </c>
      <c r="D230">
        <v>0.15</v>
      </c>
      <c r="E230">
        <v>0</v>
      </c>
      <c r="F230">
        <v>2</v>
      </c>
      <c r="G230" t="b">
        <v>0</v>
      </c>
      <c r="H230">
        <f>IF(inventory__Data[[#This Row],[stock_on_hand]]&lt;=0,1,0)</f>
        <v>0</v>
      </c>
      <c r="I230">
        <f>COUNTIFS(inventory__Data[product_id],inventory__Data[[#This Row],[product_id]],inventory__Data[stock_on_hand],"&lt;=0")</f>
        <v>30</v>
      </c>
    </row>
    <row r="231" spans="1:9" x14ac:dyDescent="0.3">
      <c r="A231" s="1">
        <v>45703</v>
      </c>
      <c r="B231" t="s">
        <v>21</v>
      </c>
      <c r="C231">
        <v>367</v>
      </c>
      <c r="D231">
        <v>0.03</v>
      </c>
      <c r="E231">
        <v>0</v>
      </c>
      <c r="F231">
        <v>2</v>
      </c>
      <c r="G231" t="b">
        <v>0</v>
      </c>
      <c r="H231">
        <f>IF(inventory__Data[[#This Row],[stock_on_hand]]&lt;=0,1,0)</f>
        <v>0</v>
      </c>
      <c r="I231">
        <f>COUNTIFS(inventory__Data[product_id],inventory__Data[[#This Row],[product_id]],inventory__Data[stock_on_hand],"&lt;=0")</f>
        <v>29</v>
      </c>
    </row>
    <row r="232" spans="1:9" x14ac:dyDescent="0.3">
      <c r="A232" s="1">
        <v>45704</v>
      </c>
      <c r="B232" t="s">
        <v>9</v>
      </c>
      <c r="C232">
        <v>36</v>
      </c>
      <c r="D232">
        <v>0.05</v>
      </c>
      <c r="E232">
        <v>0</v>
      </c>
      <c r="F232">
        <v>2</v>
      </c>
      <c r="G232" t="b">
        <v>0</v>
      </c>
      <c r="H232">
        <f>IF(inventory__Data[[#This Row],[stock_on_hand]]&lt;=0,1,0)</f>
        <v>0</v>
      </c>
      <c r="I232">
        <f>COUNTIFS(inventory__Data[product_id],inventory__Data[[#This Row],[product_id]],inventory__Data[stock_on_hand],"&lt;=0")</f>
        <v>25</v>
      </c>
    </row>
    <row r="233" spans="1:9" x14ac:dyDescent="0.3">
      <c r="A233" s="1">
        <v>45704</v>
      </c>
      <c r="B233" t="s">
        <v>12</v>
      </c>
      <c r="C233">
        <v>687</v>
      </c>
      <c r="D233">
        <v>0.02</v>
      </c>
      <c r="E233">
        <v>0</v>
      </c>
      <c r="F233">
        <v>10</v>
      </c>
      <c r="G233" t="b">
        <v>0</v>
      </c>
      <c r="H233">
        <f>IF(inventory__Data[[#This Row],[stock_on_hand]]&lt;=0,1,0)</f>
        <v>0</v>
      </c>
      <c r="I233">
        <f>COUNTIFS(inventory__Data[product_id],inventory__Data[[#This Row],[product_id]],inventory__Data[stock_on_hand],"&lt;=0")</f>
        <v>23</v>
      </c>
    </row>
    <row r="234" spans="1:9" x14ac:dyDescent="0.3">
      <c r="A234" s="1">
        <v>45704</v>
      </c>
      <c r="B234" t="s">
        <v>15</v>
      </c>
      <c r="C234">
        <v>336</v>
      </c>
      <c r="D234">
        <v>0.04</v>
      </c>
      <c r="E234">
        <v>0</v>
      </c>
      <c r="F234">
        <v>2</v>
      </c>
      <c r="G234" t="b">
        <v>0</v>
      </c>
      <c r="H234">
        <f>IF(inventory__Data[[#This Row],[stock_on_hand]]&lt;=0,1,0)</f>
        <v>0</v>
      </c>
      <c r="I234">
        <f>COUNTIFS(inventory__Data[product_id],inventory__Data[[#This Row],[product_id]],inventory__Data[stock_on_hand],"&lt;=0")</f>
        <v>30</v>
      </c>
    </row>
    <row r="235" spans="1:9" x14ac:dyDescent="0.3">
      <c r="A235" s="1">
        <v>45704</v>
      </c>
      <c r="B235" t="s">
        <v>18</v>
      </c>
      <c r="C235">
        <v>274</v>
      </c>
      <c r="D235">
        <v>0.15</v>
      </c>
      <c r="E235">
        <v>0</v>
      </c>
      <c r="F235">
        <v>2</v>
      </c>
      <c r="G235" t="b">
        <v>0</v>
      </c>
      <c r="H235">
        <f>IF(inventory__Data[[#This Row],[stock_on_hand]]&lt;=0,1,0)</f>
        <v>0</v>
      </c>
      <c r="I235">
        <f>COUNTIFS(inventory__Data[product_id],inventory__Data[[#This Row],[product_id]],inventory__Data[stock_on_hand],"&lt;=0")</f>
        <v>30</v>
      </c>
    </row>
    <row r="236" spans="1:9" x14ac:dyDescent="0.3">
      <c r="A236" s="1">
        <v>45704</v>
      </c>
      <c r="B236" t="s">
        <v>21</v>
      </c>
      <c r="C236">
        <v>505</v>
      </c>
      <c r="D236">
        <v>0.03</v>
      </c>
      <c r="E236">
        <v>0</v>
      </c>
      <c r="F236">
        <v>5</v>
      </c>
      <c r="G236" t="b">
        <v>0</v>
      </c>
      <c r="H236">
        <f>IF(inventory__Data[[#This Row],[stock_on_hand]]&lt;=0,1,0)</f>
        <v>0</v>
      </c>
      <c r="I236">
        <f>COUNTIFS(inventory__Data[product_id],inventory__Data[[#This Row],[product_id]],inventory__Data[stock_on_hand],"&lt;=0")</f>
        <v>29</v>
      </c>
    </row>
    <row r="237" spans="1:9" x14ac:dyDescent="0.3">
      <c r="A237" s="1">
        <v>45705</v>
      </c>
      <c r="B237" t="s">
        <v>9</v>
      </c>
      <c r="C237">
        <v>303</v>
      </c>
      <c r="D237">
        <v>0.05</v>
      </c>
      <c r="E237">
        <v>0</v>
      </c>
      <c r="F237">
        <v>2</v>
      </c>
      <c r="G237" t="b">
        <v>0</v>
      </c>
      <c r="H237">
        <f>IF(inventory__Data[[#This Row],[stock_on_hand]]&lt;=0,1,0)</f>
        <v>0</v>
      </c>
      <c r="I237">
        <f>COUNTIFS(inventory__Data[product_id],inventory__Data[[#This Row],[product_id]],inventory__Data[stock_on_hand],"&lt;=0")</f>
        <v>25</v>
      </c>
    </row>
    <row r="238" spans="1:9" x14ac:dyDescent="0.3">
      <c r="A238" s="1">
        <v>45705</v>
      </c>
      <c r="B238" t="s">
        <v>12</v>
      </c>
      <c r="C238">
        <v>439</v>
      </c>
      <c r="D238">
        <v>0.02</v>
      </c>
      <c r="E238">
        <v>0</v>
      </c>
      <c r="F238">
        <v>2</v>
      </c>
      <c r="G238" t="b">
        <v>0</v>
      </c>
      <c r="H238">
        <f>IF(inventory__Data[[#This Row],[stock_on_hand]]&lt;=0,1,0)</f>
        <v>0</v>
      </c>
      <c r="I238">
        <f>COUNTIFS(inventory__Data[product_id],inventory__Data[[#This Row],[product_id]],inventory__Data[stock_on_hand],"&lt;=0")</f>
        <v>23</v>
      </c>
    </row>
    <row r="239" spans="1:9" x14ac:dyDescent="0.3">
      <c r="A239" s="1">
        <v>45705</v>
      </c>
      <c r="B239" t="s">
        <v>15</v>
      </c>
      <c r="C239">
        <v>55</v>
      </c>
      <c r="D239">
        <v>0.04</v>
      </c>
      <c r="E239">
        <v>0</v>
      </c>
      <c r="F239">
        <v>2</v>
      </c>
      <c r="G239" t="b">
        <v>0</v>
      </c>
      <c r="H239">
        <f>IF(inventory__Data[[#This Row],[stock_on_hand]]&lt;=0,1,0)</f>
        <v>0</v>
      </c>
      <c r="I239">
        <f>COUNTIFS(inventory__Data[product_id],inventory__Data[[#This Row],[product_id]],inventory__Data[stock_on_hand],"&lt;=0")</f>
        <v>30</v>
      </c>
    </row>
    <row r="240" spans="1:9" x14ac:dyDescent="0.3">
      <c r="A240" s="1">
        <v>45705</v>
      </c>
      <c r="B240" t="s">
        <v>18</v>
      </c>
      <c r="C240">
        <v>832</v>
      </c>
      <c r="D240">
        <v>0.15</v>
      </c>
      <c r="E240">
        <v>0</v>
      </c>
      <c r="F240">
        <v>5</v>
      </c>
      <c r="G240" t="b">
        <v>0</v>
      </c>
      <c r="H240">
        <f>IF(inventory__Data[[#This Row],[stock_on_hand]]&lt;=0,1,0)</f>
        <v>0</v>
      </c>
      <c r="I240">
        <f>COUNTIFS(inventory__Data[product_id],inventory__Data[[#This Row],[product_id]],inventory__Data[stock_on_hand],"&lt;=0")</f>
        <v>30</v>
      </c>
    </row>
    <row r="241" spans="1:9" x14ac:dyDescent="0.3">
      <c r="A241" s="1">
        <v>45705</v>
      </c>
      <c r="B241" t="s">
        <v>21</v>
      </c>
      <c r="C241">
        <v>197</v>
      </c>
      <c r="D241">
        <v>0.03</v>
      </c>
      <c r="E241">
        <v>0</v>
      </c>
      <c r="F241">
        <v>2</v>
      </c>
      <c r="G241" t="b">
        <v>0</v>
      </c>
      <c r="H241">
        <f>IF(inventory__Data[[#This Row],[stock_on_hand]]&lt;=0,1,0)</f>
        <v>0</v>
      </c>
      <c r="I241">
        <f>COUNTIFS(inventory__Data[product_id],inventory__Data[[#This Row],[product_id]],inventory__Data[stock_on_hand],"&lt;=0")</f>
        <v>29</v>
      </c>
    </row>
    <row r="242" spans="1:9" x14ac:dyDescent="0.3">
      <c r="A242" s="1">
        <v>45706</v>
      </c>
      <c r="B242" t="s">
        <v>9</v>
      </c>
      <c r="C242">
        <v>222</v>
      </c>
      <c r="D242">
        <v>0.05</v>
      </c>
      <c r="E242">
        <v>0</v>
      </c>
      <c r="F242">
        <v>5</v>
      </c>
      <c r="G242" t="b">
        <v>0</v>
      </c>
      <c r="H242">
        <f>IF(inventory__Data[[#This Row],[stock_on_hand]]&lt;=0,1,0)</f>
        <v>0</v>
      </c>
      <c r="I242">
        <f>COUNTIFS(inventory__Data[product_id],inventory__Data[[#This Row],[product_id]],inventory__Data[stock_on_hand],"&lt;=0")</f>
        <v>25</v>
      </c>
    </row>
    <row r="243" spans="1:9" x14ac:dyDescent="0.3">
      <c r="A243" s="1">
        <v>45706</v>
      </c>
      <c r="B243" t="s">
        <v>12</v>
      </c>
      <c r="C243">
        <v>457</v>
      </c>
      <c r="D243">
        <v>0.02</v>
      </c>
      <c r="E243">
        <v>0</v>
      </c>
      <c r="F243">
        <v>2</v>
      </c>
      <c r="G243" t="b">
        <v>0</v>
      </c>
      <c r="H243">
        <f>IF(inventory__Data[[#This Row],[stock_on_hand]]&lt;=0,1,0)</f>
        <v>0</v>
      </c>
      <c r="I243">
        <f>COUNTIFS(inventory__Data[product_id],inventory__Data[[#This Row],[product_id]],inventory__Data[stock_on_hand],"&lt;=0")</f>
        <v>23</v>
      </c>
    </row>
    <row r="244" spans="1:9" x14ac:dyDescent="0.3">
      <c r="A244" s="1">
        <v>45706</v>
      </c>
      <c r="B244" t="s">
        <v>15</v>
      </c>
      <c r="C244">
        <v>153</v>
      </c>
      <c r="D244">
        <v>0.04</v>
      </c>
      <c r="E244">
        <v>0</v>
      </c>
      <c r="F244">
        <v>5</v>
      </c>
      <c r="G244" t="b">
        <v>0</v>
      </c>
      <c r="H244">
        <f>IF(inventory__Data[[#This Row],[stock_on_hand]]&lt;=0,1,0)</f>
        <v>0</v>
      </c>
      <c r="I244">
        <f>COUNTIFS(inventory__Data[product_id],inventory__Data[[#This Row],[product_id]],inventory__Data[stock_on_hand],"&lt;=0")</f>
        <v>30</v>
      </c>
    </row>
    <row r="245" spans="1:9" x14ac:dyDescent="0.3">
      <c r="A245" s="1">
        <v>45706</v>
      </c>
      <c r="B245" t="s">
        <v>18</v>
      </c>
      <c r="C245">
        <v>408</v>
      </c>
      <c r="D245">
        <v>0.15</v>
      </c>
      <c r="E245">
        <v>0</v>
      </c>
      <c r="F245">
        <v>2</v>
      </c>
      <c r="G245" t="b">
        <v>0</v>
      </c>
      <c r="H245">
        <f>IF(inventory__Data[[#This Row],[stock_on_hand]]&lt;=0,1,0)</f>
        <v>0</v>
      </c>
      <c r="I245">
        <f>COUNTIFS(inventory__Data[product_id],inventory__Data[[#This Row],[product_id]],inventory__Data[stock_on_hand],"&lt;=0")</f>
        <v>30</v>
      </c>
    </row>
    <row r="246" spans="1:9" x14ac:dyDescent="0.3">
      <c r="A246" s="1">
        <v>45706</v>
      </c>
      <c r="B246" t="s">
        <v>21</v>
      </c>
      <c r="C246">
        <v>636</v>
      </c>
      <c r="D246">
        <v>0.03</v>
      </c>
      <c r="E246">
        <v>0</v>
      </c>
      <c r="F246">
        <v>10</v>
      </c>
      <c r="G246" t="b">
        <v>0</v>
      </c>
      <c r="H246">
        <f>IF(inventory__Data[[#This Row],[stock_on_hand]]&lt;=0,1,0)</f>
        <v>0</v>
      </c>
      <c r="I246">
        <f>COUNTIFS(inventory__Data[product_id],inventory__Data[[#This Row],[product_id]],inventory__Data[stock_on_hand],"&lt;=0")</f>
        <v>29</v>
      </c>
    </row>
    <row r="247" spans="1:9" x14ac:dyDescent="0.3">
      <c r="A247" s="1">
        <v>45707</v>
      </c>
      <c r="B247" t="s">
        <v>9</v>
      </c>
      <c r="C247">
        <v>716</v>
      </c>
      <c r="D247">
        <v>0.05</v>
      </c>
      <c r="E247">
        <v>0</v>
      </c>
      <c r="F247">
        <v>5</v>
      </c>
      <c r="G247" t="b">
        <v>0</v>
      </c>
      <c r="H247">
        <f>IF(inventory__Data[[#This Row],[stock_on_hand]]&lt;=0,1,0)</f>
        <v>0</v>
      </c>
      <c r="I247">
        <f>COUNTIFS(inventory__Data[product_id],inventory__Data[[#This Row],[product_id]],inventory__Data[stock_on_hand],"&lt;=0")</f>
        <v>25</v>
      </c>
    </row>
    <row r="248" spans="1:9" x14ac:dyDescent="0.3">
      <c r="A248" s="1">
        <v>45707</v>
      </c>
      <c r="B248" t="s">
        <v>12</v>
      </c>
      <c r="C248">
        <v>302</v>
      </c>
      <c r="D248">
        <v>0.02</v>
      </c>
      <c r="E248">
        <v>0</v>
      </c>
      <c r="F248">
        <v>10</v>
      </c>
      <c r="G248" t="b">
        <v>0</v>
      </c>
      <c r="H248">
        <f>IF(inventory__Data[[#This Row],[stock_on_hand]]&lt;=0,1,0)</f>
        <v>0</v>
      </c>
      <c r="I248">
        <f>COUNTIFS(inventory__Data[product_id],inventory__Data[[#This Row],[product_id]],inventory__Data[stock_on_hand],"&lt;=0")</f>
        <v>23</v>
      </c>
    </row>
    <row r="249" spans="1:9" x14ac:dyDescent="0.3">
      <c r="A249" s="1">
        <v>45707</v>
      </c>
      <c r="B249" t="s">
        <v>15</v>
      </c>
      <c r="C249">
        <v>0</v>
      </c>
      <c r="D249">
        <v>0.04</v>
      </c>
      <c r="E249">
        <v>0</v>
      </c>
      <c r="F249">
        <v>2</v>
      </c>
      <c r="G249" t="b">
        <v>0</v>
      </c>
      <c r="H249">
        <f>IF(inventory__Data[[#This Row],[stock_on_hand]]&lt;=0,1,0)</f>
        <v>1</v>
      </c>
      <c r="I249">
        <f>COUNTIFS(inventory__Data[product_id],inventory__Data[[#This Row],[product_id]],inventory__Data[stock_on_hand],"&lt;=0")</f>
        <v>30</v>
      </c>
    </row>
    <row r="250" spans="1:9" x14ac:dyDescent="0.3">
      <c r="A250" s="1">
        <v>45707</v>
      </c>
      <c r="B250" t="s">
        <v>18</v>
      </c>
      <c r="C250">
        <v>412</v>
      </c>
      <c r="D250">
        <v>0.15</v>
      </c>
      <c r="E250">
        <v>0</v>
      </c>
      <c r="F250">
        <v>2</v>
      </c>
      <c r="G250" t="b">
        <v>0</v>
      </c>
      <c r="H250">
        <f>IF(inventory__Data[[#This Row],[stock_on_hand]]&lt;=0,1,0)</f>
        <v>0</v>
      </c>
      <c r="I250">
        <f>COUNTIFS(inventory__Data[product_id],inventory__Data[[#This Row],[product_id]],inventory__Data[stock_on_hand],"&lt;=0")</f>
        <v>30</v>
      </c>
    </row>
    <row r="251" spans="1:9" x14ac:dyDescent="0.3">
      <c r="A251" s="1">
        <v>45707</v>
      </c>
      <c r="B251" t="s">
        <v>21</v>
      </c>
      <c r="C251">
        <v>274</v>
      </c>
      <c r="D251">
        <v>0.03</v>
      </c>
      <c r="E251">
        <v>0</v>
      </c>
      <c r="F251">
        <v>10</v>
      </c>
      <c r="G251" t="b">
        <v>0</v>
      </c>
      <c r="H251">
        <f>IF(inventory__Data[[#This Row],[stock_on_hand]]&lt;=0,1,0)</f>
        <v>0</v>
      </c>
      <c r="I251">
        <f>COUNTIFS(inventory__Data[product_id],inventory__Data[[#This Row],[product_id]],inventory__Data[stock_on_hand],"&lt;=0")</f>
        <v>29</v>
      </c>
    </row>
    <row r="252" spans="1:9" x14ac:dyDescent="0.3">
      <c r="A252" s="1">
        <v>45708</v>
      </c>
      <c r="B252" t="s">
        <v>9</v>
      </c>
      <c r="C252">
        <v>367</v>
      </c>
      <c r="D252">
        <v>0.05</v>
      </c>
      <c r="E252">
        <v>0</v>
      </c>
      <c r="F252">
        <v>5</v>
      </c>
      <c r="G252" t="b">
        <v>0</v>
      </c>
      <c r="H252">
        <f>IF(inventory__Data[[#This Row],[stock_on_hand]]&lt;=0,1,0)</f>
        <v>0</v>
      </c>
      <c r="I252">
        <f>COUNTIFS(inventory__Data[product_id],inventory__Data[[#This Row],[product_id]],inventory__Data[stock_on_hand],"&lt;=0")</f>
        <v>25</v>
      </c>
    </row>
    <row r="253" spans="1:9" x14ac:dyDescent="0.3">
      <c r="A253" s="1">
        <v>45708</v>
      </c>
      <c r="B253" t="s">
        <v>12</v>
      </c>
      <c r="C253">
        <v>95</v>
      </c>
      <c r="D253">
        <v>0.02</v>
      </c>
      <c r="E253">
        <v>0</v>
      </c>
      <c r="F253">
        <v>5</v>
      </c>
      <c r="G253" t="b">
        <v>0</v>
      </c>
      <c r="H253">
        <f>IF(inventory__Data[[#This Row],[stock_on_hand]]&lt;=0,1,0)</f>
        <v>0</v>
      </c>
      <c r="I253">
        <f>COUNTIFS(inventory__Data[product_id],inventory__Data[[#This Row],[product_id]],inventory__Data[stock_on_hand],"&lt;=0")</f>
        <v>23</v>
      </c>
    </row>
    <row r="254" spans="1:9" x14ac:dyDescent="0.3">
      <c r="A254" s="1">
        <v>45708</v>
      </c>
      <c r="B254" t="s">
        <v>15</v>
      </c>
      <c r="C254">
        <v>371</v>
      </c>
      <c r="D254">
        <v>0.04</v>
      </c>
      <c r="E254">
        <v>0</v>
      </c>
      <c r="F254">
        <v>2</v>
      </c>
      <c r="G254" t="b">
        <v>0</v>
      </c>
      <c r="H254">
        <f>IF(inventory__Data[[#This Row],[stock_on_hand]]&lt;=0,1,0)</f>
        <v>0</v>
      </c>
      <c r="I254">
        <f>COUNTIFS(inventory__Data[product_id],inventory__Data[[#This Row],[product_id]],inventory__Data[stock_on_hand],"&lt;=0")</f>
        <v>30</v>
      </c>
    </row>
    <row r="255" spans="1:9" x14ac:dyDescent="0.3">
      <c r="A255" s="1">
        <v>45708</v>
      </c>
      <c r="B255" t="s">
        <v>18</v>
      </c>
      <c r="C255">
        <v>491</v>
      </c>
      <c r="D255">
        <v>0.15</v>
      </c>
      <c r="E255">
        <v>0</v>
      </c>
      <c r="F255">
        <v>2</v>
      </c>
      <c r="G255" t="b">
        <v>0</v>
      </c>
      <c r="H255">
        <f>IF(inventory__Data[[#This Row],[stock_on_hand]]&lt;=0,1,0)</f>
        <v>0</v>
      </c>
      <c r="I255">
        <f>COUNTIFS(inventory__Data[product_id],inventory__Data[[#This Row],[product_id]],inventory__Data[stock_on_hand],"&lt;=0")</f>
        <v>30</v>
      </c>
    </row>
    <row r="256" spans="1:9" x14ac:dyDescent="0.3">
      <c r="A256" s="1">
        <v>45708</v>
      </c>
      <c r="B256" t="s">
        <v>21</v>
      </c>
      <c r="C256">
        <v>42</v>
      </c>
      <c r="D256">
        <v>0.03</v>
      </c>
      <c r="E256">
        <v>0</v>
      </c>
      <c r="F256">
        <v>2</v>
      </c>
      <c r="G256" t="b">
        <v>0</v>
      </c>
      <c r="H256">
        <f>IF(inventory__Data[[#This Row],[stock_on_hand]]&lt;=0,1,0)</f>
        <v>0</v>
      </c>
      <c r="I256">
        <f>COUNTIFS(inventory__Data[product_id],inventory__Data[[#This Row],[product_id]],inventory__Data[stock_on_hand],"&lt;=0")</f>
        <v>29</v>
      </c>
    </row>
    <row r="257" spans="1:9" x14ac:dyDescent="0.3">
      <c r="A257" s="1">
        <v>45709</v>
      </c>
      <c r="B257" t="s">
        <v>9</v>
      </c>
      <c r="C257">
        <v>741</v>
      </c>
      <c r="D257">
        <v>0.05</v>
      </c>
      <c r="E257">
        <v>0</v>
      </c>
      <c r="F257">
        <v>2</v>
      </c>
      <c r="G257" t="b">
        <v>0</v>
      </c>
      <c r="H257">
        <f>IF(inventory__Data[[#This Row],[stock_on_hand]]&lt;=0,1,0)</f>
        <v>0</v>
      </c>
      <c r="I257">
        <f>COUNTIFS(inventory__Data[product_id],inventory__Data[[#This Row],[product_id]],inventory__Data[stock_on_hand],"&lt;=0")</f>
        <v>25</v>
      </c>
    </row>
    <row r="258" spans="1:9" x14ac:dyDescent="0.3">
      <c r="A258" s="1">
        <v>45709</v>
      </c>
      <c r="B258" t="s">
        <v>12</v>
      </c>
      <c r="C258">
        <v>396</v>
      </c>
      <c r="D258">
        <v>0.02</v>
      </c>
      <c r="E258">
        <v>0</v>
      </c>
      <c r="F258">
        <v>2</v>
      </c>
      <c r="G258" t="b">
        <v>0</v>
      </c>
      <c r="H258">
        <f>IF(inventory__Data[[#This Row],[stock_on_hand]]&lt;=0,1,0)</f>
        <v>0</v>
      </c>
      <c r="I258">
        <f>COUNTIFS(inventory__Data[product_id],inventory__Data[[#This Row],[product_id]],inventory__Data[stock_on_hand],"&lt;=0")</f>
        <v>23</v>
      </c>
    </row>
    <row r="259" spans="1:9" x14ac:dyDescent="0.3">
      <c r="A259" s="1">
        <v>45709</v>
      </c>
      <c r="B259" t="s">
        <v>15</v>
      </c>
      <c r="C259">
        <v>172</v>
      </c>
      <c r="D259">
        <v>0.04</v>
      </c>
      <c r="E259">
        <v>0</v>
      </c>
      <c r="F259">
        <v>2</v>
      </c>
      <c r="G259" t="b">
        <v>0</v>
      </c>
      <c r="H259">
        <f>IF(inventory__Data[[#This Row],[stock_on_hand]]&lt;=0,1,0)</f>
        <v>0</v>
      </c>
      <c r="I259">
        <f>COUNTIFS(inventory__Data[product_id],inventory__Data[[#This Row],[product_id]],inventory__Data[stock_on_hand],"&lt;=0")</f>
        <v>30</v>
      </c>
    </row>
    <row r="260" spans="1:9" x14ac:dyDescent="0.3">
      <c r="A260" s="1">
        <v>45709</v>
      </c>
      <c r="B260" t="s">
        <v>18</v>
      </c>
      <c r="C260">
        <v>395</v>
      </c>
      <c r="D260">
        <v>0.15</v>
      </c>
      <c r="E260">
        <v>0</v>
      </c>
      <c r="F260">
        <v>2</v>
      </c>
      <c r="G260" t="b">
        <v>0</v>
      </c>
      <c r="H260">
        <f>IF(inventory__Data[[#This Row],[stock_on_hand]]&lt;=0,1,0)</f>
        <v>0</v>
      </c>
      <c r="I260">
        <f>COUNTIFS(inventory__Data[product_id],inventory__Data[[#This Row],[product_id]],inventory__Data[stock_on_hand],"&lt;=0")</f>
        <v>30</v>
      </c>
    </row>
    <row r="261" spans="1:9" x14ac:dyDescent="0.3">
      <c r="A261" s="1">
        <v>45709</v>
      </c>
      <c r="B261" t="s">
        <v>21</v>
      </c>
      <c r="C261">
        <v>390</v>
      </c>
      <c r="D261">
        <v>0.03</v>
      </c>
      <c r="E261">
        <v>0</v>
      </c>
      <c r="F261">
        <v>5</v>
      </c>
      <c r="G261" t="b">
        <v>0</v>
      </c>
      <c r="H261">
        <f>IF(inventory__Data[[#This Row],[stock_on_hand]]&lt;=0,1,0)</f>
        <v>0</v>
      </c>
      <c r="I261">
        <f>COUNTIFS(inventory__Data[product_id],inventory__Data[[#This Row],[product_id]],inventory__Data[stock_on_hand],"&lt;=0")</f>
        <v>29</v>
      </c>
    </row>
    <row r="262" spans="1:9" x14ac:dyDescent="0.3">
      <c r="A262" s="1">
        <v>45710</v>
      </c>
      <c r="B262" t="s">
        <v>9</v>
      </c>
      <c r="C262">
        <v>471</v>
      </c>
      <c r="D262">
        <v>0.05</v>
      </c>
      <c r="E262">
        <v>0</v>
      </c>
      <c r="F262">
        <v>2</v>
      </c>
      <c r="G262" t="b">
        <v>0</v>
      </c>
      <c r="H262">
        <f>IF(inventory__Data[[#This Row],[stock_on_hand]]&lt;=0,1,0)</f>
        <v>0</v>
      </c>
      <c r="I262">
        <f>COUNTIFS(inventory__Data[product_id],inventory__Data[[#This Row],[product_id]],inventory__Data[stock_on_hand],"&lt;=0")</f>
        <v>25</v>
      </c>
    </row>
    <row r="263" spans="1:9" x14ac:dyDescent="0.3">
      <c r="A263" s="1">
        <v>45710</v>
      </c>
      <c r="B263" t="s">
        <v>12</v>
      </c>
      <c r="C263">
        <v>498</v>
      </c>
      <c r="D263">
        <v>0.02</v>
      </c>
      <c r="E263">
        <v>0</v>
      </c>
      <c r="F263">
        <v>2</v>
      </c>
      <c r="G263" t="b">
        <v>0</v>
      </c>
      <c r="H263">
        <f>IF(inventory__Data[[#This Row],[stock_on_hand]]&lt;=0,1,0)</f>
        <v>0</v>
      </c>
      <c r="I263">
        <f>COUNTIFS(inventory__Data[product_id],inventory__Data[[#This Row],[product_id]],inventory__Data[stock_on_hand],"&lt;=0")</f>
        <v>23</v>
      </c>
    </row>
    <row r="264" spans="1:9" x14ac:dyDescent="0.3">
      <c r="A264" s="1">
        <v>45710</v>
      </c>
      <c r="B264" t="s">
        <v>15</v>
      </c>
      <c r="C264">
        <v>599</v>
      </c>
      <c r="D264">
        <v>0.04</v>
      </c>
      <c r="E264">
        <v>0</v>
      </c>
      <c r="F264">
        <v>5</v>
      </c>
      <c r="G264" t="b">
        <v>0</v>
      </c>
      <c r="H264">
        <f>IF(inventory__Data[[#This Row],[stock_on_hand]]&lt;=0,1,0)</f>
        <v>0</v>
      </c>
      <c r="I264">
        <f>COUNTIFS(inventory__Data[product_id],inventory__Data[[#This Row],[product_id]],inventory__Data[stock_on_hand],"&lt;=0")</f>
        <v>30</v>
      </c>
    </row>
    <row r="265" spans="1:9" x14ac:dyDescent="0.3">
      <c r="A265" s="1">
        <v>45710</v>
      </c>
      <c r="B265" t="s">
        <v>18</v>
      </c>
      <c r="C265">
        <v>900</v>
      </c>
      <c r="D265">
        <v>0.15</v>
      </c>
      <c r="E265">
        <v>0</v>
      </c>
      <c r="F265">
        <v>2</v>
      </c>
      <c r="G265" t="b">
        <v>0</v>
      </c>
      <c r="H265">
        <f>IF(inventory__Data[[#This Row],[stock_on_hand]]&lt;=0,1,0)</f>
        <v>0</v>
      </c>
      <c r="I265">
        <f>COUNTIFS(inventory__Data[product_id],inventory__Data[[#This Row],[product_id]],inventory__Data[stock_on_hand],"&lt;=0")</f>
        <v>30</v>
      </c>
    </row>
    <row r="266" spans="1:9" x14ac:dyDescent="0.3">
      <c r="A266" s="1">
        <v>45710</v>
      </c>
      <c r="B266" t="s">
        <v>21</v>
      </c>
      <c r="C266">
        <v>171</v>
      </c>
      <c r="D266">
        <v>0.03</v>
      </c>
      <c r="E266">
        <v>0</v>
      </c>
      <c r="F266">
        <v>2</v>
      </c>
      <c r="G266" t="b">
        <v>0</v>
      </c>
      <c r="H266">
        <f>IF(inventory__Data[[#This Row],[stock_on_hand]]&lt;=0,1,0)</f>
        <v>0</v>
      </c>
      <c r="I266">
        <f>COUNTIFS(inventory__Data[product_id],inventory__Data[[#This Row],[product_id]],inventory__Data[stock_on_hand],"&lt;=0")</f>
        <v>29</v>
      </c>
    </row>
    <row r="267" spans="1:9" x14ac:dyDescent="0.3">
      <c r="A267" s="1">
        <v>45711</v>
      </c>
      <c r="B267" t="s">
        <v>9</v>
      </c>
      <c r="C267">
        <v>337</v>
      </c>
      <c r="D267">
        <v>0.05</v>
      </c>
      <c r="E267">
        <v>0</v>
      </c>
      <c r="F267">
        <v>2</v>
      </c>
      <c r="G267" t="b">
        <v>0</v>
      </c>
      <c r="H267">
        <f>IF(inventory__Data[[#This Row],[stock_on_hand]]&lt;=0,1,0)</f>
        <v>0</v>
      </c>
      <c r="I267">
        <f>COUNTIFS(inventory__Data[product_id],inventory__Data[[#This Row],[product_id]],inventory__Data[stock_on_hand],"&lt;=0")</f>
        <v>25</v>
      </c>
    </row>
    <row r="268" spans="1:9" x14ac:dyDescent="0.3">
      <c r="A268" s="1">
        <v>45711</v>
      </c>
      <c r="B268" t="s">
        <v>12</v>
      </c>
      <c r="C268">
        <v>71</v>
      </c>
      <c r="D268">
        <v>0.02</v>
      </c>
      <c r="E268">
        <v>0</v>
      </c>
      <c r="F268">
        <v>5</v>
      </c>
      <c r="G268" t="b">
        <v>0</v>
      </c>
      <c r="H268">
        <f>IF(inventory__Data[[#This Row],[stock_on_hand]]&lt;=0,1,0)</f>
        <v>0</v>
      </c>
      <c r="I268">
        <f>COUNTIFS(inventory__Data[product_id],inventory__Data[[#This Row],[product_id]],inventory__Data[stock_on_hand],"&lt;=0")</f>
        <v>23</v>
      </c>
    </row>
    <row r="269" spans="1:9" x14ac:dyDescent="0.3">
      <c r="A269" s="1">
        <v>45711</v>
      </c>
      <c r="B269" t="s">
        <v>15</v>
      </c>
      <c r="C269">
        <v>663</v>
      </c>
      <c r="D269">
        <v>0.04</v>
      </c>
      <c r="E269">
        <v>0</v>
      </c>
      <c r="F269">
        <v>2</v>
      </c>
      <c r="G269" t="b">
        <v>0</v>
      </c>
      <c r="H269">
        <f>IF(inventory__Data[[#This Row],[stock_on_hand]]&lt;=0,1,0)</f>
        <v>0</v>
      </c>
      <c r="I269">
        <f>COUNTIFS(inventory__Data[product_id],inventory__Data[[#This Row],[product_id]],inventory__Data[stock_on_hand],"&lt;=0")</f>
        <v>30</v>
      </c>
    </row>
    <row r="270" spans="1:9" x14ac:dyDescent="0.3">
      <c r="A270" s="1">
        <v>45711</v>
      </c>
      <c r="B270" t="s">
        <v>18</v>
      </c>
      <c r="C270">
        <v>706</v>
      </c>
      <c r="D270">
        <v>0.15</v>
      </c>
      <c r="E270">
        <v>0</v>
      </c>
      <c r="F270">
        <v>2</v>
      </c>
      <c r="G270" t="b">
        <v>0</v>
      </c>
      <c r="H270">
        <f>IF(inventory__Data[[#This Row],[stock_on_hand]]&lt;=0,1,0)</f>
        <v>0</v>
      </c>
      <c r="I270">
        <f>COUNTIFS(inventory__Data[product_id],inventory__Data[[#This Row],[product_id]],inventory__Data[stock_on_hand],"&lt;=0")</f>
        <v>30</v>
      </c>
    </row>
    <row r="271" spans="1:9" x14ac:dyDescent="0.3">
      <c r="A271" s="1">
        <v>45711</v>
      </c>
      <c r="B271" t="s">
        <v>21</v>
      </c>
      <c r="C271">
        <v>418</v>
      </c>
      <c r="D271">
        <v>0.03</v>
      </c>
      <c r="E271">
        <v>0</v>
      </c>
      <c r="F271">
        <v>2</v>
      </c>
      <c r="G271" t="b">
        <v>0</v>
      </c>
      <c r="H271">
        <f>IF(inventory__Data[[#This Row],[stock_on_hand]]&lt;=0,1,0)</f>
        <v>0</v>
      </c>
      <c r="I271">
        <f>COUNTIFS(inventory__Data[product_id],inventory__Data[[#This Row],[product_id]],inventory__Data[stock_on_hand],"&lt;=0")</f>
        <v>29</v>
      </c>
    </row>
    <row r="272" spans="1:9" x14ac:dyDescent="0.3">
      <c r="A272" s="1">
        <v>45712</v>
      </c>
      <c r="B272" t="s">
        <v>9</v>
      </c>
      <c r="C272">
        <v>824</v>
      </c>
      <c r="D272">
        <v>0.05</v>
      </c>
      <c r="E272">
        <v>0</v>
      </c>
      <c r="F272">
        <v>2</v>
      </c>
      <c r="G272" t="b">
        <v>0</v>
      </c>
      <c r="H272">
        <f>IF(inventory__Data[[#This Row],[stock_on_hand]]&lt;=0,1,0)</f>
        <v>0</v>
      </c>
      <c r="I272">
        <f>COUNTIFS(inventory__Data[product_id],inventory__Data[[#This Row],[product_id]],inventory__Data[stock_on_hand],"&lt;=0")</f>
        <v>25</v>
      </c>
    </row>
    <row r="273" spans="1:9" x14ac:dyDescent="0.3">
      <c r="A273" s="1">
        <v>45712</v>
      </c>
      <c r="B273" t="s">
        <v>12</v>
      </c>
      <c r="C273">
        <v>808</v>
      </c>
      <c r="D273">
        <v>0.02</v>
      </c>
      <c r="E273">
        <v>0</v>
      </c>
      <c r="F273">
        <v>2</v>
      </c>
      <c r="G273" t="b">
        <v>0</v>
      </c>
      <c r="H273">
        <f>IF(inventory__Data[[#This Row],[stock_on_hand]]&lt;=0,1,0)</f>
        <v>0</v>
      </c>
      <c r="I273">
        <f>COUNTIFS(inventory__Data[product_id],inventory__Data[[#This Row],[product_id]],inventory__Data[stock_on_hand],"&lt;=0")</f>
        <v>23</v>
      </c>
    </row>
    <row r="274" spans="1:9" x14ac:dyDescent="0.3">
      <c r="A274" s="1">
        <v>45712</v>
      </c>
      <c r="B274" t="s">
        <v>15</v>
      </c>
      <c r="C274">
        <v>333</v>
      </c>
      <c r="D274">
        <v>0.04</v>
      </c>
      <c r="E274">
        <v>0</v>
      </c>
      <c r="F274">
        <v>2</v>
      </c>
      <c r="G274" t="b">
        <v>0</v>
      </c>
      <c r="H274">
        <f>IF(inventory__Data[[#This Row],[stock_on_hand]]&lt;=0,1,0)</f>
        <v>0</v>
      </c>
      <c r="I274">
        <f>COUNTIFS(inventory__Data[product_id],inventory__Data[[#This Row],[product_id]],inventory__Data[stock_on_hand],"&lt;=0")</f>
        <v>30</v>
      </c>
    </row>
    <row r="275" spans="1:9" x14ac:dyDescent="0.3">
      <c r="A275" s="1">
        <v>45712</v>
      </c>
      <c r="B275" t="s">
        <v>18</v>
      </c>
      <c r="C275">
        <v>246</v>
      </c>
      <c r="D275">
        <v>0.15</v>
      </c>
      <c r="E275">
        <v>0</v>
      </c>
      <c r="F275">
        <v>2</v>
      </c>
      <c r="G275" t="b">
        <v>0</v>
      </c>
      <c r="H275">
        <f>IF(inventory__Data[[#This Row],[stock_on_hand]]&lt;=0,1,0)</f>
        <v>0</v>
      </c>
      <c r="I275">
        <f>COUNTIFS(inventory__Data[product_id],inventory__Data[[#This Row],[product_id]],inventory__Data[stock_on_hand],"&lt;=0")</f>
        <v>30</v>
      </c>
    </row>
    <row r="276" spans="1:9" x14ac:dyDescent="0.3">
      <c r="A276" s="1">
        <v>45712</v>
      </c>
      <c r="B276" t="s">
        <v>21</v>
      </c>
      <c r="C276">
        <v>0</v>
      </c>
      <c r="D276">
        <v>0.03</v>
      </c>
      <c r="E276">
        <v>0</v>
      </c>
      <c r="F276">
        <v>5</v>
      </c>
      <c r="G276" t="b">
        <v>0</v>
      </c>
      <c r="H276">
        <f>IF(inventory__Data[[#This Row],[stock_on_hand]]&lt;=0,1,0)</f>
        <v>1</v>
      </c>
      <c r="I276">
        <f>COUNTIFS(inventory__Data[product_id],inventory__Data[[#This Row],[product_id]],inventory__Data[stock_on_hand],"&lt;=0")</f>
        <v>29</v>
      </c>
    </row>
    <row r="277" spans="1:9" x14ac:dyDescent="0.3">
      <c r="A277" s="1">
        <v>45713</v>
      </c>
      <c r="B277" t="s">
        <v>9</v>
      </c>
      <c r="C277">
        <v>301</v>
      </c>
      <c r="D277">
        <v>0.05</v>
      </c>
      <c r="E277">
        <v>0</v>
      </c>
      <c r="F277">
        <v>2</v>
      </c>
      <c r="G277" t="b">
        <v>0</v>
      </c>
      <c r="H277">
        <f>IF(inventory__Data[[#This Row],[stock_on_hand]]&lt;=0,1,0)</f>
        <v>0</v>
      </c>
      <c r="I277">
        <f>COUNTIFS(inventory__Data[product_id],inventory__Data[[#This Row],[product_id]],inventory__Data[stock_on_hand],"&lt;=0")</f>
        <v>25</v>
      </c>
    </row>
    <row r="278" spans="1:9" x14ac:dyDescent="0.3">
      <c r="A278" s="1">
        <v>45713</v>
      </c>
      <c r="B278" t="s">
        <v>12</v>
      </c>
      <c r="C278">
        <v>68</v>
      </c>
      <c r="D278">
        <v>0.02</v>
      </c>
      <c r="E278">
        <v>0</v>
      </c>
      <c r="F278">
        <v>2</v>
      </c>
      <c r="G278" t="b">
        <v>0</v>
      </c>
      <c r="H278">
        <f>IF(inventory__Data[[#This Row],[stock_on_hand]]&lt;=0,1,0)</f>
        <v>0</v>
      </c>
      <c r="I278">
        <f>COUNTIFS(inventory__Data[product_id],inventory__Data[[#This Row],[product_id]],inventory__Data[stock_on_hand],"&lt;=0")</f>
        <v>23</v>
      </c>
    </row>
    <row r="279" spans="1:9" x14ac:dyDescent="0.3">
      <c r="A279" s="1">
        <v>45713</v>
      </c>
      <c r="B279" t="s">
        <v>15</v>
      </c>
      <c r="C279">
        <v>352</v>
      </c>
      <c r="D279">
        <v>0.04</v>
      </c>
      <c r="E279">
        <v>0</v>
      </c>
      <c r="F279">
        <v>5</v>
      </c>
      <c r="G279" t="b">
        <v>0</v>
      </c>
      <c r="H279">
        <f>IF(inventory__Data[[#This Row],[stock_on_hand]]&lt;=0,1,0)</f>
        <v>0</v>
      </c>
      <c r="I279">
        <f>COUNTIFS(inventory__Data[product_id],inventory__Data[[#This Row],[product_id]],inventory__Data[stock_on_hand],"&lt;=0")</f>
        <v>30</v>
      </c>
    </row>
    <row r="280" spans="1:9" x14ac:dyDescent="0.3">
      <c r="A280" s="1">
        <v>45713</v>
      </c>
      <c r="B280" t="s">
        <v>18</v>
      </c>
      <c r="C280">
        <v>512</v>
      </c>
      <c r="D280">
        <v>0.15</v>
      </c>
      <c r="E280">
        <v>0</v>
      </c>
      <c r="F280">
        <v>10</v>
      </c>
      <c r="G280" t="b">
        <v>0</v>
      </c>
      <c r="H280">
        <f>IF(inventory__Data[[#This Row],[stock_on_hand]]&lt;=0,1,0)</f>
        <v>0</v>
      </c>
      <c r="I280">
        <f>COUNTIFS(inventory__Data[product_id],inventory__Data[[#This Row],[product_id]],inventory__Data[stock_on_hand],"&lt;=0")</f>
        <v>30</v>
      </c>
    </row>
    <row r="281" spans="1:9" x14ac:dyDescent="0.3">
      <c r="A281" s="1">
        <v>45713</v>
      </c>
      <c r="B281" t="s">
        <v>21</v>
      </c>
      <c r="C281">
        <v>86</v>
      </c>
      <c r="D281">
        <v>0.03</v>
      </c>
      <c r="E281">
        <v>0</v>
      </c>
      <c r="F281">
        <v>2</v>
      </c>
      <c r="G281" t="b">
        <v>0</v>
      </c>
      <c r="H281">
        <f>IF(inventory__Data[[#This Row],[stock_on_hand]]&lt;=0,1,0)</f>
        <v>0</v>
      </c>
      <c r="I281">
        <f>COUNTIFS(inventory__Data[product_id],inventory__Data[[#This Row],[product_id]],inventory__Data[stock_on_hand],"&lt;=0")</f>
        <v>29</v>
      </c>
    </row>
    <row r="282" spans="1:9" x14ac:dyDescent="0.3">
      <c r="A282" s="1">
        <v>45714</v>
      </c>
      <c r="B282" t="s">
        <v>9</v>
      </c>
      <c r="C282">
        <v>821</v>
      </c>
      <c r="D282">
        <v>0.05</v>
      </c>
      <c r="E282">
        <v>0</v>
      </c>
      <c r="F282">
        <v>15</v>
      </c>
      <c r="G282" t="b">
        <v>0</v>
      </c>
      <c r="H282">
        <f>IF(inventory__Data[[#This Row],[stock_on_hand]]&lt;=0,1,0)</f>
        <v>0</v>
      </c>
      <c r="I282">
        <f>COUNTIFS(inventory__Data[product_id],inventory__Data[[#This Row],[product_id]],inventory__Data[stock_on_hand],"&lt;=0")</f>
        <v>25</v>
      </c>
    </row>
    <row r="283" spans="1:9" x14ac:dyDescent="0.3">
      <c r="A283" s="1">
        <v>45714</v>
      </c>
      <c r="B283" t="s">
        <v>12</v>
      </c>
      <c r="C283">
        <v>562</v>
      </c>
      <c r="D283">
        <v>0.02</v>
      </c>
      <c r="E283">
        <v>0</v>
      </c>
      <c r="F283">
        <v>2</v>
      </c>
      <c r="G283" t="b">
        <v>0</v>
      </c>
      <c r="H283">
        <f>IF(inventory__Data[[#This Row],[stock_on_hand]]&lt;=0,1,0)</f>
        <v>0</v>
      </c>
      <c r="I283">
        <f>COUNTIFS(inventory__Data[product_id],inventory__Data[[#This Row],[product_id]],inventory__Data[stock_on_hand],"&lt;=0")</f>
        <v>23</v>
      </c>
    </row>
    <row r="284" spans="1:9" x14ac:dyDescent="0.3">
      <c r="A284" s="1">
        <v>45714</v>
      </c>
      <c r="B284" t="s">
        <v>15</v>
      </c>
      <c r="C284">
        <v>67</v>
      </c>
      <c r="D284">
        <v>0.04</v>
      </c>
      <c r="E284">
        <v>0</v>
      </c>
      <c r="F284">
        <v>2</v>
      </c>
      <c r="G284" t="b">
        <v>0</v>
      </c>
      <c r="H284">
        <f>IF(inventory__Data[[#This Row],[stock_on_hand]]&lt;=0,1,0)</f>
        <v>0</v>
      </c>
      <c r="I284">
        <f>COUNTIFS(inventory__Data[product_id],inventory__Data[[#This Row],[product_id]],inventory__Data[stock_on_hand],"&lt;=0")</f>
        <v>30</v>
      </c>
    </row>
    <row r="285" spans="1:9" x14ac:dyDescent="0.3">
      <c r="A285" s="1">
        <v>45714</v>
      </c>
      <c r="B285" t="s">
        <v>18</v>
      </c>
      <c r="C285">
        <v>510</v>
      </c>
      <c r="D285">
        <v>0.15</v>
      </c>
      <c r="E285">
        <v>0</v>
      </c>
      <c r="F285">
        <v>5</v>
      </c>
      <c r="G285" t="b">
        <v>0</v>
      </c>
      <c r="H285">
        <f>IF(inventory__Data[[#This Row],[stock_on_hand]]&lt;=0,1,0)</f>
        <v>0</v>
      </c>
      <c r="I285">
        <f>COUNTIFS(inventory__Data[product_id],inventory__Data[[#This Row],[product_id]],inventory__Data[stock_on_hand],"&lt;=0")</f>
        <v>30</v>
      </c>
    </row>
    <row r="286" spans="1:9" x14ac:dyDescent="0.3">
      <c r="A286" s="1">
        <v>45714</v>
      </c>
      <c r="B286" t="s">
        <v>21</v>
      </c>
      <c r="C286">
        <v>386</v>
      </c>
      <c r="D286">
        <v>0.03</v>
      </c>
      <c r="E286">
        <v>0</v>
      </c>
      <c r="F286">
        <v>2</v>
      </c>
      <c r="G286" t="b">
        <v>0</v>
      </c>
      <c r="H286">
        <f>IF(inventory__Data[[#This Row],[stock_on_hand]]&lt;=0,1,0)</f>
        <v>0</v>
      </c>
      <c r="I286">
        <f>COUNTIFS(inventory__Data[product_id],inventory__Data[[#This Row],[product_id]],inventory__Data[stock_on_hand],"&lt;=0")</f>
        <v>29</v>
      </c>
    </row>
    <row r="287" spans="1:9" x14ac:dyDescent="0.3">
      <c r="A287" s="1">
        <v>45715</v>
      </c>
      <c r="B287" t="s">
        <v>9</v>
      </c>
      <c r="C287">
        <v>119</v>
      </c>
      <c r="D287">
        <v>0.05</v>
      </c>
      <c r="E287">
        <v>0</v>
      </c>
      <c r="F287">
        <v>5</v>
      </c>
      <c r="G287" t="b">
        <v>0</v>
      </c>
      <c r="H287">
        <f>IF(inventory__Data[[#This Row],[stock_on_hand]]&lt;=0,1,0)</f>
        <v>0</v>
      </c>
      <c r="I287">
        <f>COUNTIFS(inventory__Data[product_id],inventory__Data[[#This Row],[product_id]],inventory__Data[stock_on_hand],"&lt;=0")</f>
        <v>25</v>
      </c>
    </row>
    <row r="288" spans="1:9" x14ac:dyDescent="0.3">
      <c r="A288" s="1">
        <v>45715</v>
      </c>
      <c r="B288" t="s">
        <v>12</v>
      </c>
      <c r="C288">
        <v>208</v>
      </c>
      <c r="D288">
        <v>0.02</v>
      </c>
      <c r="E288">
        <v>0</v>
      </c>
      <c r="F288">
        <v>5</v>
      </c>
      <c r="G288" t="b">
        <v>0</v>
      </c>
      <c r="H288">
        <f>IF(inventory__Data[[#This Row],[stock_on_hand]]&lt;=0,1,0)</f>
        <v>0</v>
      </c>
      <c r="I288">
        <f>COUNTIFS(inventory__Data[product_id],inventory__Data[[#This Row],[product_id]],inventory__Data[stock_on_hand],"&lt;=0")</f>
        <v>23</v>
      </c>
    </row>
    <row r="289" spans="1:9" x14ac:dyDescent="0.3">
      <c r="A289" s="1">
        <v>45715</v>
      </c>
      <c r="B289" t="s">
        <v>15</v>
      </c>
      <c r="C289">
        <v>553</v>
      </c>
      <c r="D289">
        <v>0.04</v>
      </c>
      <c r="E289">
        <v>0</v>
      </c>
      <c r="F289">
        <v>2</v>
      </c>
      <c r="G289" t="b">
        <v>0</v>
      </c>
      <c r="H289">
        <f>IF(inventory__Data[[#This Row],[stock_on_hand]]&lt;=0,1,0)</f>
        <v>0</v>
      </c>
      <c r="I289">
        <f>COUNTIFS(inventory__Data[product_id],inventory__Data[[#This Row],[product_id]],inventory__Data[stock_on_hand],"&lt;=0")</f>
        <v>30</v>
      </c>
    </row>
    <row r="290" spans="1:9" x14ac:dyDescent="0.3">
      <c r="A290" s="1">
        <v>45715</v>
      </c>
      <c r="B290" t="s">
        <v>18</v>
      </c>
      <c r="C290">
        <v>340</v>
      </c>
      <c r="D290">
        <v>0.15</v>
      </c>
      <c r="E290">
        <v>0</v>
      </c>
      <c r="F290">
        <v>15</v>
      </c>
      <c r="G290" t="b">
        <v>0</v>
      </c>
      <c r="H290">
        <f>IF(inventory__Data[[#This Row],[stock_on_hand]]&lt;=0,1,0)</f>
        <v>0</v>
      </c>
      <c r="I290">
        <f>COUNTIFS(inventory__Data[product_id],inventory__Data[[#This Row],[product_id]],inventory__Data[stock_on_hand],"&lt;=0")</f>
        <v>30</v>
      </c>
    </row>
    <row r="291" spans="1:9" x14ac:dyDescent="0.3">
      <c r="A291" s="1">
        <v>45715</v>
      </c>
      <c r="B291" t="s">
        <v>21</v>
      </c>
      <c r="C291">
        <v>607</v>
      </c>
      <c r="D291">
        <v>0.03</v>
      </c>
      <c r="E291">
        <v>0</v>
      </c>
      <c r="F291">
        <v>5</v>
      </c>
      <c r="G291" t="b">
        <v>0</v>
      </c>
      <c r="H291">
        <f>IF(inventory__Data[[#This Row],[stock_on_hand]]&lt;=0,1,0)</f>
        <v>0</v>
      </c>
      <c r="I291">
        <f>COUNTIFS(inventory__Data[product_id],inventory__Data[[#This Row],[product_id]],inventory__Data[stock_on_hand],"&lt;=0")</f>
        <v>29</v>
      </c>
    </row>
    <row r="292" spans="1:9" x14ac:dyDescent="0.3">
      <c r="A292" s="1">
        <v>45716</v>
      </c>
      <c r="B292" t="s">
        <v>9</v>
      </c>
      <c r="C292">
        <v>210</v>
      </c>
      <c r="D292">
        <v>0.05</v>
      </c>
      <c r="E292">
        <v>0</v>
      </c>
      <c r="F292">
        <v>5</v>
      </c>
      <c r="G292" t="b">
        <v>0</v>
      </c>
      <c r="H292">
        <f>IF(inventory__Data[[#This Row],[stock_on_hand]]&lt;=0,1,0)</f>
        <v>0</v>
      </c>
      <c r="I292">
        <f>COUNTIFS(inventory__Data[product_id],inventory__Data[[#This Row],[product_id]],inventory__Data[stock_on_hand],"&lt;=0")</f>
        <v>25</v>
      </c>
    </row>
    <row r="293" spans="1:9" x14ac:dyDescent="0.3">
      <c r="A293" s="1">
        <v>45716</v>
      </c>
      <c r="B293" t="s">
        <v>12</v>
      </c>
      <c r="C293">
        <v>650</v>
      </c>
      <c r="D293">
        <v>0.02</v>
      </c>
      <c r="E293">
        <v>0</v>
      </c>
      <c r="F293">
        <v>2</v>
      </c>
      <c r="G293" t="b">
        <v>0</v>
      </c>
      <c r="H293">
        <f>IF(inventory__Data[[#This Row],[stock_on_hand]]&lt;=0,1,0)</f>
        <v>0</v>
      </c>
      <c r="I293">
        <f>COUNTIFS(inventory__Data[product_id],inventory__Data[[#This Row],[product_id]],inventory__Data[stock_on_hand],"&lt;=0")</f>
        <v>23</v>
      </c>
    </row>
    <row r="294" spans="1:9" x14ac:dyDescent="0.3">
      <c r="A294" s="1">
        <v>45716</v>
      </c>
      <c r="B294" t="s">
        <v>15</v>
      </c>
      <c r="C294">
        <v>754</v>
      </c>
      <c r="D294">
        <v>0.04</v>
      </c>
      <c r="E294">
        <v>0</v>
      </c>
      <c r="F294">
        <v>2</v>
      </c>
      <c r="G294" t="b">
        <v>0</v>
      </c>
      <c r="H294">
        <f>IF(inventory__Data[[#This Row],[stock_on_hand]]&lt;=0,1,0)</f>
        <v>0</v>
      </c>
      <c r="I294">
        <f>COUNTIFS(inventory__Data[product_id],inventory__Data[[#This Row],[product_id]],inventory__Data[stock_on_hand],"&lt;=0")</f>
        <v>30</v>
      </c>
    </row>
    <row r="295" spans="1:9" x14ac:dyDescent="0.3">
      <c r="A295" s="1">
        <v>45716</v>
      </c>
      <c r="B295" t="s">
        <v>18</v>
      </c>
      <c r="C295">
        <v>606</v>
      </c>
      <c r="D295">
        <v>0.15</v>
      </c>
      <c r="E295">
        <v>0</v>
      </c>
      <c r="F295">
        <v>10</v>
      </c>
      <c r="G295" t="b">
        <v>0</v>
      </c>
      <c r="H295">
        <f>IF(inventory__Data[[#This Row],[stock_on_hand]]&lt;=0,1,0)</f>
        <v>0</v>
      </c>
      <c r="I295">
        <f>COUNTIFS(inventory__Data[product_id],inventory__Data[[#This Row],[product_id]],inventory__Data[stock_on_hand],"&lt;=0")</f>
        <v>30</v>
      </c>
    </row>
    <row r="296" spans="1:9" x14ac:dyDescent="0.3">
      <c r="A296" s="1">
        <v>45716</v>
      </c>
      <c r="B296" t="s">
        <v>21</v>
      </c>
      <c r="C296">
        <v>877</v>
      </c>
      <c r="D296">
        <v>0.03</v>
      </c>
      <c r="E296">
        <v>0</v>
      </c>
      <c r="F296">
        <v>2</v>
      </c>
      <c r="G296" t="b">
        <v>0</v>
      </c>
      <c r="H296">
        <f>IF(inventory__Data[[#This Row],[stock_on_hand]]&lt;=0,1,0)</f>
        <v>0</v>
      </c>
      <c r="I296">
        <f>COUNTIFS(inventory__Data[product_id],inventory__Data[[#This Row],[product_id]],inventory__Data[stock_on_hand],"&lt;=0")</f>
        <v>29</v>
      </c>
    </row>
    <row r="297" spans="1:9" x14ac:dyDescent="0.3">
      <c r="A297" s="1">
        <v>45717</v>
      </c>
      <c r="B297" t="s">
        <v>9</v>
      </c>
      <c r="C297">
        <v>735</v>
      </c>
      <c r="D297">
        <v>0.05</v>
      </c>
      <c r="E297">
        <v>0</v>
      </c>
      <c r="F297">
        <v>5</v>
      </c>
      <c r="G297" t="b">
        <v>0</v>
      </c>
      <c r="H297">
        <f>IF(inventory__Data[[#This Row],[stock_on_hand]]&lt;=0,1,0)</f>
        <v>0</v>
      </c>
      <c r="I297">
        <f>COUNTIFS(inventory__Data[product_id],inventory__Data[[#This Row],[product_id]],inventory__Data[stock_on_hand],"&lt;=0")</f>
        <v>25</v>
      </c>
    </row>
    <row r="298" spans="1:9" x14ac:dyDescent="0.3">
      <c r="A298" s="1">
        <v>45717</v>
      </c>
      <c r="B298" t="s">
        <v>12</v>
      </c>
      <c r="C298">
        <v>215</v>
      </c>
      <c r="D298">
        <v>0.02</v>
      </c>
      <c r="E298">
        <v>0</v>
      </c>
      <c r="F298">
        <v>2</v>
      </c>
      <c r="G298" t="b">
        <v>0</v>
      </c>
      <c r="H298">
        <f>IF(inventory__Data[[#This Row],[stock_on_hand]]&lt;=0,1,0)</f>
        <v>0</v>
      </c>
      <c r="I298">
        <f>COUNTIFS(inventory__Data[product_id],inventory__Data[[#This Row],[product_id]],inventory__Data[stock_on_hand],"&lt;=0")</f>
        <v>23</v>
      </c>
    </row>
    <row r="299" spans="1:9" x14ac:dyDescent="0.3">
      <c r="A299" s="1">
        <v>45717</v>
      </c>
      <c r="B299" t="s">
        <v>15</v>
      </c>
      <c r="C299">
        <v>0</v>
      </c>
      <c r="D299">
        <v>0.04</v>
      </c>
      <c r="E299">
        <v>0</v>
      </c>
      <c r="F299">
        <v>2</v>
      </c>
      <c r="G299" t="b">
        <v>0</v>
      </c>
      <c r="H299">
        <f>IF(inventory__Data[[#This Row],[stock_on_hand]]&lt;=0,1,0)</f>
        <v>1</v>
      </c>
      <c r="I299">
        <f>COUNTIFS(inventory__Data[product_id],inventory__Data[[#This Row],[product_id]],inventory__Data[stock_on_hand],"&lt;=0")</f>
        <v>30</v>
      </c>
    </row>
    <row r="300" spans="1:9" x14ac:dyDescent="0.3">
      <c r="A300" s="1">
        <v>45717</v>
      </c>
      <c r="B300" t="s">
        <v>18</v>
      </c>
      <c r="C300">
        <v>831</v>
      </c>
      <c r="D300">
        <v>0.15</v>
      </c>
      <c r="E300">
        <v>0</v>
      </c>
      <c r="F300">
        <v>2</v>
      </c>
      <c r="G300" t="b">
        <v>0</v>
      </c>
      <c r="H300">
        <f>IF(inventory__Data[[#This Row],[stock_on_hand]]&lt;=0,1,0)</f>
        <v>0</v>
      </c>
      <c r="I300">
        <f>COUNTIFS(inventory__Data[product_id],inventory__Data[[#This Row],[product_id]],inventory__Data[stock_on_hand],"&lt;=0")</f>
        <v>30</v>
      </c>
    </row>
    <row r="301" spans="1:9" x14ac:dyDescent="0.3">
      <c r="A301" s="1">
        <v>45717</v>
      </c>
      <c r="B301" t="s">
        <v>21</v>
      </c>
      <c r="C301">
        <v>863</v>
      </c>
      <c r="D301">
        <v>0.03</v>
      </c>
      <c r="E301">
        <v>0</v>
      </c>
      <c r="F301">
        <v>5</v>
      </c>
      <c r="G301" t="b">
        <v>0</v>
      </c>
      <c r="H301">
        <f>IF(inventory__Data[[#This Row],[stock_on_hand]]&lt;=0,1,0)</f>
        <v>0</v>
      </c>
      <c r="I301">
        <f>COUNTIFS(inventory__Data[product_id],inventory__Data[[#This Row],[product_id]],inventory__Data[stock_on_hand],"&lt;=0")</f>
        <v>29</v>
      </c>
    </row>
    <row r="302" spans="1:9" x14ac:dyDescent="0.3">
      <c r="A302" s="1">
        <v>45718</v>
      </c>
      <c r="B302" t="s">
        <v>9</v>
      </c>
      <c r="C302">
        <v>59</v>
      </c>
      <c r="D302">
        <v>0.05</v>
      </c>
      <c r="E302">
        <v>0</v>
      </c>
      <c r="F302">
        <v>2</v>
      </c>
      <c r="G302" t="b">
        <v>0</v>
      </c>
      <c r="H302">
        <f>IF(inventory__Data[[#This Row],[stock_on_hand]]&lt;=0,1,0)</f>
        <v>0</v>
      </c>
      <c r="I302">
        <f>COUNTIFS(inventory__Data[product_id],inventory__Data[[#This Row],[product_id]],inventory__Data[stock_on_hand],"&lt;=0")</f>
        <v>25</v>
      </c>
    </row>
    <row r="303" spans="1:9" x14ac:dyDescent="0.3">
      <c r="A303" s="1">
        <v>45718</v>
      </c>
      <c r="B303" t="s">
        <v>12</v>
      </c>
      <c r="C303">
        <v>73</v>
      </c>
      <c r="D303">
        <v>0.02</v>
      </c>
      <c r="E303">
        <v>0</v>
      </c>
      <c r="F303">
        <v>2</v>
      </c>
      <c r="G303" t="b">
        <v>0</v>
      </c>
      <c r="H303">
        <f>IF(inventory__Data[[#This Row],[stock_on_hand]]&lt;=0,1,0)</f>
        <v>0</v>
      </c>
      <c r="I303">
        <f>COUNTIFS(inventory__Data[product_id],inventory__Data[[#This Row],[product_id]],inventory__Data[stock_on_hand],"&lt;=0")</f>
        <v>23</v>
      </c>
    </row>
    <row r="304" spans="1:9" x14ac:dyDescent="0.3">
      <c r="A304" s="1">
        <v>45718</v>
      </c>
      <c r="B304" t="s">
        <v>15</v>
      </c>
      <c r="C304">
        <v>415</v>
      </c>
      <c r="D304">
        <v>0.04</v>
      </c>
      <c r="E304">
        <v>0</v>
      </c>
      <c r="F304">
        <v>5</v>
      </c>
      <c r="G304" t="b">
        <v>0</v>
      </c>
      <c r="H304">
        <f>IF(inventory__Data[[#This Row],[stock_on_hand]]&lt;=0,1,0)</f>
        <v>0</v>
      </c>
      <c r="I304">
        <f>COUNTIFS(inventory__Data[product_id],inventory__Data[[#This Row],[product_id]],inventory__Data[stock_on_hand],"&lt;=0")</f>
        <v>30</v>
      </c>
    </row>
    <row r="305" spans="1:9" x14ac:dyDescent="0.3">
      <c r="A305" s="1">
        <v>45718</v>
      </c>
      <c r="B305" t="s">
        <v>18</v>
      </c>
      <c r="C305">
        <v>381</v>
      </c>
      <c r="D305">
        <v>0.15</v>
      </c>
      <c r="E305">
        <v>0</v>
      </c>
      <c r="F305">
        <v>5</v>
      </c>
      <c r="G305" t="b">
        <v>0</v>
      </c>
      <c r="H305">
        <f>IF(inventory__Data[[#This Row],[stock_on_hand]]&lt;=0,1,0)</f>
        <v>0</v>
      </c>
      <c r="I305">
        <f>COUNTIFS(inventory__Data[product_id],inventory__Data[[#This Row],[product_id]],inventory__Data[stock_on_hand],"&lt;=0")</f>
        <v>30</v>
      </c>
    </row>
    <row r="306" spans="1:9" x14ac:dyDescent="0.3">
      <c r="A306" s="1">
        <v>45718</v>
      </c>
      <c r="B306" t="s">
        <v>21</v>
      </c>
      <c r="C306">
        <v>135</v>
      </c>
      <c r="D306">
        <v>0.03</v>
      </c>
      <c r="E306">
        <v>0</v>
      </c>
      <c r="F306">
        <v>5</v>
      </c>
      <c r="G306" t="b">
        <v>0</v>
      </c>
      <c r="H306">
        <f>IF(inventory__Data[[#This Row],[stock_on_hand]]&lt;=0,1,0)</f>
        <v>0</v>
      </c>
      <c r="I306">
        <f>COUNTIFS(inventory__Data[product_id],inventory__Data[[#This Row],[product_id]],inventory__Data[stock_on_hand],"&lt;=0")</f>
        <v>29</v>
      </c>
    </row>
    <row r="307" spans="1:9" x14ac:dyDescent="0.3">
      <c r="A307" s="1">
        <v>45719</v>
      </c>
      <c r="B307" t="s">
        <v>9</v>
      </c>
      <c r="C307">
        <v>650</v>
      </c>
      <c r="D307">
        <v>0.05</v>
      </c>
      <c r="E307">
        <v>0</v>
      </c>
      <c r="F307">
        <v>2</v>
      </c>
      <c r="G307" t="b">
        <v>0</v>
      </c>
      <c r="H307">
        <f>IF(inventory__Data[[#This Row],[stock_on_hand]]&lt;=0,1,0)</f>
        <v>0</v>
      </c>
      <c r="I307">
        <f>COUNTIFS(inventory__Data[product_id],inventory__Data[[#This Row],[product_id]],inventory__Data[stock_on_hand],"&lt;=0")</f>
        <v>25</v>
      </c>
    </row>
    <row r="308" spans="1:9" x14ac:dyDescent="0.3">
      <c r="A308" s="1">
        <v>45719</v>
      </c>
      <c r="B308" t="s">
        <v>12</v>
      </c>
      <c r="C308">
        <v>465</v>
      </c>
      <c r="D308">
        <v>0.02</v>
      </c>
      <c r="E308">
        <v>0</v>
      </c>
      <c r="F308">
        <v>2</v>
      </c>
      <c r="G308" t="b">
        <v>0</v>
      </c>
      <c r="H308">
        <f>IF(inventory__Data[[#This Row],[stock_on_hand]]&lt;=0,1,0)</f>
        <v>0</v>
      </c>
      <c r="I308">
        <f>COUNTIFS(inventory__Data[product_id],inventory__Data[[#This Row],[product_id]],inventory__Data[stock_on_hand],"&lt;=0")</f>
        <v>23</v>
      </c>
    </row>
    <row r="309" spans="1:9" x14ac:dyDescent="0.3">
      <c r="A309" s="1">
        <v>45719</v>
      </c>
      <c r="B309" t="s">
        <v>15</v>
      </c>
      <c r="C309">
        <v>809</v>
      </c>
      <c r="D309">
        <v>0.04</v>
      </c>
      <c r="E309">
        <v>0</v>
      </c>
      <c r="F309">
        <v>2</v>
      </c>
      <c r="G309" t="b">
        <v>0</v>
      </c>
      <c r="H309">
        <f>IF(inventory__Data[[#This Row],[stock_on_hand]]&lt;=0,1,0)</f>
        <v>0</v>
      </c>
      <c r="I309">
        <f>COUNTIFS(inventory__Data[product_id],inventory__Data[[#This Row],[product_id]],inventory__Data[stock_on_hand],"&lt;=0")</f>
        <v>30</v>
      </c>
    </row>
    <row r="310" spans="1:9" x14ac:dyDescent="0.3">
      <c r="A310" s="1">
        <v>45719</v>
      </c>
      <c r="B310" t="s">
        <v>18</v>
      </c>
      <c r="C310">
        <v>162</v>
      </c>
      <c r="D310">
        <v>0.15</v>
      </c>
      <c r="E310">
        <v>0</v>
      </c>
      <c r="F310">
        <v>5</v>
      </c>
      <c r="G310" t="b">
        <v>0</v>
      </c>
      <c r="H310">
        <f>IF(inventory__Data[[#This Row],[stock_on_hand]]&lt;=0,1,0)</f>
        <v>0</v>
      </c>
      <c r="I310">
        <f>COUNTIFS(inventory__Data[product_id],inventory__Data[[#This Row],[product_id]],inventory__Data[stock_on_hand],"&lt;=0")</f>
        <v>30</v>
      </c>
    </row>
    <row r="311" spans="1:9" x14ac:dyDescent="0.3">
      <c r="A311" s="1">
        <v>45719</v>
      </c>
      <c r="B311" t="s">
        <v>21</v>
      </c>
      <c r="C311">
        <v>707</v>
      </c>
      <c r="D311">
        <v>0.03</v>
      </c>
      <c r="E311">
        <v>0</v>
      </c>
      <c r="F311">
        <v>2</v>
      </c>
      <c r="G311" t="b">
        <v>0</v>
      </c>
      <c r="H311">
        <f>IF(inventory__Data[[#This Row],[stock_on_hand]]&lt;=0,1,0)</f>
        <v>0</v>
      </c>
      <c r="I311">
        <f>COUNTIFS(inventory__Data[product_id],inventory__Data[[#This Row],[product_id]],inventory__Data[stock_on_hand],"&lt;=0")</f>
        <v>29</v>
      </c>
    </row>
    <row r="312" spans="1:9" x14ac:dyDescent="0.3">
      <c r="A312" s="1">
        <v>45720</v>
      </c>
      <c r="B312" t="s">
        <v>9</v>
      </c>
      <c r="C312">
        <v>601</v>
      </c>
      <c r="D312">
        <v>0.05</v>
      </c>
      <c r="E312">
        <v>0</v>
      </c>
      <c r="F312">
        <v>5</v>
      </c>
      <c r="G312" t="b">
        <v>0</v>
      </c>
      <c r="H312">
        <f>IF(inventory__Data[[#This Row],[stock_on_hand]]&lt;=0,1,0)</f>
        <v>0</v>
      </c>
      <c r="I312">
        <f>COUNTIFS(inventory__Data[product_id],inventory__Data[[#This Row],[product_id]],inventory__Data[stock_on_hand],"&lt;=0")</f>
        <v>25</v>
      </c>
    </row>
    <row r="313" spans="1:9" x14ac:dyDescent="0.3">
      <c r="A313" s="1">
        <v>45720</v>
      </c>
      <c r="B313" t="s">
        <v>12</v>
      </c>
      <c r="C313">
        <v>662</v>
      </c>
      <c r="D313">
        <v>0.02</v>
      </c>
      <c r="E313">
        <v>0</v>
      </c>
      <c r="F313">
        <v>2</v>
      </c>
      <c r="G313" t="b">
        <v>0</v>
      </c>
      <c r="H313">
        <f>IF(inventory__Data[[#This Row],[stock_on_hand]]&lt;=0,1,0)</f>
        <v>0</v>
      </c>
      <c r="I313">
        <f>COUNTIFS(inventory__Data[product_id],inventory__Data[[#This Row],[product_id]],inventory__Data[stock_on_hand],"&lt;=0")</f>
        <v>23</v>
      </c>
    </row>
    <row r="314" spans="1:9" x14ac:dyDescent="0.3">
      <c r="A314" s="1">
        <v>45720</v>
      </c>
      <c r="B314" t="s">
        <v>15</v>
      </c>
      <c r="C314">
        <v>315</v>
      </c>
      <c r="D314">
        <v>0.04</v>
      </c>
      <c r="E314">
        <v>0</v>
      </c>
      <c r="F314">
        <v>5</v>
      </c>
      <c r="G314" t="b">
        <v>0</v>
      </c>
      <c r="H314">
        <f>IF(inventory__Data[[#This Row],[stock_on_hand]]&lt;=0,1,0)</f>
        <v>0</v>
      </c>
      <c r="I314">
        <f>COUNTIFS(inventory__Data[product_id],inventory__Data[[#This Row],[product_id]],inventory__Data[stock_on_hand],"&lt;=0")</f>
        <v>30</v>
      </c>
    </row>
    <row r="315" spans="1:9" x14ac:dyDescent="0.3">
      <c r="A315" s="1">
        <v>45720</v>
      </c>
      <c r="B315" t="s">
        <v>18</v>
      </c>
      <c r="C315">
        <v>117</v>
      </c>
      <c r="D315">
        <v>0.15</v>
      </c>
      <c r="E315">
        <v>0</v>
      </c>
      <c r="F315">
        <v>2</v>
      </c>
      <c r="G315" t="b">
        <v>0</v>
      </c>
      <c r="H315">
        <f>IF(inventory__Data[[#This Row],[stock_on_hand]]&lt;=0,1,0)</f>
        <v>0</v>
      </c>
      <c r="I315">
        <f>COUNTIFS(inventory__Data[product_id],inventory__Data[[#This Row],[product_id]],inventory__Data[stock_on_hand],"&lt;=0")</f>
        <v>30</v>
      </c>
    </row>
    <row r="316" spans="1:9" x14ac:dyDescent="0.3">
      <c r="A316" s="1">
        <v>45720</v>
      </c>
      <c r="B316" t="s">
        <v>21</v>
      </c>
      <c r="C316">
        <v>0</v>
      </c>
      <c r="D316">
        <v>0.03</v>
      </c>
      <c r="E316">
        <v>0</v>
      </c>
      <c r="F316">
        <v>5</v>
      </c>
      <c r="G316" t="b">
        <v>0</v>
      </c>
      <c r="H316">
        <f>IF(inventory__Data[[#This Row],[stock_on_hand]]&lt;=0,1,0)</f>
        <v>1</v>
      </c>
      <c r="I316">
        <f>COUNTIFS(inventory__Data[product_id],inventory__Data[[#This Row],[product_id]],inventory__Data[stock_on_hand],"&lt;=0")</f>
        <v>29</v>
      </c>
    </row>
    <row r="317" spans="1:9" x14ac:dyDescent="0.3">
      <c r="A317" s="1">
        <v>45721</v>
      </c>
      <c r="B317" t="s">
        <v>9</v>
      </c>
      <c r="C317">
        <v>185</v>
      </c>
      <c r="D317">
        <v>0.05</v>
      </c>
      <c r="E317">
        <v>0</v>
      </c>
      <c r="F317">
        <v>2</v>
      </c>
      <c r="G317" t="b">
        <v>0</v>
      </c>
      <c r="H317">
        <f>IF(inventory__Data[[#This Row],[stock_on_hand]]&lt;=0,1,0)</f>
        <v>0</v>
      </c>
      <c r="I317">
        <f>COUNTIFS(inventory__Data[product_id],inventory__Data[[#This Row],[product_id]],inventory__Data[stock_on_hand],"&lt;=0")</f>
        <v>25</v>
      </c>
    </row>
    <row r="318" spans="1:9" x14ac:dyDescent="0.3">
      <c r="A318" s="1">
        <v>45721</v>
      </c>
      <c r="B318" t="s">
        <v>12</v>
      </c>
      <c r="C318">
        <v>465</v>
      </c>
      <c r="D318">
        <v>0.02</v>
      </c>
      <c r="E318">
        <v>0</v>
      </c>
      <c r="F318">
        <v>2</v>
      </c>
      <c r="G318" t="b">
        <v>0</v>
      </c>
      <c r="H318">
        <f>IF(inventory__Data[[#This Row],[stock_on_hand]]&lt;=0,1,0)</f>
        <v>0</v>
      </c>
      <c r="I318">
        <f>COUNTIFS(inventory__Data[product_id],inventory__Data[[#This Row],[product_id]],inventory__Data[stock_on_hand],"&lt;=0")</f>
        <v>23</v>
      </c>
    </row>
    <row r="319" spans="1:9" x14ac:dyDescent="0.3">
      <c r="A319" s="1">
        <v>45721</v>
      </c>
      <c r="B319" t="s">
        <v>15</v>
      </c>
      <c r="C319">
        <v>214</v>
      </c>
      <c r="D319">
        <v>0.04</v>
      </c>
      <c r="E319">
        <v>0</v>
      </c>
      <c r="F319">
        <v>15</v>
      </c>
      <c r="G319" t="b">
        <v>0</v>
      </c>
      <c r="H319">
        <f>IF(inventory__Data[[#This Row],[stock_on_hand]]&lt;=0,1,0)</f>
        <v>0</v>
      </c>
      <c r="I319">
        <f>COUNTIFS(inventory__Data[product_id],inventory__Data[[#This Row],[product_id]],inventory__Data[stock_on_hand],"&lt;=0")</f>
        <v>30</v>
      </c>
    </row>
    <row r="320" spans="1:9" x14ac:dyDescent="0.3">
      <c r="A320" s="1">
        <v>45721</v>
      </c>
      <c r="B320" t="s">
        <v>18</v>
      </c>
      <c r="C320">
        <v>889</v>
      </c>
      <c r="D320">
        <v>0.15</v>
      </c>
      <c r="E320">
        <v>0</v>
      </c>
      <c r="F320">
        <v>5</v>
      </c>
      <c r="G320" t="b">
        <v>0</v>
      </c>
      <c r="H320">
        <f>IF(inventory__Data[[#This Row],[stock_on_hand]]&lt;=0,1,0)</f>
        <v>0</v>
      </c>
      <c r="I320">
        <f>COUNTIFS(inventory__Data[product_id],inventory__Data[[#This Row],[product_id]],inventory__Data[stock_on_hand],"&lt;=0")</f>
        <v>30</v>
      </c>
    </row>
    <row r="321" spans="1:9" x14ac:dyDescent="0.3">
      <c r="A321" s="1">
        <v>45721</v>
      </c>
      <c r="B321" t="s">
        <v>21</v>
      </c>
      <c r="C321">
        <v>623</v>
      </c>
      <c r="D321">
        <v>0.03</v>
      </c>
      <c r="E321">
        <v>0</v>
      </c>
      <c r="F321">
        <v>2</v>
      </c>
      <c r="G321" t="b">
        <v>0</v>
      </c>
      <c r="H321">
        <f>IF(inventory__Data[[#This Row],[stock_on_hand]]&lt;=0,1,0)</f>
        <v>0</v>
      </c>
      <c r="I321">
        <f>COUNTIFS(inventory__Data[product_id],inventory__Data[[#This Row],[product_id]],inventory__Data[stock_on_hand],"&lt;=0")</f>
        <v>29</v>
      </c>
    </row>
    <row r="322" spans="1:9" x14ac:dyDescent="0.3">
      <c r="A322" s="1">
        <v>45722</v>
      </c>
      <c r="B322" t="s">
        <v>9</v>
      </c>
      <c r="C322">
        <v>260</v>
      </c>
      <c r="D322">
        <v>0.05</v>
      </c>
      <c r="E322">
        <v>0</v>
      </c>
      <c r="F322">
        <v>2</v>
      </c>
      <c r="G322" t="b">
        <v>0</v>
      </c>
      <c r="H322">
        <f>IF(inventory__Data[[#This Row],[stock_on_hand]]&lt;=0,1,0)</f>
        <v>0</v>
      </c>
      <c r="I322">
        <f>COUNTIFS(inventory__Data[product_id],inventory__Data[[#This Row],[product_id]],inventory__Data[stock_on_hand],"&lt;=0")</f>
        <v>25</v>
      </c>
    </row>
    <row r="323" spans="1:9" x14ac:dyDescent="0.3">
      <c r="A323" s="1">
        <v>45722</v>
      </c>
      <c r="B323" t="s">
        <v>12</v>
      </c>
      <c r="C323">
        <v>367</v>
      </c>
      <c r="D323">
        <v>0.02</v>
      </c>
      <c r="E323">
        <v>0</v>
      </c>
      <c r="F323">
        <v>15</v>
      </c>
      <c r="G323" t="b">
        <v>0</v>
      </c>
      <c r="H323">
        <f>IF(inventory__Data[[#This Row],[stock_on_hand]]&lt;=0,1,0)</f>
        <v>0</v>
      </c>
      <c r="I323">
        <f>COUNTIFS(inventory__Data[product_id],inventory__Data[[#This Row],[product_id]],inventory__Data[stock_on_hand],"&lt;=0")</f>
        <v>23</v>
      </c>
    </row>
    <row r="324" spans="1:9" x14ac:dyDescent="0.3">
      <c r="A324" s="1">
        <v>45722</v>
      </c>
      <c r="B324" t="s">
        <v>15</v>
      </c>
      <c r="C324">
        <v>747</v>
      </c>
      <c r="D324">
        <v>0.04</v>
      </c>
      <c r="E324">
        <v>0</v>
      </c>
      <c r="F324">
        <v>5</v>
      </c>
      <c r="G324" t="b">
        <v>0</v>
      </c>
      <c r="H324">
        <f>IF(inventory__Data[[#This Row],[stock_on_hand]]&lt;=0,1,0)</f>
        <v>0</v>
      </c>
      <c r="I324">
        <f>COUNTIFS(inventory__Data[product_id],inventory__Data[[#This Row],[product_id]],inventory__Data[stock_on_hand],"&lt;=0")</f>
        <v>30</v>
      </c>
    </row>
    <row r="325" spans="1:9" x14ac:dyDescent="0.3">
      <c r="A325" s="1">
        <v>45722</v>
      </c>
      <c r="B325" t="s">
        <v>18</v>
      </c>
      <c r="C325">
        <v>260</v>
      </c>
      <c r="D325">
        <v>0.15</v>
      </c>
      <c r="E325">
        <v>0</v>
      </c>
      <c r="F325">
        <v>5</v>
      </c>
      <c r="G325" t="b">
        <v>0</v>
      </c>
      <c r="H325">
        <f>IF(inventory__Data[[#This Row],[stock_on_hand]]&lt;=0,1,0)</f>
        <v>0</v>
      </c>
      <c r="I325">
        <f>COUNTIFS(inventory__Data[product_id],inventory__Data[[#This Row],[product_id]],inventory__Data[stock_on_hand],"&lt;=0")</f>
        <v>30</v>
      </c>
    </row>
    <row r="326" spans="1:9" x14ac:dyDescent="0.3">
      <c r="A326" s="1">
        <v>45722</v>
      </c>
      <c r="B326" t="s">
        <v>21</v>
      </c>
      <c r="C326">
        <v>408</v>
      </c>
      <c r="D326">
        <v>0.03</v>
      </c>
      <c r="E326">
        <v>0</v>
      </c>
      <c r="F326">
        <v>15</v>
      </c>
      <c r="G326" t="b">
        <v>0</v>
      </c>
      <c r="H326">
        <f>IF(inventory__Data[[#This Row],[stock_on_hand]]&lt;=0,1,0)</f>
        <v>0</v>
      </c>
      <c r="I326">
        <f>COUNTIFS(inventory__Data[product_id],inventory__Data[[#This Row],[product_id]],inventory__Data[stock_on_hand],"&lt;=0")</f>
        <v>29</v>
      </c>
    </row>
    <row r="327" spans="1:9" x14ac:dyDescent="0.3">
      <c r="A327" s="1">
        <v>45723</v>
      </c>
      <c r="B327" t="s">
        <v>9</v>
      </c>
      <c r="C327">
        <v>339</v>
      </c>
      <c r="D327">
        <v>0.05</v>
      </c>
      <c r="E327">
        <v>0</v>
      </c>
      <c r="F327">
        <v>5</v>
      </c>
      <c r="G327" t="b">
        <v>0</v>
      </c>
      <c r="H327">
        <f>IF(inventory__Data[[#This Row],[stock_on_hand]]&lt;=0,1,0)</f>
        <v>0</v>
      </c>
      <c r="I327">
        <f>COUNTIFS(inventory__Data[product_id],inventory__Data[[#This Row],[product_id]],inventory__Data[stock_on_hand],"&lt;=0")</f>
        <v>25</v>
      </c>
    </row>
    <row r="328" spans="1:9" x14ac:dyDescent="0.3">
      <c r="A328" s="1">
        <v>45723</v>
      </c>
      <c r="B328" t="s">
        <v>12</v>
      </c>
      <c r="C328">
        <v>540</v>
      </c>
      <c r="D328">
        <v>0.02</v>
      </c>
      <c r="E328">
        <v>0</v>
      </c>
      <c r="F328">
        <v>2</v>
      </c>
      <c r="G328" t="b">
        <v>0</v>
      </c>
      <c r="H328">
        <f>IF(inventory__Data[[#This Row],[stock_on_hand]]&lt;=0,1,0)</f>
        <v>0</v>
      </c>
      <c r="I328">
        <f>COUNTIFS(inventory__Data[product_id],inventory__Data[[#This Row],[product_id]],inventory__Data[stock_on_hand],"&lt;=0")</f>
        <v>23</v>
      </c>
    </row>
    <row r="329" spans="1:9" x14ac:dyDescent="0.3">
      <c r="A329" s="1">
        <v>45723</v>
      </c>
      <c r="B329" t="s">
        <v>15</v>
      </c>
      <c r="C329">
        <v>639</v>
      </c>
      <c r="D329">
        <v>0.04</v>
      </c>
      <c r="E329">
        <v>0</v>
      </c>
      <c r="F329">
        <v>2</v>
      </c>
      <c r="G329" t="b">
        <v>0</v>
      </c>
      <c r="H329">
        <f>IF(inventory__Data[[#This Row],[stock_on_hand]]&lt;=0,1,0)</f>
        <v>0</v>
      </c>
      <c r="I329">
        <f>COUNTIFS(inventory__Data[product_id],inventory__Data[[#This Row],[product_id]],inventory__Data[stock_on_hand],"&lt;=0")</f>
        <v>30</v>
      </c>
    </row>
    <row r="330" spans="1:9" x14ac:dyDescent="0.3">
      <c r="A330" s="1">
        <v>45723</v>
      </c>
      <c r="B330" t="s">
        <v>18</v>
      </c>
      <c r="C330">
        <v>762</v>
      </c>
      <c r="D330">
        <v>0.15</v>
      </c>
      <c r="E330">
        <v>0</v>
      </c>
      <c r="F330">
        <v>2</v>
      </c>
      <c r="G330" t="b">
        <v>0</v>
      </c>
      <c r="H330">
        <f>IF(inventory__Data[[#This Row],[stock_on_hand]]&lt;=0,1,0)</f>
        <v>0</v>
      </c>
      <c r="I330">
        <f>COUNTIFS(inventory__Data[product_id],inventory__Data[[#This Row],[product_id]],inventory__Data[stock_on_hand],"&lt;=0")</f>
        <v>30</v>
      </c>
    </row>
    <row r="331" spans="1:9" x14ac:dyDescent="0.3">
      <c r="A331" s="1">
        <v>45723</v>
      </c>
      <c r="B331" t="s">
        <v>21</v>
      </c>
      <c r="C331">
        <v>542</v>
      </c>
      <c r="D331">
        <v>0.03</v>
      </c>
      <c r="E331">
        <v>0</v>
      </c>
      <c r="F331">
        <v>5</v>
      </c>
      <c r="G331" t="b">
        <v>0</v>
      </c>
      <c r="H331">
        <f>IF(inventory__Data[[#This Row],[stock_on_hand]]&lt;=0,1,0)</f>
        <v>0</v>
      </c>
      <c r="I331">
        <f>COUNTIFS(inventory__Data[product_id],inventory__Data[[#This Row],[product_id]],inventory__Data[stock_on_hand],"&lt;=0")</f>
        <v>29</v>
      </c>
    </row>
    <row r="332" spans="1:9" x14ac:dyDescent="0.3">
      <c r="A332" s="1">
        <v>45724</v>
      </c>
      <c r="B332" t="s">
        <v>9</v>
      </c>
      <c r="C332">
        <v>611</v>
      </c>
      <c r="D332">
        <v>0.05</v>
      </c>
      <c r="E332">
        <v>0</v>
      </c>
      <c r="F332">
        <v>2</v>
      </c>
      <c r="G332" t="b">
        <v>0</v>
      </c>
      <c r="H332">
        <f>IF(inventory__Data[[#This Row],[stock_on_hand]]&lt;=0,1,0)</f>
        <v>0</v>
      </c>
      <c r="I332">
        <f>COUNTIFS(inventory__Data[product_id],inventory__Data[[#This Row],[product_id]],inventory__Data[stock_on_hand],"&lt;=0")</f>
        <v>25</v>
      </c>
    </row>
    <row r="333" spans="1:9" x14ac:dyDescent="0.3">
      <c r="A333" s="1">
        <v>45724</v>
      </c>
      <c r="B333" t="s">
        <v>12</v>
      </c>
      <c r="C333">
        <v>415</v>
      </c>
      <c r="D333">
        <v>0.02</v>
      </c>
      <c r="E333">
        <v>0</v>
      </c>
      <c r="F333">
        <v>2</v>
      </c>
      <c r="G333" t="b">
        <v>0</v>
      </c>
      <c r="H333">
        <f>IF(inventory__Data[[#This Row],[stock_on_hand]]&lt;=0,1,0)</f>
        <v>0</v>
      </c>
      <c r="I333">
        <f>COUNTIFS(inventory__Data[product_id],inventory__Data[[#This Row],[product_id]],inventory__Data[stock_on_hand],"&lt;=0")</f>
        <v>23</v>
      </c>
    </row>
    <row r="334" spans="1:9" x14ac:dyDescent="0.3">
      <c r="A334" s="1">
        <v>45724</v>
      </c>
      <c r="B334" t="s">
        <v>15</v>
      </c>
      <c r="C334">
        <v>697</v>
      </c>
      <c r="D334">
        <v>0.04</v>
      </c>
      <c r="E334">
        <v>0</v>
      </c>
      <c r="F334">
        <v>2</v>
      </c>
      <c r="G334" t="b">
        <v>0</v>
      </c>
      <c r="H334">
        <f>IF(inventory__Data[[#This Row],[stock_on_hand]]&lt;=0,1,0)</f>
        <v>0</v>
      </c>
      <c r="I334">
        <f>COUNTIFS(inventory__Data[product_id],inventory__Data[[#This Row],[product_id]],inventory__Data[stock_on_hand],"&lt;=0")</f>
        <v>30</v>
      </c>
    </row>
    <row r="335" spans="1:9" x14ac:dyDescent="0.3">
      <c r="A335" s="1">
        <v>45724</v>
      </c>
      <c r="B335" t="s">
        <v>18</v>
      </c>
      <c r="C335">
        <v>736</v>
      </c>
      <c r="D335">
        <v>0.15</v>
      </c>
      <c r="E335">
        <v>0</v>
      </c>
      <c r="F335">
        <v>2</v>
      </c>
      <c r="G335" t="b">
        <v>0</v>
      </c>
      <c r="H335">
        <f>IF(inventory__Data[[#This Row],[stock_on_hand]]&lt;=0,1,0)</f>
        <v>0</v>
      </c>
      <c r="I335">
        <f>COUNTIFS(inventory__Data[product_id],inventory__Data[[#This Row],[product_id]],inventory__Data[stock_on_hand],"&lt;=0")</f>
        <v>30</v>
      </c>
    </row>
    <row r="336" spans="1:9" x14ac:dyDescent="0.3">
      <c r="A336" s="1">
        <v>45724</v>
      </c>
      <c r="B336" t="s">
        <v>21</v>
      </c>
      <c r="C336">
        <v>103</v>
      </c>
      <c r="D336">
        <v>0.03</v>
      </c>
      <c r="E336">
        <v>0</v>
      </c>
      <c r="F336">
        <v>5</v>
      </c>
      <c r="G336" t="b">
        <v>0</v>
      </c>
      <c r="H336">
        <f>IF(inventory__Data[[#This Row],[stock_on_hand]]&lt;=0,1,0)</f>
        <v>0</v>
      </c>
      <c r="I336">
        <f>COUNTIFS(inventory__Data[product_id],inventory__Data[[#This Row],[product_id]],inventory__Data[stock_on_hand],"&lt;=0")</f>
        <v>29</v>
      </c>
    </row>
    <row r="337" spans="1:9" x14ac:dyDescent="0.3">
      <c r="A337" s="1">
        <v>45725</v>
      </c>
      <c r="B337" t="s">
        <v>9</v>
      </c>
      <c r="C337">
        <v>397</v>
      </c>
      <c r="D337">
        <v>0.05</v>
      </c>
      <c r="E337">
        <v>0</v>
      </c>
      <c r="F337">
        <v>2</v>
      </c>
      <c r="G337" t="b">
        <v>0</v>
      </c>
      <c r="H337">
        <f>IF(inventory__Data[[#This Row],[stock_on_hand]]&lt;=0,1,0)</f>
        <v>0</v>
      </c>
      <c r="I337">
        <f>COUNTIFS(inventory__Data[product_id],inventory__Data[[#This Row],[product_id]],inventory__Data[stock_on_hand],"&lt;=0")</f>
        <v>25</v>
      </c>
    </row>
    <row r="338" spans="1:9" x14ac:dyDescent="0.3">
      <c r="A338" s="1">
        <v>45725</v>
      </c>
      <c r="B338" t="s">
        <v>12</v>
      </c>
      <c r="C338">
        <v>49</v>
      </c>
      <c r="D338">
        <v>0.02</v>
      </c>
      <c r="E338">
        <v>0</v>
      </c>
      <c r="F338">
        <v>2</v>
      </c>
      <c r="G338" t="b">
        <v>0</v>
      </c>
      <c r="H338">
        <f>IF(inventory__Data[[#This Row],[stock_on_hand]]&lt;=0,1,0)</f>
        <v>0</v>
      </c>
      <c r="I338">
        <f>COUNTIFS(inventory__Data[product_id],inventory__Data[[#This Row],[product_id]],inventory__Data[stock_on_hand],"&lt;=0")</f>
        <v>23</v>
      </c>
    </row>
    <row r="339" spans="1:9" x14ac:dyDescent="0.3">
      <c r="A339" s="1">
        <v>45725</v>
      </c>
      <c r="B339" t="s">
        <v>15</v>
      </c>
      <c r="C339">
        <v>499</v>
      </c>
      <c r="D339">
        <v>0.04</v>
      </c>
      <c r="E339">
        <v>0</v>
      </c>
      <c r="F339">
        <v>2</v>
      </c>
      <c r="G339" t="b">
        <v>0</v>
      </c>
      <c r="H339">
        <f>IF(inventory__Data[[#This Row],[stock_on_hand]]&lt;=0,1,0)</f>
        <v>0</v>
      </c>
      <c r="I339">
        <f>COUNTIFS(inventory__Data[product_id],inventory__Data[[#This Row],[product_id]],inventory__Data[stock_on_hand],"&lt;=0")</f>
        <v>30</v>
      </c>
    </row>
    <row r="340" spans="1:9" x14ac:dyDescent="0.3">
      <c r="A340" s="1">
        <v>45725</v>
      </c>
      <c r="B340" t="s">
        <v>18</v>
      </c>
      <c r="C340">
        <v>0</v>
      </c>
      <c r="D340">
        <v>0.15</v>
      </c>
      <c r="E340">
        <v>0</v>
      </c>
      <c r="F340">
        <v>2</v>
      </c>
      <c r="G340" t="b">
        <v>0</v>
      </c>
      <c r="H340">
        <f>IF(inventory__Data[[#This Row],[stock_on_hand]]&lt;=0,1,0)</f>
        <v>1</v>
      </c>
      <c r="I340">
        <f>COUNTIFS(inventory__Data[product_id],inventory__Data[[#This Row],[product_id]],inventory__Data[stock_on_hand],"&lt;=0")</f>
        <v>30</v>
      </c>
    </row>
    <row r="341" spans="1:9" x14ac:dyDescent="0.3">
      <c r="A341" s="1">
        <v>45725</v>
      </c>
      <c r="B341" t="s">
        <v>21</v>
      </c>
      <c r="C341">
        <v>729</v>
      </c>
      <c r="D341">
        <v>0.03</v>
      </c>
      <c r="E341">
        <v>0</v>
      </c>
      <c r="F341">
        <v>2</v>
      </c>
      <c r="G341" t="b">
        <v>0</v>
      </c>
      <c r="H341">
        <f>IF(inventory__Data[[#This Row],[stock_on_hand]]&lt;=0,1,0)</f>
        <v>0</v>
      </c>
      <c r="I341">
        <f>COUNTIFS(inventory__Data[product_id],inventory__Data[[#This Row],[product_id]],inventory__Data[stock_on_hand],"&lt;=0")</f>
        <v>29</v>
      </c>
    </row>
    <row r="342" spans="1:9" x14ac:dyDescent="0.3">
      <c r="A342" s="1">
        <v>45726</v>
      </c>
      <c r="B342" t="s">
        <v>9</v>
      </c>
      <c r="C342">
        <v>119</v>
      </c>
      <c r="D342">
        <v>0.05</v>
      </c>
      <c r="E342">
        <v>0</v>
      </c>
      <c r="F342">
        <v>2</v>
      </c>
      <c r="G342" t="b">
        <v>0</v>
      </c>
      <c r="H342">
        <f>IF(inventory__Data[[#This Row],[stock_on_hand]]&lt;=0,1,0)</f>
        <v>0</v>
      </c>
      <c r="I342">
        <f>COUNTIFS(inventory__Data[product_id],inventory__Data[[#This Row],[product_id]],inventory__Data[stock_on_hand],"&lt;=0")</f>
        <v>25</v>
      </c>
    </row>
    <row r="343" spans="1:9" x14ac:dyDescent="0.3">
      <c r="A343" s="1">
        <v>45726</v>
      </c>
      <c r="B343" t="s">
        <v>12</v>
      </c>
      <c r="C343">
        <v>73</v>
      </c>
      <c r="D343">
        <v>0.02</v>
      </c>
      <c r="E343">
        <v>0</v>
      </c>
      <c r="F343">
        <v>5</v>
      </c>
      <c r="G343" t="b">
        <v>0</v>
      </c>
      <c r="H343">
        <f>IF(inventory__Data[[#This Row],[stock_on_hand]]&lt;=0,1,0)</f>
        <v>0</v>
      </c>
      <c r="I343">
        <f>COUNTIFS(inventory__Data[product_id],inventory__Data[[#This Row],[product_id]],inventory__Data[stock_on_hand],"&lt;=0")</f>
        <v>23</v>
      </c>
    </row>
    <row r="344" spans="1:9" x14ac:dyDescent="0.3">
      <c r="A344" s="1">
        <v>45726</v>
      </c>
      <c r="B344" t="s">
        <v>15</v>
      </c>
      <c r="C344">
        <v>422</v>
      </c>
      <c r="D344">
        <v>0.04</v>
      </c>
      <c r="E344">
        <v>0</v>
      </c>
      <c r="F344">
        <v>5</v>
      </c>
      <c r="G344" t="b">
        <v>0</v>
      </c>
      <c r="H344">
        <f>IF(inventory__Data[[#This Row],[stock_on_hand]]&lt;=0,1,0)</f>
        <v>0</v>
      </c>
      <c r="I344">
        <f>COUNTIFS(inventory__Data[product_id],inventory__Data[[#This Row],[product_id]],inventory__Data[stock_on_hand],"&lt;=0")</f>
        <v>30</v>
      </c>
    </row>
    <row r="345" spans="1:9" x14ac:dyDescent="0.3">
      <c r="A345" s="1">
        <v>45726</v>
      </c>
      <c r="B345" t="s">
        <v>18</v>
      </c>
      <c r="C345">
        <v>555</v>
      </c>
      <c r="D345">
        <v>0.15</v>
      </c>
      <c r="E345">
        <v>0</v>
      </c>
      <c r="F345">
        <v>2</v>
      </c>
      <c r="G345" t="b">
        <v>0</v>
      </c>
      <c r="H345">
        <f>IF(inventory__Data[[#This Row],[stock_on_hand]]&lt;=0,1,0)</f>
        <v>0</v>
      </c>
      <c r="I345">
        <f>COUNTIFS(inventory__Data[product_id],inventory__Data[[#This Row],[product_id]],inventory__Data[stock_on_hand],"&lt;=0")</f>
        <v>30</v>
      </c>
    </row>
    <row r="346" spans="1:9" x14ac:dyDescent="0.3">
      <c r="A346" s="1">
        <v>45726</v>
      </c>
      <c r="B346" t="s">
        <v>21</v>
      </c>
      <c r="C346">
        <v>712</v>
      </c>
      <c r="D346">
        <v>0.03</v>
      </c>
      <c r="E346">
        <v>0</v>
      </c>
      <c r="F346">
        <v>2</v>
      </c>
      <c r="G346" t="b">
        <v>0</v>
      </c>
      <c r="H346">
        <f>IF(inventory__Data[[#This Row],[stock_on_hand]]&lt;=0,1,0)</f>
        <v>0</v>
      </c>
      <c r="I346">
        <f>COUNTIFS(inventory__Data[product_id],inventory__Data[[#This Row],[product_id]],inventory__Data[stock_on_hand],"&lt;=0")</f>
        <v>29</v>
      </c>
    </row>
    <row r="347" spans="1:9" x14ac:dyDescent="0.3">
      <c r="A347" s="1">
        <v>45727</v>
      </c>
      <c r="B347" t="s">
        <v>9</v>
      </c>
      <c r="C347">
        <v>66</v>
      </c>
      <c r="D347">
        <v>0.05</v>
      </c>
      <c r="E347">
        <v>0</v>
      </c>
      <c r="F347">
        <v>2</v>
      </c>
      <c r="G347" t="b">
        <v>0</v>
      </c>
      <c r="H347">
        <f>IF(inventory__Data[[#This Row],[stock_on_hand]]&lt;=0,1,0)</f>
        <v>0</v>
      </c>
      <c r="I347">
        <f>COUNTIFS(inventory__Data[product_id],inventory__Data[[#This Row],[product_id]],inventory__Data[stock_on_hand],"&lt;=0")</f>
        <v>25</v>
      </c>
    </row>
    <row r="348" spans="1:9" x14ac:dyDescent="0.3">
      <c r="A348" s="1">
        <v>45727</v>
      </c>
      <c r="B348" t="s">
        <v>12</v>
      </c>
      <c r="C348">
        <v>332</v>
      </c>
      <c r="D348">
        <v>0.02</v>
      </c>
      <c r="E348">
        <v>0</v>
      </c>
      <c r="F348">
        <v>2</v>
      </c>
      <c r="G348" t="b">
        <v>0</v>
      </c>
      <c r="H348">
        <f>IF(inventory__Data[[#This Row],[stock_on_hand]]&lt;=0,1,0)</f>
        <v>0</v>
      </c>
      <c r="I348">
        <f>COUNTIFS(inventory__Data[product_id],inventory__Data[[#This Row],[product_id]],inventory__Data[stock_on_hand],"&lt;=0")</f>
        <v>23</v>
      </c>
    </row>
    <row r="349" spans="1:9" x14ac:dyDescent="0.3">
      <c r="A349" s="1">
        <v>45727</v>
      </c>
      <c r="B349" t="s">
        <v>15</v>
      </c>
      <c r="C349">
        <v>877</v>
      </c>
      <c r="D349">
        <v>0.04</v>
      </c>
      <c r="E349">
        <v>0</v>
      </c>
      <c r="F349">
        <v>2</v>
      </c>
      <c r="G349" t="b">
        <v>0</v>
      </c>
      <c r="H349">
        <f>IF(inventory__Data[[#This Row],[stock_on_hand]]&lt;=0,1,0)</f>
        <v>0</v>
      </c>
      <c r="I349">
        <f>COUNTIFS(inventory__Data[product_id],inventory__Data[[#This Row],[product_id]],inventory__Data[stock_on_hand],"&lt;=0")</f>
        <v>30</v>
      </c>
    </row>
    <row r="350" spans="1:9" x14ac:dyDescent="0.3">
      <c r="A350" s="1">
        <v>45727</v>
      </c>
      <c r="B350" t="s">
        <v>18</v>
      </c>
      <c r="C350">
        <v>39</v>
      </c>
      <c r="D350">
        <v>0.15</v>
      </c>
      <c r="E350">
        <v>0</v>
      </c>
      <c r="F350">
        <v>15</v>
      </c>
      <c r="G350" t="b">
        <v>0</v>
      </c>
      <c r="H350">
        <f>IF(inventory__Data[[#This Row],[stock_on_hand]]&lt;=0,1,0)</f>
        <v>0</v>
      </c>
      <c r="I350">
        <f>COUNTIFS(inventory__Data[product_id],inventory__Data[[#This Row],[product_id]],inventory__Data[stock_on_hand],"&lt;=0")</f>
        <v>30</v>
      </c>
    </row>
    <row r="351" spans="1:9" x14ac:dyDescent="0.3">
      <c r="A351" s="1">
        <v>45727</v>
      </c>
      <c r="B351" t="s">
        <v>21</v>
      </c>
      <c r="C351">
        <v>105</v>
      </c>
      <c r="D351">
        <v>0.03</v>
      </c>
      <c r="E351">
        <v>0</v>
      </c>
      <c r="F351">
        <v>2</v>
      </c>
      <c r="G351" t="b">
        <v>0</v>
      </c>
      <c r="H351">
        <f>IF(inventory__Data[[#This Row],[stock_on_hand]]&lt;=0,1,0)</f>
        <v>0</v>
      </c>
      <c r="I351">
        <f>COUNTIFS(inventory__Data[product_id],inventory__Data[[#This Row],[product_id]],inventory__Data[stock_on_hand],"&lt;=0")</f>
        <v>29</v>
      </c>
    </row>
    <row r="352" spans="1:9" x14ac:dyDescent="0.3">
      <c r="A352" s="1">
        <v>45728</v>
      </c>
      <c r="B352" t="s">
        <v>9</v>
      </c>
      <c r="C352">
        <v>502</v>
      </c>
      <c r="D352">
        <v>0.05</v>
      </c>
      <c r="E352">
        <v>0</v>
      </c>
      <c r="F352">
        <v>2</v>
      </c>
      <c r="G352" t="b">
        <v>0</v>
      </c>
      <c r="H352">
        <f>IF(inventory__Data[[#This Row],[stock_on_hand]]&lt;=0,1,0)</f>
        <v>0</v>
      </c>
      <c r="I352">
        <f>COUNTIFS(inventory__Data[product_id],inventory__Data[[#This Row],[product_id]],inventory__Data[stock_on_hand],"&lt;=0")</f>
        <v>25</v>
      </c>
    </row>
    <row r="353" spans="1:9" x14ac:dyDescent="0.3">
      <c r="A353" s="1">
        <v>45728</v>
      </c>
      <c r="B353" t="s">
        <v>12</v>
      </c>
      <c r="C353">
        <v>169</v>
      </c>
      <c r="D353">
        <v>0.02</v>
      </c>
      <c r="E353">
        <v>0</v>
      </c>
      <c r="F353">
        <v>5</v>
      </c>
      <c r="G353" t="b">
        <v>0</v>
      </c>
      <c r="H353">
        <f>IF(inventory__Data[[#This Row],[stock_on_hand]]&lt;=0,1,0)</f>
        <v>0</v>
      </c>
      <c r="I353">
        <f>COUNTIFS(inventory__Data[product_id],inventory__Data[[#This Row],[product_id]],inventory__Data[stock_on_hand],"&lt;=0")</f>
        <v>23</v>
      </c>
    </row>
    <row r="354" spans="1:9" x14ac:dyDescent="0.3">
      <c r="A354" s="1">
        <v>45728</v>
      </c>
      <c r="B354" t="s">
        <v>15</v>
      </c>
      <c r="C354">
        <v>310</v>
      </c>
      <c r="D354">
        <v>0.04</v>
      </c>
      <c r="E354">
        <v>0</v>
      </c>
      <c r="F354">
        <v>2</v>
      </c>
      <c r="G354" t="b">
        <v>0</v>
      </c>
      <c r="H354">
        <f>IF(inventory__Data[[#This Row],[stock_on_hand]]&lt;=0,1,0)</f>
        <v>0</v>
      </c>
      <c r="I354">
        <f>COUNTIFS(inventory__Data[product_id],inventory__Data[[#This Row],[product_id]],inventory__Data[stock_on_hand],"&lt;=0")</f>
        <v>30</v>
      </c>
    </row>
    <row r="355" spans="1:9" x14ac:dyDescent="0.3">
      <c r="A355" s="1">
        <v>45728</v>
      </c>
      <c r="B355" t="s">
        <v>18</v>
      </c>
      <c r="C355">
        <v>208</v>
      </c>
      <c r="D355">
        <v>0.15</v>
      </c>
      <c r="E355">
        <v>0</v>
      </c>
      <c r="F355">
        <v>2</v>
      </c>
      <c r="G355" t="b">
        <v>0</v>
      </c>
      <c r="H355">
        <f>IF(inventory__Data[[#This Row],[stock_on_hand]]&lt;=0,1,0)</f>
        <v>0</v>
      </c>
      <c r="I355">
        <f>COUNTIFS(inventory__Data[product_id],inventory__Data[[#This Row],[product_id]],inventory__Data[stock_on_hand],"&lt;=0")</f>
        <v>30</v>
      </c>
    </row>
    <row r="356" spans="1:9" x14ac:dyDescent="0.3">
      <c r="A356" s="1">
        <v>45728</v>
      </c>
      <c r="B356" t="s">
        <v>21</v>
      </c>
      <c r="C356">
        <v>662</v>
      </c>
      <c r="D356">
        <v>0.03</v>
      </c>
      <c r="E356">
        <v>0</v>
      </c>
      <c r="F356">
        <v>5</v>
      </c>
      <c r="G356" t="b">
        <v>0</v>
      </c>
      <c r="H356">
        <f>IF(inventory__Data[[#This Row],[stock_on_hand]]&lt;=0,1,0)</f>
        <v>0</v>
      </c>
      <c r="I356">
        <f>COUNTIFS(inventory__Data[product_id],inventory__Data[[#This Row],[product_id]],inventory__Data[stock_on_hand],"&lt;=0")</f>
        <v>29</v>
      </c>
    </row>
    <row r="357" spans="1:9" x14ac:dyDescent="0.3">
      <c r="A357" s="1">
        <v>45729</v>
      </c>
      <c r="B357" t="s">
        <v>9</v>
      </c>
      <c r="C357">
        <v>433</v>
      </c>
      <c r="D357">
        <v>0.05</v>
      </c>
      <c r="E357">
        <v>0</v>
      </c>
      <c r="F357">
        <v>2</v>
      </c>
      <c r="G357" t="b">
        <v>0</v>
      </c>
      <c r="H357">
        <f>IF(inventory__Data[[#This Row],[stock_on_hand]]&lt;=0,1,0)</f>
        <v>0</v>
      </c>
      <c r="I357">
        <f>COUNTIFS(inventory__Data[product_id],inventory__Data[[#This Row],[product_id]],inventory__Data[stock_on_hand],"&lt;=0")</f>
        <v>25</v>
      </c>
    </row>
    <row r="358" spans="1:9" x14ac:dyDescent="0.3">
      <c r="A358" s="1">
        <v>45729</v>
      </c>
      <c r="B358" t="s">
        <v>12</v>
      </c>
      <c r="C358">
        <v>215</v>
      </c>
      <c r="D358">
        <v>0.02</v>
      </c>
      <c r="E358">
        <v>0</v>
      </c>
      <c r="F358">
        <v>5</v>
      </c>
      <c r="G358" t="b">
        <v>0</v>
      </c>
      <c r="H358">
        <f>IF(inventory__Data[[#This Row],[stock_on_hand]]&lt;=0,1,0)</f>
        <v>0</v>
      </c>
      <c r="I358">
        <f>COUNTIFS(inventory__Data[product_id],inventory__Data[[#This Row],[product_id]],inventory__Data[stock_on_hand],"&lt;=0")</f>
        <v>23</v>
      </c>
    </row>
    <row r="359" spans="1:9" x14ac:dyDescent="0.3">
      <c r="A359" s="1">
        <v>45729</v>
      </c>
      <c r="B359" t="s">
        <v>15</v>
      </c>
      <c r="C359">
        <v>465</v>
      </c>
      <c r="D359">
        <v>0.04</v>
      </c>
      <c r="E359">
        <v>0</v>
      </c>
      <c r="F359">
        <v>2</v>
      </c>
      <c r="G359" t="b">
        <v>0</v>
      </c>
      <c r="H359">
        <f>IF(inventory__Data[[#This Row],[stock_on_hand]]&lt;=0,1,0)</f>
        <v>0</v>
      </c>
      <c r="I359">
        <f>COUNTIFS(inventory__Data[product_id],inventory__Data[[#This Row],[product_id]],inventory__Data[stock_on_hand],"&lt;=0")</f>
        <v>30</v>
      </c>
    </row>
    <row r="360" spans="1:9" x14ac:dyDescent="0.3">
      <c r="A360" s="1">
        <v>45729</v>
      </c>
      <c r="B360" t="s">
        <v>18</v>
      </c>
      <c r="C360">
        <v>437</v>
      </c>
      <c r="D360">
        <v>0.15</v>
      </c>
      <c r="E360">
        <v>0</v>
      </c>
      <c r="F360">
        <v>10</v>
      </c>
      <c r="G360" t="b">
        <v>0</v>
      </c>
      <c r="H360">
        <f>IF(inventory__Data[[#This Row],[stock_on_hand]]&lt;=0,1,0)</f>
        <v>0</v>
      </c>
      <c r="I360">
        <f>COUNTIFS(inventory__Data[product_id],inventory__Data[[#This Row],[product_id]],inventory__Data[stock_on_hand],"&lt;=0")</f>
        <v>30</v>
      </c>
    </row>
    <row r="361" spans="1:9" x14ac:dyDescent="0.3">
      <c r="A361" s="1">
        <v>45729</v>
      </c>
      <c r="B361" t="s">
        <v>21</v>
      </c>
      <c r="C361">
        <v>480</v>
      </c>
      <c r="D361">
        <v>0.03</v>
      </c>
      <c r="E361">
        <v>0</v>
      </c>
      <c r="F361">
        <v>2</v>
      </c>
      <c r="G361" t="b">
        <v>0</v>
      </c>
      <c r="H361">
        <f>IF(inventory__Data[[#This Row],[stock_on_hand]]&lt;=0,1,0)</f>
        <v>0</v>
      </c>
      <c r="I361">
        <f>COUNTIFS(inventory__Data[product_id],inventory__Data[[#This Row],[product_id]],inventory__Data[stock_on_hand],"&lt;=0")</f>
        <v>29</v>
      </c>
    </row>
    <row r="362" spans="1:9" x14ac:dyDescent="0.3">
      <c r="A362" s="1">
        <v>45730</v>
      </c>
      <c r="B362" t="s">
        <v>9</v>
      </c>
      <c r="C362">
        <v>573</v>
      </c>
      <c r="D362">
        <v>0.05</v>
      </c>
      <c r="E362">
        <v>0</v>
      </c>
      <c r="F362">
        <v>2</v>
      </c>
      <c r="G362" t="b">
        <v>0</v>
      </c>
      <c r="H362">
        <f>IF(inventory__Data[[#This Row],[stock_on_hand]]&lt;=0,1,0)</f>
        <v>0</v>
      </c>
      <c r="I362">
        <f>COUNTIFS(inventory__Data[product_id],inventory__Data[[#This Row],[product_id]],inventory__Data[stock_on_hand],"&lt;=0")</f>
        <v>25</v>
      </c>
    </row>
    <row r="363" spans="1:9" x14ac:dyDescent="0.3">
      <c r="A363" s="1">
        <v>45730</v>
      </c>
      <c r="B363" t="s">
        <v>12</v>
      </c>
      <c r="C363">
        <v>454</v>
      </c>
      <c r="D363">
        <v>0.02</v>
      </c>
      <c r="E363">
        <v>0</v>
      </c>
      <c r="F363">
        <v>5</v>
      </c>
      <c r="G363" t="b">
        <v>0</v>
      </c>
      <c r="H363">
        <f>IF(inventory__Data[[#This Row],[stock_on_hand]]&lt;=0,1,0)</f>
        <v>0</v>
      </c>
      <c r="I363">
        <f>COUNTIFS(inventory__Data[product_id],inventory__Data[[#This Row],[product_id]],inventory__Data[stock_on_hand],"&lt;=0")</f>
        <v>23</v>
      </c>
    </row>
    <row r="364" spans="1:9" x14ac:dyDescent="0.3">
      <c r="A364" s="1">
        <v>45730</v>
      </c>
      <c r="B364" t="s">
        <v>15</v>
      </c>
      <c r="C364">
        <v>42</v>
      </c>
      <c r="D364">
        <v>0.04</v>
      </c>
      <c r="E364">
        <v>0</v>
      </c>
      <c r="F364">
        <v>10</v>
      </c>
      <c r="G364" t="b">
        <v>0</v>
      </c>
      <c r="H364">
        <f>IF(inventory__Data[[#This Row],[stock_on_hand]]&lt;=0,1,0)</f>
        <v>0</v>
      </c>
      <c r="I364">
        <f>COUNTIFS(inventory__Data[product_id],inventory__Data[[#This Row],[product_id]],inventory__Data[stock_on_hand],"&lt;=0")</f>
        <v>30</v>
      </c>
    </row>
    <row r="365" spans="1:9" x14ac:dyDescent="0.3">
      <c r="A365" s="1">
        <v>45730</v>
      </c>
      <c r="B365" t="s">
        <v>18</v>
      </c>
      <c r="C365">
        <v>537</v>
      </c>
      <c r="D365">
        <v>0.15</v>
      </c>
      <c r="E365">
        <v>0</v>
      </c>
      <c r="F365">
        <v>2</v>
      </c>
      <c r="G365" t="b">
        <v>0</v>
      </c>
      <c r="H365">
        <f>IF(inventory__Data[[#This Row],[stock_on_hand]]&lt;=0,1,0)</f>
        <v>0</v>
      </c>
      <c r="I365">
        <f>COUNTIFS(inventory__Data[product_id],inventory__Data[[#This Row],[product_id]],inventory__Data[stock_on_hand],"&lt;=0")</f>
        <v>30</v>
      </c>
    </row>
    <row r="366" spans="1:9" x14ac:dyDescent="0.3">
      <c r="A366" s="1">
        <v>45730</v>
      </c>
      <c r="B366" t="s">
        <v>21</v>
      </c>
      <c r="C366">
        <v>844</v>
      </c>
      <c r="D366">
        <v>0.03</v>
      </c>
      <c r="E366">
        <v>0</v>
      </c>
      <c r="F366">
        <v>2</v>
      </c>
      <c r="G366" t="b">
        <v>0</v>
      </c>
      <c r="H366">
        <f>IF(inventory__Data[[#This Row],[stock_on_hand]]&lt;=0,1,0)</f>
        <v>0</v>
      </c>
      <c r="I366">
        <f>COUNTIFS(inventory__Data[product_id],inventory__Data[[#This Row],[product_id]],inventory__Data[stock_on_hand],"&lt;=0")</f>
        <v>29</v>
      </c>
    </row>
    <row r="367" spans="1:9" x14ac:dyDescent="0.3">
      <c r="A367" s="1">
        <v>45731</v>
      </c>
      <c r="B367" t="s">
        <v>9</v>
      </c>
      <c r="C367">
        <v>398</v>
      </c>
      <c r="D367">
        <v>0.05</v>
      </c>
      <c r="E367">
        <v>0</v>
      </c>
      <c r="F367">
        <v>2</v>
      </c>
      <c r="G367" t="b">
        <v>0</v>
      </c>
      <c r="H367">
        <f>IF(inventory__Data[[#This Row],[stock_on_hand]]&lt;=0,1,0)</f>
        <v>0</v>
      </c>
      <c r="I367">
        <f>COUNTIFS(inventory__Data[product_id],inventory__Data[[#This Row],[product_id]],inventory__Data[stock_on_hand],"&lt;=0")</f>
        <v>25</v>
      </c>
    </row>
    <row r="368" spans="1:9" x14ac:dyDescent="0.3">
      <c r="A368" s="1">
        <v>45731</v>
      </c>
      <c r="B368" t="s">
        <v>12</v>
      </c>
      <c r="C368">
        <v>0</v>
      </c>
      <c r="D368">
        <v>0.02</v>
      </c>
      <c r="E368">
        <v>0</v>
      </c>
      <c r="F368">
        <v>5</v>
      </c>
      <c r="G368" t="b">
        <v>0</v>
      </c>
      <c r="H368">
        <f>IF(inventory__Data[[#This Row],[stock_on_hand]]&lt;=0,1,0)</f>
        <v>1</v>
      </c>
      <c r="I368">
        <f>COUNTIFS(inventory__Data[product_id],inventory__Data[[#This Row],[product_id]],inventory__Data[stock_on_hand],"&lt;=0")</f>
        <v>23</v>
      </c>
    </row>
    <row r="369" spans="1:9" x14ac:dyDescent="0.3">
      <c r="A369" s="1">
        <v>45731</v>
      </c>
      <c r="B369" t="s">
        <v>15</v>
      </c>
      <c r="C369">
        <v>622</v>
      </c>
      <c r="D369">
        <v>0.04</v>
      </c>
      <c r="E369">
        <v>0</v>
      </c>
      <c r="F369">
        <v>15</v>
      </c>
      <c r="G369" t="b">
        <v>0</v>
      </c>
      <c r="H369">
        <f>IF(inventory__Data[[#This Row],[stock_on_hand]]&lt;=0,1,0)</f>
        <v>0</v>
      </c>
      <c r="I369">
        <f>COUNTIFS(inventory__Data[product_id],inventory__Data[[#This Row],[product_id]],inventory__Data[stock_on_hand],"&lt;=0")</f>
        <v>30</v>
      </c>
    </row>
    <row r="370" spans="1:9" x14ac:dyDescent="0.3">
      <c r="A370" s="1">
        <v>45731</v>
      </c>
      <c r="B370" t="s">
        <v>18</v>
      </c>
      <c r="C370">
        <v>675</v>
      </c>
      <c r="D370">
        <v>0.15</v>
      </c>
      <c r="E370">
        <v>0</v>
      </c>
      <c r="F370">
        <v>2</v>
      </c>
      <c r="G370" t="b">
        <v>0</v>
      </c>
      <c r="H370">
        <f>IF(inventory__Data[[#This Row],[stock_on_hand]]&lt;=0,1,0)</f>
        <v>0</v>
      </c>
      <c r="I370">
        <f>COUNTIFS(inventory__Data[product_id],inventory__Data[[#This Row],[product_id]],inventory__Data[stock_on_hand],"&lt;=0")</f>
        <v>30</v>
      </c>
    </row>
    <row r="371" spans="1:9" x14ac:dyDescent="0.3">
      <c r="A371" s="1">
        <v>45731</v>
      </c>
      <c r="B371" t="s">
        <v>21</v>
      </c>
      <c r="C371">
        <v>858</v>
      </c>
      <c r="D371">
        <v>0.03</v>
      </c>
      <c r="E371">
        <v>0</v>
      </c>
      <c r="F371">
        <v>2</v>
      </c>
      <c r="G371" t="b">
        <v>0</v>
      </c>
      <c r="H371">
        <f>IF(inventory__Data[[#This Row],[stock_on_hand]]&lt;=0,1,0)</f>
        <v>0</v>
      </c>
      <c r="I371">
        <f>COUNTIFS(inventory__Data[product_id],inventory__Data[[#This Row],[product_id]],inventory__Data[stock_on_hand],"&lt;=0")</f>
        <v>29</v>
      </c>
    </row>
    <row r="372" spans="1:9" x14ac:dyDescent="0.3">
      <c r="A372" s="1">
        <v>45732</v>
      </c>
      <c r="B372" t="s">
        <v>9</v>
      </c>
      <c r="C372">
        <v>12</v>
      </c>
      <c r="D372">
        <v>0.05</v>
      </c>
      <c r="E372">
        <v>0</v>
      </c>
      <c r="F372">
        <v>2</v>
      </c>
      <c r="G372" t="b">
        <v>0</v>
      </c>
      <c r="H372">
        <f>IF(inventory__Data[[#This Row],[stock_on_hand]]&lt;=0,1,0)</f>
        <v>0</v>
      </c>
      <c r="I372">
        <f>COUNTIFS(inventory__Data[product_id],inventory__Data[[#This Row],[product_id]],inventory__Data[stock_on_hand],"&lt;=0")</f>
        <v>25</v>
      </c>
    </row>
    <row r="373" spans="1:9" x14ac:dyDescent="0.3">
      <c r="A373" s="1">
        <v>45732</v>
      </c>
      <c r="B373" t="s">
        <v>12</v>
      </c>
      <c r="C373">
        <v>770</v>
      </c>
      <c r="D373">
        <v>0.02</v>
      </c>
      <c r="E373">
        <v>0</v>
      </c>
      <c r="F373">
        <v>5</v>
      </c>
      <c r="G373" t="b">
        <v>0</v>
      </c>
      <c r="H373">
        <f>IF(inventory__Data[[#This Row],[stock_on_hand]]&lt;=0,1,0)</f>
        <v>0</v>
      </c>
      <c r="I373">
        <f>COUNTIFS(inventory__Data[product_id],inventory__Data[[#This Row],[product_id]],inventory__Data[stock_on_hand],"&lt;=0")</f>
        <v>23</v>
      </c>
    </row>
    <row r="374" spans="1:9" x14ac:dyDescent="0.3">
      <c r="A374" s="1">
        <v>45732</v>
      </c>
      <c r="B374" t="s">
        <v>15</v>
      </c>
      <c r="C374">
        <v>462</v>
      </c>
      <c r="D374">
        <v>0.04</v>
      </c>
      <c r="E374">
        <v>0</v>
      </c>
      <c r="F374">
        <v>2</v>
      </c>
      <c r="G374" t="b">
        <v>0</v>
      </c>
      <c r="H374">
        <f>IF(inventory__Data[[#This Row],[stock_on_hand]]&lt;=0,1,0)</f>
        <v>0</v>
      </c>
      <c r="I374">
        <f>COUNTIFS(inventory__Data[product_id],inventory__Data[[#This Row],[product_id]],inventory__Data[stock_on_hand],"&lt;=0")</f>
        <v>30</v>
      </c>
    </row>
    <row r="375" spans="1:9" x14ac:dyDescent="0.3">
      <c r="A375" s="1">
        <v>45732</v>
      </c>
      <c r="B375" t="s">
        <v>18</v>
      </c>
      <c r="C375">
        <v>271</v>
      </c>
      <c r="D375">
        <v>0.15</v>
      </c>
      <c r="E375">
        <v>0</v>
      </c>
      <c r="F375">
        <v>10</v>
      </c>
      <c r="G375" t="b">
        <v>0</v>
      </c>
      <c r="H375">
        <f>IF(inventory__Data[[#This Row],[stock_on_hand]]&lt;=0,1,0)</f>
        <v>0</v>
      </c>
      <c r="I375">
        <f>COUNTIFS(inventory__Data[product_id],inventory__Data[[#This Row],[product_id]],inventory__Data[stock_on_hand],"&lt;=0")</f>
        <v>30</v>
      </c>
    </row>
    <row r="376" spans="1:9" x14ac:dyDescent="0.3">
      <c r="A376" s="1">
        <v>45732</v>
      </c>
      <c r="B376" t="s">
        <v>21</v>
      </c>
      <c r="C376">
        <v>200</v>
      </c>
      <c r="D376">
        <v>0.03</v>
      </c>
      <c r="E376">
        <v>0</v>
      </c>
      <c r="F376">
        <v>2</v>
      </c>
      <c r="G376" t="b">
        <v>0</v>
      </c>
      <c r="H376">
        <f>IF(inventory__Data[[#This Row],[stock_on_hand]]&lt;=0,1,0)</f>
        <v>0</v>
      </c>
      <c r="I376">
        <f>COUNTIFS(inventory__Data[product_id],inventory__Data[[#This Row],[product_id]],inventory__Data[stock_on_hand],"&lt;=0")</f>
        <v>29</v>
      </c>
    </row>
    <row r="377" spans="1:9" x14ac:dyDescent="0.3">
      <c r="A377" s="1">
        <v>45733</v>
      </c>
      <c r="B377" t="s">
        <v>9</v>
      </c>
      <c r="C377">
        <v>4</v>
      </c>
      <c r="D377">
        <v>0.05</v>
      </c>
      <c r="E377">
        <v>0</v>
      </c>
      <c r="F377">
        <v>2</v>
      </c>
      <c r="G377" t="b">
        <v>0</v>
      </c>
      <c r="H377">
        <f>IF(inventory__Data[[#This Row],[stock_on_hand]]&lt;=0,1,0)</f>
        <v>0</v>
      </c>
      <c r="I377">
        <f>COUNTIFS(inventory__Data[product_id],inventory__Data[[#This Row],[product_id]],inventory__Data[stock_on_hand],"&lt;=0")</f>
        <v>25</v>
      </c>
    </row>
    <row r="378" spans="1:9" x14ac:dyDescent="0.3">
      <c r="A378" s="1">
        <v>45733</v>
      </c>
      <c r="B378" t="s">
        <v>12</v>
      </c>
      <c r="C378">
        <v>885</v>
      </c>
      <c r="D378">
        <v>0.02</v>
      </c>
      <c r="E378">
        <v>0</v>
      </c>
      <c r="F378">
        <v>5</v>
      </c>
      <c r="G378" t="b">
        <v>0</v>
      </c>
      <c r="H378">
        <f>IF(inventory__Data[[#This Row],[stock_on_hand]]&lt;=0,1,0)</f>
        <v>0</v>
      </c>
      <c r="I378">
        <f>COUNTIFS(inventory__Data[product_id],inventory__Data[[#This Row],[product_id]],inventory__Data[stock_on_hand],"&lt;=0")</f>
        <v>23</v>
      </c>
    </row>
    <row r="379" spans="1:9" x14ac:dyDescent="0.3">
      <c r="A379" s="1">
        <v>45733</v>
      </c>
      <c r="B379" t="s">
        <v>15</v>
      </c>
      <c r="C379">
        <v>475</v>
      </c>
      <c r="D379">
        <v>0.04</v>
      </c>
      <c r="E379">
        <v>0</v>
      </c>
      <c r="F379">
        <v>15</v>
      </c>
      <c r="G379" t="b">
        <v>0</v>
      </c>
      <c r="H379">
        <f>IF(inventory__Data[[#This Row],[stock_on_hand]]&lt;=0,1,0)</f>
        <v>0</v>
      </c>
      <c r="I379">
        <f>COUNTIFS(inventory__Data[product_id],inventory__Data[[#This Row],[product_id]],inventory__Data[stock_on_hand],"&lt;=0")</f>
        <v>30</v>
      </c>
    </row>
    <row r="380" spans="1:9" x14ac:dyDescent="0.3">
      <c r="A380" s="1">
        <v>45733</v>
      </c>
      <c r="B380" t="s">
        <v>18</v>
      </c>
      <c r="C380">
        <v>718</v>
      </c>
      <c r="D380">
        <v>0.15</v>
      </c>
      <c r="E380">
        <v>0</v>
      </c>
      <c r="F380">
        <v>2</v>
      </c>
      <c r="G380" t="b">
        <v>0</v>
      </c>
      <c r="H380">
        <f>IF(inventory__Data[[#This Row],[stock_on_hand]]&lt;=0,1,0)</f>
        <v>0</v>
      </c>
      <c r="I380">
        <f>COUNTIFS(inventory__Data[product_id],inventory__Data[[#This Row],[product_id]],inventory__Data[stock_on_hand],"&lt;=0")</f>
        <v>30</v>
      </c>
    </row>
    <row r="381" spans="1:9" x14ac:dyDescent="0.3">
      <c r="A381" s="1">
        <v>45733</v>
      </c>
      <c r="B381" t="s">
        <v>21</v>
      </c>
      <c r="C381">
        <v>209</v>
      </c>
      <c r="D381">
        <v>0.03</v>
      </c>
      <c r="E381">
        <v>0</v>
      </c>
      <c r="F381">
        <v>2</v>
      </c>
      <c r="G381" t="b">
        <v>0</v>
      </c>
      <c r="H381">
        <f>IF(inventory__Data[[#This Row],[stock_on_hand]]&lt;=0,1,0)</f>
        <v>0</v>
      </c>
      <c r="I381">
        <f>COUNTIFS(inventory__Data[product_id],inventory__Data[[#This Row],[product_id]],inventory__Data[stock_on_hand],"&lt;=0")</f>
        <v>29</v>
      </c>
    </row>
    <row r="382" spans="1:9" x14ac:dyDescent="0.3">
      <c r="A382" s="1">
        <v>45734</v>
      </c>
      <c r="B382" t="s">
        <v>9</v>
      </c>
      <c r="C382">
        <v>646</v>
      </c>
      <c r="D382">
        <v>0.05</v>
      </c>
      <c r="E382">
        <v>0</v>
      </c>
      <c r="F382">
        <v>15</v>
      </c>
      <c r="G382" t="b">
        <v>0</v>
      </c>
      <c r="H382">
        <f>IF(inventory__Data[[#This Row],[stock_on_hand]]&lt;=0,1,0)</f>
        <v>0</v>
      </c>
      <c r="I382">
        <f>COUNTIFS(inventory__Data[product_id],inventory__Data[[#This Row],[product_id]],inventory__Data[stock_on_hand],"&lt;=0")</f>
        <v>25</v>
      </c>
    </row>
    <row r="383" spans="1:9" x14ac:dyDescent="0.3">
      <c r="A383" s="1">
        <v>45734</v>
      </c>
      <c r="B383" t="s">
        <v>12</v>
      </c>
      <c r="C383">
        <v>360</v>
      </c>
      <c r="D383">
        <v>0.02</v>
      </c>
      <c r="E383">
        <v>0</v>
      </c>
      <c r="F383">
        <v>2</v>
      </c>
      <c r="G383" t="b">
        <v>0</v>
      </c>
      <c r="H383">
        <f>IF(inventory__Data[[#This Row],[stock_on_hand]]&lt;=0,1,0)</f>
        <v>0</v>
      </c>
      <c r="I383">
        <f>COUNTIFS(inventory__Data[product_id],inventory__Data[[#This Row],[product_id]],inventory__Data[stock_on_hand],"&lt;=0")</f>
        <v>23</v>
      </c>
    </row>
    <row r="384" spans="1:9" x14ac:dyDescent="0.3">
      <c r="A384" s="1">
        <v>45734</v>
      </c>
      <c r="B384" t="s">
        <v>15</v>
      </c>
      <c r="C384">
        <v>378</v>
      </c>
      <c r="D384">
        <v>0.04</v>
      </c>
      <c r="E384">
        <v>0</v>
      </c>
      <c r="F384">
        <v>5</v>
      </c>
      <c r="G384" t="b">
        <v>0</v>
      </c>
      <c r="H384">
        <f>IF(inventory__Data[[#This Row],[stock_on_hand]]&lt;=0,1,0)</f>
        <v>0</v>
      </c>
      <c r="I384">
        <f>COUNTIFS(inventory__Data[product_id],inventory__Data[[#This Row],[product_id]],inventory__Data[stock_on_hand],"&lt;=0")</f>
        <v>30</v>
      </c>
    </row>
    <row r="385" spans="1:9" x14ac:dyDescent="0.3">
      <c r="A385" s="1">
        <v>45734</v>
      </c>
      <c r="B385" t="s">
        <v>18</v>
      </c>
      <c r="C385">
        <v>316</v>
      </c>
      <c r="D385">
        <v>0.15</v>
      </c>
      <c r="E385">
        <v>0</v>
      </c>
      <c r="F385">
        <v>15</v>
      </c>
      <c r="G385" t="b">
        <v>0</v>
      </c>
      <c r="H385">
        <f>IF(inventory__Data[[#This Row],[stock_on_hand]]&lt;=0,1,0)</f>
        <v>0</v>
      </c>
      <c r="I385">
        <f>COUNTIFS(inventory__Data[product_id],inventory__Data[[#This Row],[product_id]],inventory__Data[stock_on_hand],"&lt;=0")</f>
        <v>30</v>
      </c>
    </row>
    <row r="386" spans="1:9" x14ac:dyDescent="0.3">
      <c r="A386" s="1">
        <v>45734</v>
      </c>
      <c r="B386" t="s">
        <v>21</v>
      </c>
      <c r="C386">
        <v>778</v>
      </c>
      <c r="D386">
        <v>0.03</v>
      </c>
      <c r="E386">
        <v>0</v>
      </c>
      <c r="F386">
        <v>2</v>
      </c>
      <c r="G386" t="b">
        <v>0</v>
      </c>
      <c r="H386">
        <f>IF(inventory__Data[[#This Row],[stock_on_hand]]&lt;=0,1,0)</f>
        <v>0</v>
      </c>
      <c r="I386">
        <f>COUNTIFS(inventory__Data[product_id],inventory__Data[[#This Row],[product_id]],inventory__Data[stock_on_hand],"&lt;=0")</f>
        <v>29</v>
      </c>
    </row>
    <row r="387" spans="1:9" x14ac:dyDescent="0.3">
      <c r="A387" s="1">
        <v>45735</v>
      </c>
      <c r="B387" t="s">
        <v>9</v>
      </c>
      <c r="C387">
        <v>497</v>
      </c>
      <c r="D387">
        <v>0.05</v>
      </c>
      <c r="E387">
        <v>0</v>
      </c>
      <c r="F387">
        <v>2</v>
      </c>
      <c r="G387" t="b">
        <v>0</v>
      </c>
      <c r="H387">
        <f>IF(inventory__Data[[#This Row],[stock_on_hand]]&lt;=0,1,0)</f>
        <v>0</v>
      </c>
      <c r="I387">
        <f>COUNTIFS(inventory__Data[product_id],inventory__Data[[#This Row],[product_id]],inventory__Data[stock_on_hand],"&lt;=0")</f>
        <v>25</v>
      </c>
    </row>
    <row r="388" spans="1:9" x14ac:dyDescent="0.3">
      <c r="A388" s="1">
        <v>45735</v>
      </c>
      <c r="B388" t="s">
        <v>12</v>
      </c>
      <c r="C388">
        <v>295</v>
      </c>
      <c r="D388">
        <v>0.02</v>
      </c>
      <c r="E388">
        <v>0</v>
      </c>
      <c r="F388">
        <v>2</v>
      </c>
      <c r="G388" t="b">
        <v>0</v>
      </c>
      <c r="H388">
        <f>IF(inventory__Data[[#This Row],[stock_on_hand]]&lt;=0,1,0)</f>
        <v>0</v>
      </c>
      <c r="I388">
        <f>COUNTIFS(inventory__Data[product_id],inventory__Data[[#This Row],[product_id]],inventory__Data[stock_on_hand],"&lt;=0")</f>
        <v>23</v>
      </c>
    </row>
    <row r="389" spans="1:9" x14ac:dyDescent="0.3">
      <c r="A389" s="1">
        <v>45735</v>
      </c>
      <c r="B389" t="s">
        <v>15</v>
      </c>
      <c r="C389">
        <v>0</v>
      </c>
      <c r="D389">
        <v>0.04</v>
      </c>
      <c r="E389">
        <v>0</v>
      </c>
      <c r="F389">
        <v>5</v>
      </c>
      <c r="G389" t="b">
        <v>0</v>
      </c>
      <c r="H389">
        <f>IF(inventory__Data[[#This Row],[stock_on_hand]]&lt;=0,1,0)</f>
        <v>1</v>
      </c>
      <c r="I389">
        <f>COUNTIFS(inventory__Data[product_id],inventory__Data[[#This Row],[product_id]],inventory__Data[stock_on_hand],"&lt;=0")</f>
        <v>30</v>
      </c>
    </row>
    <row r="390" spans="1:9" x14ac:dyDescent="0.3">
      <c r="A390" s="1">
        <v>45735</v>
      </c>
      <c r="B390" t="s">
        <v>18</v>
      </c>
      <c r="C390">
        <v>282</v>
      </c>
      <c r="D390">
        <v>0.15</v>
      </c>
      <c r="E390">
        <v>0</v>
      </c>
      <c r="F390">
        <v>15</v>
      </c>
      <c r="G390" t="b">
        <v>0</v>
      </c>
      <c r="H390">
        <f>IF(inventory__Data[[#This Row],[stock_on_hand]]&lt;=0,1,0)</f>
        <v>0</v>
      </c>
      <c r="I390">
        <f>COUNTIFS(inventory__Data[product_id],inventory__Data[[#This Row],[product_id]],inventory__Data[stock_on_hand],"&lt;=0")</f>
        <v>30</v>
      </c>
    </row>
    <row r="391" spans="1:9" x14ac:dyDescent="0.3">
      <c r="A391" s="1">
        <v>45735</v>
      </c>
      <c r="B391" t="s">
        <v>21</v>
      </c>
      <c r="C391">
        <v>98</v>
      </c>
      <c r="D391">
        <v>0.03</v>
      </c>
      <c r="E391">
        <v>0</v>
      </c>
      <c r="F391">
        <v>2</v>
      </c>
      <c r="G391" t="b">
        <v>0</v>
      </c>
      <c r="H391">
        <f>IF(inventory__Data[[#This Row],[stock_on_hand]]&lt;=0,1,0)</f>
        <v>0</v>
      </c>
      <c r="I391">
        <f>COUNTIFS(inventory__Data[product_id],inventory__Data[[#This Row],[product_id]],inventory__Data[stock_on_hand],"&lt;=0")</f>
        <v>29</v>
      </c>
    </row>
    <row r="392" spans="1:9" x14ac:dyDescent="0.3">
      <c r="A392" s="1">
        <v>45736</v>
      </c>
      <c r="B392" t="s">
        <v>9</v>
      </c>
      <c r="C392">
        <v>34</v>
      </c>
      <c r="D392">
        <v>0.05</v>
      </c>
      <c r="E392">
        <v>0</v>
      </c>
      <c r="F392">
        <v>5</v>
      </c>
      <c r="G392" t="b">
        <v>0</v>
      </c>
      <c r="H392">
        <f>IF(inventory__Data[[#This Row],[stock_on_hand]]&lt;=0,1,0)</f>
        <v>0</v>
      </c>
      <c r="I392">
        <f>COUNTIFS(inventory__Data[product_id],inventory__Data[[#This Row],[product_id]],inventory__Data[stock_on_hand],"&lt;=0")</f>
        <v>25</v>
      </c>
    </row>
    <row r="393" spans="1:9" x14ac:dyDescent="0.3">
      <c r="A393" s="1">
        <v>45736</v>
      </c>
      <c r="B393" t="s">
        <v>12</v>
      </c>
      <c r="C393">
        <v>804</v>
      </c>
      <c r="D393">
        <v>0.02</v>
      </c>
      <c r="E393">
        <v>0</v>
      </c>
      <c r="F393">
        <v>2</v>
      </c>
      <c r="G393" t="b">
        <v>0</v>
      </c>
      <c r="H393">
        <f>IF(inventory__Data[[#This Row],[stock_on_hand]]&lt;=0,1,0)</f>
        <v>0</v>
      </c>
      <c r="I393">
        <f>COUNTIFS(inventory__Data[product_id],inventory__Data[[#This Row],[product_id]],inventory__Data[stock_on_hand],"&lt;=0")</f>
        <v>23</v>
      </c>
    </row>
    <row r="394" spans="1:9" x14ac:dyDescent="0.3">
      <c r="A394" s="1">
        <v>45736</v>
      </c>
      <c r="B394" t="s">
        <v>15</v>
      </c>
      <c r="C394">
        <v>740</v>
      </c>
      <c r="D394">
        <v>0.04</v>
      </c>
      <c r="E394">
        <v>0</v>
      </c>
      <c r="F394">
        <v>15</v>
      </c>
      <c r="G394" t="b">
        <v>0</v>
      </c>
      <c r="H394">
        <f>IF(inventory__Data[[#This Row],[stock_on_hand]]&lt;=0,1,0)</f>
        <v>0</v>
      </c>
      <c r="I394">
        <f>COUNTIFS(inventory__Data[product_id],inventory__Data[[#This Row],[product_id]],inventory__Data[stock_on_hand],"&lt;=0")</f>
        <v>30</v>
      </c>
    </row>
    <row r="395" spans="1:9" x14ac:dyDescent="0.3">
      <c r="A395" s="1">
        <v>45736</v>
      </c>
      <c r="B395" t="s">
        <v>18</v>
      </c>
      <c r="C395">
        <v>570</v>
      </c>
      <c r="D395">
        <v>0.15</v>
      </c>
      <c r="E395">
        <v>0</v>
      </c>
      <c r="F395">
        <v>5</v>
      </c>
      <c r="G395" t="b">
        <v>0</v>
      </c>
      <c r="H395">
        <f>IF(inventory__Data[[#This Row],[stock_on_hand]]&lt;=0,1,0)</f>
        <v>0</v>
      </c>
      <c r="I395">
        <f>COUNTIFS(inventory__Data[product_id],inventory__Data[[#This Row],[product_id]],inventory__Data[stock_on_hand],"&lt;=0")</f>
        <v>30</v>
      </c>
    </row>
    <row r="396" spans="1:9" x14ac:dyDescent="0.3">
      <c r="A396" s="1">
        <v>45736</v>
      </c>
      <c r="B396" t="s">
        <v>21</v>
      </c>
      <c r="C396">
        <v>80</v>
      </c>
      <c r="D396">
        <v>0.03</v>
      </c>
      <c r="E396">
        <v>0</v>
      </c>
      <c r="F396">
        <v>5</v>
      </c>
      <c r="G396" t="b">
        <v>0</v>
      </c>
      <c r="H396">
        <f>IF(inventory__Data[[#This Row],[stock_on_hand]]&lt;=0,1,0)</f>
        <v>0</v>
      </c>
      <c r="I396">
        <f>COUNTIFS(inventory__Data[product_id],inventory__Data[[#This Row],[product_id]],inventory__Data[stock_on_hand],"&lt;=0")</f>
        <v>29</v>
      </c>
    </row>
    <row r="397" spans="1:9" x14ac:dyDescent="0.3">
      <c r="A397" s="1">
        <v>45737</v>
      </c>
      <c r="B397" t="s">
        <v>9</v>
      </c>
      <c r="C397">
        <v>442</v>
      </c>
      <c r="D397">
        <v>0.05</v>
      </c>
      <c r="E397">
        <v>0</v>
      </c>
      <c r="F397">
        <v>5</v>
      </c>
      <c r="G397" t="b">
        <v>0</v>
      </c>
      <c r="H397">
        <f>IF(inventory__Data[[#This Row],[stock_on_hand]]&lt;=0,1,0)</f>
        <v>0</v>
      </c>
      <c r="I397">
        <f>COUNTIFS(inventory__Data[product_id],inventory__Data[[#This Row],[product_id]],inventory__Data[stock_on_hand],"&lt;=0")</f>
        <v>25</v>
      </c>
    </row>
    <row r="398" spans="1:9" x14ac:dyDescent="0.3">
      <c r="A398" s="1">
        <v>45737</v>
      </c>
      <c r="B398" t="s">
        <v>12</v>
      </c>
      <c r="C398">
        <v>506</v>
      </c>
      <c r="D398">
        <v>0.02</v>
      </c>
      <c r="E398">
        <v>0</v>
      </c>
      <c r="F398">
        <v>10</v>
      </c>
      <c r="G398" t="b">
        <v>0</v>
      </c>
      <c r="H398">
        <f>IF(inventory__Data[[#This Row],[stock_on_hand]]&lt;=0,1,0)</f>
        <v>0</v>
      </c>
      <c r="I398">
        <f>COUNTIFS(inventory__Data[product_id],inventory__Data[[#This Row],[product_id]],inventory__Data[stock_on_hand],"&lt;=0")</f>
        <v>23</v>
      </c>
    </row>
    <row r="399" spans="1:9" x14ac:dyDescent="0.3">
      <c r="A399" s="1">
        <v>45737</v>
      </c>
      <c r="B399" t="s">
        <v>15</v>
      </c>
      <c r="C399">
        <v>560</v>
      </c>
      <c r="D399">
        <v>0.04</v>
      </c>
      <c r="E399">
        <v>0</v>
      </c>
      <c r="F399">
        <v>2</v>
      </c>
      <c r="G399" t="b">
        <v>0</v>
      </c>
      <c r="H399">
        <f>IF(inventory__Data[[#This Row],[stock_on_hand]]&lt;=0,1,0)</f>
        <v>0</v>
      </c>
      <c r="I399">
        <f>COUNTIFS(inventory__Data[product_id],inventory__Data[[#This Row],[product_id]],inventory__Data[stock_on_hand],"&lt;=0")</f>
        <v>30</v>
      </c>
    </row>
    <row r="400" spans="1:9" x14ac:dyDescent="0.3">
      <c r="A400" s="1">
        <v>45737</v>
      </c>
      <c r="B400" t="s">
        <v>18</v>
      </c>
      <c r="C400">
        <v>100</v>
      </c>
      <c r="D400">
        <v>0.15</v>
      </c>
      <c r="E400">
        <v>0</v>
      </c>
      <c r="F400">
        <v>5</v>
      </c>
      <c r="G400" t="b">
        <v>0</v>
      </c>
      <c r="H400">
        <f>IF(inventory__Data[[#This Row],[stock_on_hand]]&lt;=0,1,0)</f>
        <v>0</v>
      </c>
      <c r="I400">
        <f>COUNTIFS(inventory__Data[product_id],inventory__Data[[#This Row],[product_id]],inventory__Data[stock_on_hand],"&lt;=0")</f>
        <v>30</v>
      </c>
    </row>
    <row r="401" spans="1:9" x14ac:dyDescent="0.3">
      <c r="A401" s="1">
        <v>45737</v>
      </c>
      <c r="B401" t="s">
        <v>21</v>
      </c>
      <c r="C401">
        <v>240</v>
      </c>
      <c r="D401">
        <v>0.03</v>
      </c>
      <c r="E401">
        <v>0</v>
      </c>
      <c r="F401">
        <v>2</v>
      </c>
      <c r="G401" t="b">
        <v>0</v>
      </c>
      <c r="H401">
        <f>IF(inventory__Data[[#This Row],[stock_on_hand]]&lt;=0,1,0)</f>
        <v>0</v>
      </c>
      <c r="I401">
        <f>COUNTIFS(inventory__Data[product_id],inventory__Data[[#This Row],[product_id]],inventory__Data[stock_on_hand],"&lt;=0")</f>
        <v>29</v>
      </c>
    </row>
    <row r="402" spans="1:9" x14ac:dyDescent="0.3">
      <c r="A402" s="1">
        <v>45738</v>
      </c>
      <c r="B402" t="s">
        <v>9</v>
      </c>
      <c r="C402">
        <v>249</v>
      </c>
      <c r="D402">
        <v>0.05</v>
      </c>
      <c r="E402">
        <v>0</v>
      </c>
      <c r="F402">
        <v>5</v>
      </c>
      <c r="G402" t="b">
        <v>0</v>
      </c>
      <c r="H402">
        <f>IF(inventory__Data[[#This Row],[stock_on_hand]]&lt;=0,1,0)</f>
        <v>0</v>
      </c>
      <c r="I402">
        <f>COUNTIFS(inventory__Data[product_id],inventory__Data[[#This Row],[product_id]],inventory__Data[stock_on_hand],"&lt;=0")</f>
        <v>25</v>
      </c>
    </row>
    <row r="403" spans="1:9" x14ac:dyDescent="0.3">
      <c r="A403" s="1">
        <v>45738</v>
      </c>
      <c r="B403" t="s">
        <v>12</v>
      </c>
      <c r="C403">
        <v>417</v>
      </c>
      <c r="D403">
        <v>0.02</v>
      </c>
      <c r="E403">
        <v>0</v>
      </c>
      <c r="F403">
        <v>2</v>
      </c>
      <c r="G403" t="b">
        <v>0</v>
      </c>
      <c r="H403">
        <f>IF(inventory__Data[[#This Row],[stock_on_hand]]&lt;=0,1,0)</f>
        <v>0</v>
      </c>
      <c r="I403">
        <f>COUNTIFS(inventory__Data[product_id],inventory__Data[[#This Row],[product_id]],inventory__Data[stock_on_hand],"&lt;=0")</f>
        <v>23</v>
      </c>
    </row>
    <row r="404" spans="1:9" x14ac:dyDescent="0.3">
      <c r="A404" s="1">
        <v>45738</v>
      </c>
      <c r="B404" t="s">
        <v>15</v>
      </c>
      <c r="C404">
        <v>35</v>
      </c>
      <c r="D404">
        <v>0.04</v>
      </c>
      <c r="E404">
        <v>0</v>
      </c>
      <c r="F404">
        <v>2</v>
      </c>
      <c r="G404" t="b">
        <v>0</v>
      </c>
      <c r="H404">
        <f>IF(inventory__Data[[#This Row],[stock_on_hand]]&lt;=0,1,0)</f>
        <v>0</v>
      </c>
      <c r="I404">
        <f>COUNTIFS(inventory__Data[product_id],inventory__Data[[#This Row],[product_id]],inventory__Data[stock_on_hand],"&lt;=0")</f>
        <v>30</v>
      </c>
    </row>
    <row r="405" spans="1:9" x14ac:dyDescent="0.3">
      <c r="A405" s="1">
        <v>45738</v>
      </c>
      <c r="B405" t="s">
        <v>18</v>
      </c>
      <c r="C405">
        <v>872</v>
      </c>
      <c r="D405">
        <v>0.15</v>
      </c>
      <c r="E405">
        <v>0</v>
      </c>
      <c r="F405">
        <v>15</v>
      </c>
      <c r="G405" t="b">
        <v>0</v>
      </c>
      <c r="H405">
        <f>IF(inventory__Data[[#This Row],[stock_on_hand]]&lt;=0,1,0)</f>
        <v>0</v>
      </c>
      <c r="I405">
        <f>COUNTIFS(inventory__Data[product_id],inventory__Data[[#This Row],[product_id]],inventory__Data[stock_on_hand],"&lt;=0")</f>
        <v>30</v>
      </c>
    </row>
    <row r="406" spans="1:9" x14ac:dyDescent="0.3">
      <c r="A406" s="1">
        <v>45738</v>
      </c>
      <c r="B406" t="s">
        <v>21</v>
      </c>
      <c r="C406">
        <v>548</v>
      </c>
      <c r="D406">
        <v>0.03</v>
      </c>
      <c r="E406">
        <v>0</v>
      </c>
      <c r="F406">
        <v>2</v>
      </c>
      <c r="G406" t="b">
        <v>0</v>
      </c>
      <c r="H406">
        <f>IF(inventory__Data[[#This Row],[stock_on_hand]]&lt;=0,1,0)</f>
        <v>0</v>
      </c>
      <c r="I406">
        <f>COUNTIFS(inventory__Data[product_id],inventory__Data[[#This Row],[product_id]],inventory__Data[stock_on_hand],"&lt;=0")</f>
        <v>29</v>
      </c>
    </row>
    <row r="407" spans="1:9" x14ac:dyDescent="0.3">
      <c r="A407" s="1">
        <v>45739</v>
      </c>
      <c r="B407" t="s">
        <v>9</v>
      </c>
      <c r="C407">
        <v>0</v>
      </c>
      <c r="D407">
        <v>0.05</v>
      </c>
      <c r="E407">
        <v>0</v>
      </c>
      <c r="F407">
        <v>15</v>
      </c>
      <c r="G407" t="b">
        <v>0</v>
      </c>
      <c r="H407">
        <f>IF(inventory__Data[[#This Row],[stock_on_hand]]&lt;=0,1,0)</f>
        <v>1</v>
      </c>
      <c r="I407">
        <f>COUNTIFS(inventory__Data[product_id],inventory__Data[[#This Row],[product_id]],inventory__Data[stock_on_hand],"&lt;=0")</f>
        <v>25</v>
      </c>
    </row>
    <row r="408" spans="1:9" x14ac:dyDescent="0.3">
      <c r="A408" s="1">
        <v>45739</v>
      </c>
      <c r="B408" t="s">
        <v>12</v>
      </c>
      <c r="C408">
        <v>265</v>
      </c>
      <c r="D408">
        <v>0.02</v>
      </c>
      <c r="E408">
        <v>0</v>
      </c>
      <c r="F408">
        <v>5</v>
      </c>
      <c r="G408" t="b">
        <v>0</v>
      </c>
      <c r="H408">
        <f>IF(inventory__Data[[#This Row],[stock_on_hand]]&lt;=0,1,0)</f>
        <v>0</v>
      </c>
      <c r="I408">
        <f>COUNTIFS(inventory__Data[product_id],inventory__Data[[#This Row],[product_id]],inventory__Data[stock_on_hand],"&lt;=0")</f>
        <v>23</v>
      </c>
    </row>
    <row r="409" spans="1:9" x14ac:dyDescent="0.3">
      <c r="A409" s="1">
        <v>45739</v>
      </c>
      <c r="B409" t="s">
        <v>15</v>
      </c>
      <c r="C409">
        <v>407</v>
      </c>
      <c r="D409">
        <v>0.04</v>
      </c>
      <c r="E409">
        <v>0</v>
      </c>
      <c r="F409">
        <v>2</v>
      </c>
      <c r="G409" t="b">
        <v>0</v>
      </c>
      <c r="H409">
        <f>IF(inventory__Data[[#This Row],[stock_on_hand]]&lt;=0,1,0)</f>
        <v>0</v>
      </c>
      <c r="I409">
        <f>COUNTIFS(inventory__Data[product_id],inventory__Data[[#This Row],[product_id]],inventory__Data[stock_on_hand],"&lt;=0")</f>
        <v>30</v>
      </c>
    </row>
    <row r="410" spans="1:9" x14ac:dyDescent="0.3">
      <c r="A410" s="1">
        <v>45739</v>
      </c>
      <c r="B410" t="s">
        <v>18</v>
      </c>
      <c r="C410">
        <v>644</v>
      </c>
      <c r="D410">
        <v>0.15</v>
      </c>
      <c r="E410">
        <v>0</v>
      </c>
      <c r="F410">
        <v>10</v>
      </c>
      <c r="G410" t="b">
        <v>0</v>
      </c>
      <c r="H410">
        <f>IF(inventory__Data[[#This Row],[stock_on_hand]]&lt;=0,1,0)</f>
        <v>0</v>
      </c>
      <c r="I410">
        <f>COUNTIFS(inventory__Data[product_id],inventory__Data[[#This Row],[product_id]],inventory__Data[stock_on_hand],"&lt;=0")</f>
        <v>30</v>
      </c>
    </row>
    <row r="411" spans="1:9" x14ac:dyDescent="0.3">
      <c r="A411" s="1">
        <v>45739</v>
      </c>
      <c r="B411" t="s">
        <v>21</v>
      </c>
      <c r="C411">
        <v>691</v>
      </c>
      <c r="D411">
        <v>0.03</v>
      </c>
      <c r="E411">
        <v>0</v>
      </c>
      <c r="F411">
        <v>2</v>
      </c>
      <c r="G411" t="b">
        <v>0</v>
      </c>
      <c r="H411">
        <f>IF(inventory__Data[[#This Row],[stock_on_hand]]&lt;=0,1,0)</f>
        <v>0</v>
      </c>
      <c r="I411">
        <f>COUNTIFS(inventory__Data[product_id],inventory__Data[[#This Row],[product_id]],inventory__Data[stock_on_hand],"&lt;=0")</f>
        <v>29</v>
      </c>
    </row>
    <row r="412" spans="1:9" x14ac:dyDescent="0.3">
      <c r="A412" s="1">
        <v>45740</v>
      </c>
      <c r="B412" t="s">
        <v>9</v>
      </c>
      <c r="C412">
        <v>591</v>
      </c>
      <c r="D412">
        <v>0.05</v>
      </c>
      <c r="E412">
        <v>0</v>
      </c>
      <c r="F412">
        <v>2</v>
      </c>
      <c r="G412" t="b">
        <v>0</v>
      </c>
      <c r="H412">
        <f>IF(inventory__Data[[#This Row],[stock_on_hand]]&lt;=0,1,0)</f>
        <v>0</v>
      </c>
      <c r="I412">
        <f>COUNTIFS(inventory__Data[product_id],inventory__Data[[#This Row],[product_id]],inventory__Data[stock_on_hand],"&lt;=0")</f>
        <v>25</v>
      </c>
    </row>
    <row r="413" spans="1:9" x14ac:dyDescent="0.3">
      <c r="A413" s="1">
        <v>45740</v>
      </c>
      <c r="B413" t="s">
        <v>12</v>
      </c>
      <c r="C413">
        <v>204</v>
      </c>
      <c r="D413">
        <v>0.02</v>
      </c>
      <c r="E413">
        <v>0</v>
      </c>
      <c r="F413">
        <v>5</v>
      </c>
      <c r="G413" t="b">
        <v>0</v>
      </c>
      <c r="H413">
        <f>IF(inventory__Data[[#This Row],[stock_on_hand]]&lt;=0,1,0)</f>
        <v>0</v>
      </c>
      <c r="I413">
        <f>COUNTIFS(inventory__Data[product_id],inventory__Data[[#This Row],[product_id]],inventory__Data[stock_on_hand],"&lt;=0")</f>
        <v>23</v>
      </c>
    </row>
    <row r="414" spans="1:9" x14ac:dyDescent="0.3">
      <c r="A414" s="1">
        <v>45740</v>
      </c>
      <c r="B414" t="s">
        <v>15</v>
      </c>
      <c r="C414">
        <v>667</v>
      </c>
      <c r="D414">
        <v>0.04</v>
      </c>
      <c r="E414">
        <v>0</v>
      </c>
      <c r="F414">
        <v>5</v>
      </c>
      <c r="G414" t="b">
        <v>0</v>
      </c>
      <c r="H414">
        <f>IF(inventory__Data[[#This Row],[stock_on_hand]]&lt;=0,1,0)</f>
        <v>0</v>
      </c>
      <c r="I414">
        <f>COUNTIFS(inventory__Data[product_id],inventory__Data[[#This Row],[product_id]],inventory__Data[stock_on_hand],"&lt;=0")</f>
        <v>30</v>
      </c>
    </row>
    <row r="415" spans="1:9" x14ac:dyDescent="0.3">
      <c r="A415" s="1">
        <v>45740</v>
      </c>
      <c r="B415" t="s">
        <v>18</v>
      </c>
      <c r="C415">
        <v>320</v>
      </c>
      <c r="D415">
        <v>0.15</v>
      </c>
      <c r="E415">
        <v>0</v>
      </c>
      <c r="F415">
        <v>2</v>
      </c>
      <c r="G415" t="b">
        <v>0</v>
      </c>
      <c r="H415">
        <f>IF(inventory__Data[[#This Row],[stock_on_hand]]&lt;=0,1,0)</f>
        <v>0</v>
      </c>
      <c r="I415">
        <f>COUNTIFS(inventory__Data[product_id],inventory__Data[[#This Row],[product_id]],inventory__Data[stock_on_hand],"&lt;=0")</f>
        <v>30</v>
      </c>
    </row>
    <row r="416" spans="1:9" x14ac:dyDescent="0.3">
      <c r="A416" s="1">
        <v>45740</v>
      </c>
      <c r="B416" t="s">
        <v>21</v>
      </c>
      <c r="C416">
        <v>317</v>
      </c>
      <c r="D416">
        <v>0.03</v>
      </c>
      <c r="E416">
        <v>0</v>
      </c>
      <c r="F416">
        <v>2</v>
      </c>
      <c r="G416" t="b">
        <v>0</v>
      </c>
      <c r="H416">
        <f>IF(inventory__Data[[#This Row],[stock_on_hand]]&lt;=0,1,0)</f>
        <v>0</v>
      </c>
      <c r="I416">
        <f>COUNTIFS(inventory__Data[product_id],inventory__Data[[#This Row],[product_id]],inventory__Data[stock_on_hand],"&lt;=0")</f>
        <v>29</v>
      </c>
    </row>
    <row r="417" spans="1:9" x14ac:dyDescent="0.3">
      <c r="A417" s="1">
        <v>45741</v>
      </c>
      <c r="B417" t="s">
        <v>9</v>
      </c>
      <c r="C417">
        <v>865</v>
      </c>
      <c r="D417">
        <v>0.05</v>
      </c>
      <c r="E417">
        <v>0</v>
      </c>
      <c r="F417">
        <v>5</v>
      </c>
      <c r="G417" t="b">
        <v>0</v>
      </c>
      <c r="H417">
        <f>IF(inventory__Data[[#This Row],[stock_on_hand]]&lt;=0,1,0)</f>
        <v>0</v>
      </c>
      <c r="I417">
        <f>COUNTIFS(inventory__Data[product_id],inventory__Data[[#This Row],[product_id]],inventory__Data[stock_on_hand],"&lt;=0")</f>
        <v>25</v>
      </c>
    </row>
    <row r="418" spans="1:9" x14ac:dyDescent="0.3">
      <c r="A418" s="1">
        <v>45741</v>
      </c>
      <c r="B418" t="s">
        <v>12</v>
      </c>
      <c r="C418">
        <v>450</v>
      </c>
      <c r="D418">
        <v>0.02</v>
      </c>
      <c r="E418">
        <v>0</v>
      </c>
      <c r="F418">
        <v>2</v>
      </c>
      <c r="G418" t="b">
        <v>0</v>
      </c>
      <c r="H418">
        <f>IF(inventory__Data[[#This Row],[stock_on_hand]]&lt;=0,1,0)</f>
        <v>0</v>
      </c>
      <c r="I418">
        <f>COUNTIFS(inventory__Data[product_id],inventory__Data[[#This Row],[product_id]],inventory__Data[stock_on_hand],"&lt;=0")</f>
        <v>23</v>
      </c>
    </row>
    <row r="419" spans="1:9" x14ac:dyDescent="0.3">
      <c r="A419" s="1">
        <v>45741</v>
      </c>
      <c r="B419" t="s">
        <v>15</v>
      </c>
      <c r="C419">
        <v>402</v>
      </c>
      <c r="D419">
        <v>0.04</v>
      </c>
      <c r="E419">
        <v>0</v>
      </c>
      <c r="F419">
        <v>2</v>
      </c>
      <c r="G419" t="b">
        <v>0</v>
      </c>
      <c r="H419">
        <f>IF(inventory__Data[[#This Row],[stock_on_hand]]&lt;=0,1,0)</f>
        <v>0</v>
      </c>
      <c r="I419">
        <f>COUNTIFS(inventory__Data[product_id],inventory__Data[[#This Row],[product_id]],inventory__Data[stock_on_hand],"&lt;=0")</f>
        <v>30</v>
      </c>
    </row>
    <row r="420" spans="1:9" x14ac:dyDescent="0.3">
      <c r="A420" s="1">
        <v>45741</v>
      </c>
      <c r="B420" t="s">
        <v>18</v>
      </c>
      <c r="C420">
        <v>648</v>
      </c>
      <c r="D420">
        <v>0.15</v>
      </c>
      <c r="E420">
        <v>0</v>
      </c>
      <c r="F420">
        <v>2</v>
      </c>
      <c r="G420" t="b">
        <v>0</v>
      </c>
      <c r="H420">
        <f>IF(inventory__Data[[#This Row],[stock_on_hand]]&lt;=0,1,0)</f>
        <v>0</v>
      </c>
      <c r="I420">
        <f>COUNTIFS(inventory__Data[product_id],inventory__Data[[#This Row],[product_id]],inventory__Data[stock_on_hand],"&lt;=0")</f>
        <v>30</v>
      </c>
    </row>
    <row r="421" spans="1:9" x14ac:dyDescent="0.3">
      <c r="A421" s="1">
        <v>45741</v>
      </c>
      <c r="B421" t="s">
        <v>21</v>
      </c>
      <c r="C421">
        <v>710</v>
      </c>
      <c r="D421">
        <v>0.03</v>
      </c>
      <c r="E421">
        <v>0</v>
      </c>
      <c r="F421">
        <v>2</v>
      </c>
      <c r="G421" t="b">
        <v>0</v>
      </c>
      <c r="H421">
        <f>IF(inventory__Data[[#This Row],[stock_on_hand]]&lt;=0,1,0)</f>
        <v>0</v>
      </c>
      <c r="I421">
        <f>COUNTIFS(inventory__Data[product_id],inventory__Data[[#This Row],[product_id]],inventory__Data[stock_on_hand],"&lt;=0")</f>
        <v>29</v>
      </c>
    </row>
    <row r="422" spans="1:9" x14ac:dyDescent="0.3">
      <c r="A422" s="1">
        <v>45742</v>
      </c>
      <c r="B422" t="s">
        <v>9</v>
      </c>
      <c r="C422">
        <v>231</v>
      </c>
      <c r="D422">
        <v>0.05</v>
      </c>
      <c r="E422">
        <v>0</v>
      </c>
      <c r="F422">
        <v>5</v>
      </c>
      <c r="G422" t="b">
        <v>0</v>
      </c>
      <c r="H422">
        <f>IF(inventory__Data[[#This Row],[stock_on_hand]]&lt;=0,1,0)</f>
        <v>0</v>
      </c>
      <c r="I422">
        <f>COUNTIFS(inventory__Data[product_id],inventory__Data[[#This Row],[product_id]],inventory__Data[stock_on_hand],"&lt;=0")</f>
        <v>25</v>
      </c>
    </row>
    <row r="423" spans="1:9" x14ac:dyDescent="0.3">
      <c r="A423" s="1">
        <v>45742</v>
      </c>
      <c r="B423" t="s">
        <v>12</v>
      </c>
      <c r="C423">
        <v>214</v>
      </c>
      <c r="D423">
        <v>0.02</v>
      </c>
      <c r="E423">
        <v>0</v>
      </c>
      <c r="F423">
        <v>2</v>
      </c>
      <c r="G423" t="b">
        <v>0</v>
      </c>
      <c r="H423">
        <f>IF(inventory__Data[[#This Row],[stock_on_hand]]&lt;=0,1,0)</f>
        <v>0</v>
      </c>
      <c r="I423">
        <f>COUNTIFS(inventory__Data[product_id],inventory__Data[[#This Row],[product_id]],inventory__Data[stock_on_hand],"&lt;=0")</f>
        <v>23</v>
      </c>
    </row>
    <row r="424" spans="1:9" x14ac:dyDescent="0.3">
      <c r="A424" s="1">
        <v>45742</v>
      </c>
      <c r="B424" t="s">
        <v>15</v>
      </c>
      <c r="C424">
        <v>530</v>
      </c>
      <c r="D424">
        <v>0.04</v>
      </c>
      <c r="E424">
        <v>0</v>
      </c>
      <c r="F424">
        <v>2</v>
      </c>
      <c r="G424" t="b">
        <v>0</v>
      </c>
      <c r="H424">
        <f>IF(inventory__Data[[#This Row],[stock_on_hand]]&lt;=0,1,0)</f>
        <v>0</v>
      </c>
      <c r="I424">
        <f>COUNTIFS(inventory__Data[product_id],inventory__Data[[#This Row],[product_id]],inventory__Data[stock_on_hand],"&lt;=0")</f>
        <v>30</v>
      </c>
    </row>
    <row r="425" spans="1:9" x14ac:dyDescent="0.3">
      <c r="A425" s="1">
        <v>45742</v>
      </c>
      <c r="B425" t="s">
        <v>18</v>
      </c>
      <c r="C425">
        <v>277</v>
      </c>
      <c r="D425">
        <v>0.15</v>
      </c>
      <c r="E425">
        <v>0</v>
      </c>
      <c r="F425">
        <v>2</v>
      </c>
      <c r="G425" t="b">
        <v>0</v>
      </c>
      <c r="H425">
        <f>IF(inventory__Data[[#This Row],[stock_on_hand]]&lt;=0,1,0)</f>
        <v>0</v>
      </c>
      <c r="I425">
        <f>COUNTIFS(inventory__Data[product_id],inventory__Data[[#This Row],[product_id]],inventory__Data[stock_on_hand],"&lt;=0")</f>
        <v>30</v>
      </c>
    </row>
    <row r="426" spans="1:9" x14ac:dyDescent="0.3">
      <c r="A426" s="1">
        <v>45742</v>
      </c>
      <c r="B426" t="s">
        <v>21</v>
      </c>
      <c r="C426">
        <v>645</v>
      </c>
      <c r="D426">
        <v>0.03</v>
      </c>
      <c r="E426">
        <v>0</v>
      </c>
      <c r="F426">
        <v>2</v>
      </c>
      <c r="G426" t="b">
        <v>0</v>
      </c>
      <c r="H426">
        <f>IF(inventory__Data[[#This Row],[stock_on_hand]]&lt;=0,1,0)</f>
        <v>0</v>
      </c>
      <c r="I426">
        <f>COUNTIFS(inventory__Data[product_id],inventory__Data[[#This Row],[product_id]],inventory__Data[stock_on_hand],"&lt;=0")</f>
        <v>29</v>
      </c>
    </row>
    <row r="427" spans="1:9" x14ac:dyDescent="0.3">
      <c r="A427" s="1">
        <v>45743</v>
      </c>
      <c r="B427" t="s">
        <v>9</v>
      </c>
      <c r="C427">
        <v>580</v>
      </c>
      <c r="D427">
        <v>0.05</v>
      </c>
      <c r="E427">
        <v>0</v>
      </c>
      <c r="F427">
        <v>2</v>
      </c>
      <c r="G427" t="b">
        <v>0</v>
      </c>
      <c r="H427">
        <f>IF(inventory__Data[[#This Row],[stock_on_hand]]&lt;=0,1,0)</f>
        <v>0</v>
      </c>
      <c r="I427">
        <f>COUNTIFS(inventory__Data[product_id],inventory__Data[[#This Row],[product_id]],inventory__Data[stock_on_hand],"&lt;=0")</f>
        <v>25</v>
      </c>
    </row>
    <row r="428" spans="1:9" x14ac:dyDescent="0.3">
      <c r="A428" s="1">
        <v>45743</v>
      </c>
      <c r="B428" t="s">
        <v>12</v>
      </c>
      <c r="C428">
        <v>276</v>
      </c>
      <c r="D428">
        <v>0.02</v>
      </c>
      <c r="E428">
        <v>0</v>
      </c>
      <c r="F428">
        <v>10</v>
      </c>
      <c r="G428" t="b">
        <v>0</v>
      </c>
      <c r="H428">
        <f>IF(inventory__Data[[#This Row],[stock_on_hand]]&lt;=0,1,0)</f>
        <v>0</v>
      </c>
      <c r="I428">
        <f>COUNTIFS(inventory__Data[product_id],inventory__Data[[#This Row],[product_id]],inventory__Data[stock_on_hand],"&lt;=0")</f>
        <v>23</v>
      </c>
    </row>
    <row r="429" spans="1:9" x14ac:dyDescent="0.3">
      <c r="A429" s="1">
        <v>45743</v>
      </c>
      <c r="B429" t="s">
        <v>15</v>
      </c>
      <c r="C429">
        <v>824</v>
      </c>
      <c r="D429">
        <v>0.04</v>
      </c>
      <c r="E429">
        <v>0</v>
      </c>
      <c r="F429">
        <v>2</v>
      </c>
      <c r="G429" t="b">
        <v>0</v>
      </c>
      <c r="H429">
        <f>IF(inventory__Data[[#This Row],[stock_on_hand]]&lt;=0,1,0)</f>
        <v>0</v>
      </c>
      <c r="I429">
        <f>COUNTIFS(inventory__Data[product_id],inventory__Data[[#This Row],[product_id]],inventory__Data[stock_on_hand],"&lt;=0")</f>
        <v>30</v>
      </c>
    </row>
    <row r="430" spans="1:9" x14ac:dyDescent="0.3">
      <c r="A430" s="1">
        <v>45743</v>
      </c>
      <c r="B430" t="s">
        <v>18</v>
      </c>
      <c r="C430">
        <v>298</v>
      </c>
      <c r="D430">
        <v>0.15</v>
      </c>
      <c r="E430">
        <v>0</v>
      </c>
      <c r="F430">
        <v>5</v>
      </c>
      <c r="G430" t="b">
        <v>0</v>
      </c>
      <c r="H430">
        <f>IF(inventory__Data[[#This Row],[stock_on_hand]]&lt;=0,1,0)</f>
        <v>0</v>
      </c>
      <c r="I430">
        <f>COUNTIFS(inventory__Data[product_id],inventory__Data[[#This Row],[product_id]],inventory__Data[stock_on_hand],"&lt;=0")</f>
        <v>30</v>
      </c>
    </row>
    <row r="431" spans="1:9" x14ac:dyDescent="0.3">
      <c r="A431" s="1">
        <v>45743</v>
      </c>
      <c r="B431" t="s">
        <v>21</v>
      </c>
      <c r="C431">
        <v>283</v>
      </c>
      <c r="D431">
        <v>0.03</v>
      </c>
      <c r="E431">
        <v>0</v>
      </c>
      <c r="F431">
        <v>2</v>
      </c>
      <c r="G431" t="b">
        <v>0</v>
      </c>
      <c r="H431">
        <f>IF(inventory__Data[[#This Row],[stock_on_hand]]&lt;=0,1,0)</f>
        <v>0</v>
      </c>
      <c r="I431">
        <f>COUNTIFS(inventory__Data[product_id],inventory__Data[[#This Row],[product_id]],inventory__Data[stock_on_hand],"&lt;=0")</f>
        <v>29</v>
      </c>
    </row>
    <row r="432" spans="1:9" x14ac:dyDescent="0.3">
      <c r="A432" s="1">
        <v>45744</v>
      </c>
      <c r="B432" t="s">
        <v>9</v>
      </c>
      <c r="C432">
        <v>0</v>
      </c>
      <c r="D432">
        <v>0.05</v>
      </c>
      <c r="E432">
        <v>0</v>
      </c>
      <c r="F432">
        <v>2</v>
      </c>
      <c r="G432" t="b">
        <v>0</v>
      </c>
      <c r="H432">
        <f>IF(inventory__Data[[#This Row],[stock_on_hand]]&lt;=0,1,0)</f>
        <v>1</v>
      </c>
      <c r="I432">
        <f>COUNTIFS(inventory__Data[product_id],inventory__Data[[#This Row],[product_id]],inventory__Data[stock_on_hand],"&lt;=0")</f>
        <v>25</v>
      </c>
    </row>
    <row r="433" spans="1:9" x14ac:dyDescent="0.3">
      <c r="A433" s="1">
        <v>45744</v>
      </c>
      <c r="B433" t="s">
        <v>12</v>
      </c>
      <c r="C433">
        <v>727</v>
      </c>
      <c r="D433">
        <v>0.02</v>
      </c>
      <c r="E433">
        <v>0</v>
      </c>
      <c r="F433">
        <v>2</v>
      </c>
      <c r="G433" t="b">
        <v>0</v>
      </c>
      <c r="H433">
        <f>IF(inventory__Data[[#This Row],[stock_on_hand]]&lt;=0,1,0)</f>
        <v>0</v>
      </c>
      <c r="I433">
        <f>COUNTIFS(inventory__Data[product_id],inventory__Data[[#This Row],[product_id]],inventory__Data[stock_on_hand],"&lt;=0")</f>
        <v>23</v>
      </c>
    </row>
    <row r="434" spans="1:9" x14ac:dyDescent="0.3">
      <c r="A434" s="1">
        <v>45744</v>
      </c>
      <c r="B434" t="s">
        <v>15</v>
      </c>
      <c r="C434">
        <v>309</v>
      </c>
      <c r="D434">
        <v>0.04</v>
      </c>
      <c r="E434">
        <v>0</v>
      </c>
      <c r="F434">
        <v>2</v>
      </c>
      <c r="G434" t="b">
        <v>0</v>
      </c>
      <c r="H434">
        <f>IF(inventory__Data[[#This Row],[stock_on_hand]]&lt;=0,1,0)</f>
        <v>0</v>
      </c>
      <c r="I434">
        <f>COUNTIFS(inventory__Data[product_id],inventory__Data[[#This Row],[product_id]],inventory__Data[stock_on_hand],"&lt;=0")</f>
        <v>30</v>
      </c>
    </row>
    <row r="435" spans="1:9" x14ac:dyDescent="0.3">
      <c r="A435" s="1">
        <v>45744</v>
      </c>
      <c r="B435" t="s">
        <v>18</v>
      </c>
      <c r="C435">
        <v>562</v>
      </c>
      <c r="D435">
        <v>0.15</v>
      </c>
      <c r="E435">
        <v>0</v>
      </c>
      <c r="F435">
        <v>2</v>
      </c>
      <c r="G435" t="b">
        <v>0</v>
      </c>
      <c r="H435">
        <f>IF(inventory__Data[[#This Row],[stock_on_hand]]&lt;=0,1,0)</f>
        <v>0</v>
      </c>
      <c r="I435">
        <f>COUNTIFS(inventory__Data[product_id],inventory__Data[[#This Row],[product_id]],inventory__Data[stock_on_hand],"&lt;=0")</f>
        <v>30</v>
      </c>
    </row>
    <row r="436" spans="1:9" x14ac:dyDescent="0.3">
      <c r="A436" s="1">
        <v>45744</v>
      </c>
      <c r="B436" t="s">
        <v>21</v>
      </c>
      <c r="C436">
        <v>659</v>
      </c>
      <c r="D436">
        <v>0.03</v>
      </c>
      <c r="E436">
        <v>0</v>
      </c>
      <c r="F436">
        <v>2</v>
      </c>
      <c r="G436" t="b">
        <v>0</v>
      </c>
      <c r="H436">
        <f>IF(inventory__Data[[#This Row],[stock_on_hand]]&lt;=0,1,0)</f>
        <v>0</v>
      </c>
      <c r="I436">
        <f>COUNTIFS(inventory__Data[product_id],inventory__Data[[#This Row],[product_id]],inventory__Data[stock_on_hand],"&lt;=0")</f>
        <v>29</v>
      </c>
    </row>
    <row r="437" spans="1:9" x14ac:dyDescent="0.3">
      <c r="A437" s="1">
        <v>45745</v>
      </c>
      <c r="B437" t="s">
        <v>9</v>
      </c>
      <c r="C437">
        <v>437</v>
      </c>
      <c r="D437">
        <v>0.05</v>
      </c>
      <c r="E437">
        <v>0</v>
      </c>
      <c r="F437">
        <v>2</v>
      </c>
      <c r="G437" t="b">
        <v>0</v>
      </c>
      <c r="H437">
        <f>IF(inventory__Data[[#This Row],[stock_on_hand]]&lt;=0,1,0)</f>
        <v>0</v>
      </c>
      <c r="I437">
        <f>COUNTIFS(inventory__Data[product_id],inventory__Data[[#This Row],[product_id]],inventory__Data[stock_on_hand],"&lt;=0")</f>
        <v>25</v>
      </c>
    </row>
    <row r="438" spans="1:9" x14ac:dyDescent="0.3">
      <c r="A438" s="1">
        <v>45745</v>
      </c>
      <c r="B438" t="s">
        <v>12</v>
      </c>
      <c r="C438">
        <v>546</v>
      </c>
      <c r="D438">
        <v>0.02</v>
      </c>
      <c r="E438">
        <v>0</v>
      </c>
      <c r="F438">
        <v>5</v>
      </c>
      <c r="G438" t="b">
        <v>0</v>
      </c>
      <c r="H438">
        <f>IF(inventory__Data[[#This Row],[stock_on_hand]]&lt;=0,1,0)</f>
        <v>0</v>
      </c>
      <c r="I438">
        <f>COUNTIFS(inventory__Data[product_id],inventory__Data[[#This Row],[product_id]],inventory__Data[stock_on_hand],"&lt;=0")</f>
        <v>23</v>
      </c>
    </row>
    <row r="439" spans="1:9" x14ac:dyDescent="0.3">
      <c r="A439" s="1">
        <v>45745</v>
      </c>
      <c r="B439" t="s">
        <v>15</v>
      </c>
      <c r="C439">
        <v>541</v>
      </c>
      <c r="D439">
        <v>0.04</v>
      </c>
      <c r="E439">
        <v>0</v>
      </c>
      <c r="F439">
        <v>5</v>
      </c>
      <c r="G439" t="b">
        <v>0</v>
      </c>
      <c r="H439">
        <f>IF(inventory__Data[[#This Row],[stock_on_hand]]&lt;=0,1,0)</f>
        <v>0</v>
      </c>
      <c r="I439">
        <f>COUNTIFS(inventory__Data[product_id],inventory__Data[[#This Row],[product_id]],inventory__Data[stock_on_hand],"&lt;=0")</f>
        <v>30</v>
      </c>
    </row>
    <row r="440" spans="1:9" x14ac:dyDescent="0.3">
      <c r="A440" s="1">
        <v>45745</v>
      </c>
      <c r="B440" t="s">
        <v>18</v>
      </c>
      <c r="C440">
        <v>389</v>
      </c>
      <c r="D440">
        <v>0.15</v>
      </c>
      <c r="E440">
        <v>0</v>
      </c>
      <c r="F440">
        <v>2</v>
      </c>
      <c r="G440" t="b">
        <v>0</v>
      </c>
      <c r="H440">
        <f>IF(inventory__Data[[#This Row],[stock_on_hand]]&lt;=0,1,0)</f>
        <v>0</v>
      </c>
      <c r="I440">
        <f>COUNTIFS(inventory__Data[product_id],inventory__Data[[#This Row],[product_id]],inventory__Data[stock_on_hand],"&lt;=0")</f>
        <v>30</v>
      </c>
    </row>
    <row r="441" spans="1:9" x14ac:dyDescent="0.3">
      <c r="A441" s="1">
        <v>45745</v>
      </c>
      <c r="B441" t="s">
        <v>21</v>
      </c>
      <c r="C441">
        <v>485</v>
      </c>
      <c r="D441">
        <v>0.03</v>
      </c>
      <c r="E441">
        <v>0</v>
      </c>
      <c r="F441">
        <v>5</v>
      </c>
      <c r="G441" t="b">
        <v>0</v>
      </c>
      <c r="H441">
        <f>IF(inventory__Data[[#This Row],[stock_on_hand]]&lt;=0,1,0)</f>
        <v>0</v>
      </c>
      <c r="I441">
        <f>COUNTIFS(inventory__Data[product_id],inventory__Data[[#This Row],[product_id]],inventory__Data[stock_on_hand],"&lt;=0")</f>
        <v>29</v>
      </c>
    </row>
    <row r="442" spans="1:9" x14ac:dyDescent="0.3">
      <c r="A442" s="1">
        <v>45746</v>
      </c>
      <c r="B442" t="s">
        <v>9</v>
      </c>
      <c r="C442">
        <v>457</v>
      </c>
      <c r="D442">
        <v>0.05</v>
      </c>
      <c r="E442">
        <v>0</v>
      </c>
      <c r="F442">
        <v>2</v>
      </c>
      <c r="G442" t="b">
        <v>0</v>
      </c>
      <c r="H442">
        <f>IF(inventory__Data[[#This Row],[stock_on_hand]]&lt;=0,1,0)</f>
        <v>0</v>
      </c>
      <c r="I442">
        <f>COUNTIFS(inventory__Data[product_id],inventory__Data[[#This Row],[product_id]],inventory__Data[stock_on_hand],"&lt;=0")</f>
        <v>25</v>
      </c>
    </row>
    <row r="443" spans="1:9" x14ac:dyDescent="0.3">
      <c r="A443" s="1">
        <v>45746</v>
      </c>
      <c r="B443" t="s">
        <v>12</v>
      </c>
      <c r="C443">
        <v>437</v>
      </c>
      <c r="D443">
        <v>0.02</v>
      </c>
      <c r="E443">
        <v>0</v>
      </c>
      <c r="F443">
        <v>2</v>
      </c>
      <c r="G443" t="b">
        <v>0</v>
      </c>
      <c r="H443">
        <f>IF(inventory__Data[[#This Row],[stock_on_hand]]&lt;=0,1,0)</f>
        <v>0</v>
      </c>
      <c r="I443">
        <f>COUNTIFS(inventory__Data[product_id],inventory__Data[[#This Row],[product_id]],inventory__Data[stock_on_hand],"&lt;=0")</f>
        <v>23</v>
      </c>
    </row>
    <row r="444" spans="1:9" x14ac:dyDescent="0.3">
      <c r="A444" s="1">
        <v>45746</v>
      </c>
      <c r="B444" t="s">
        <v>15</v>
      </c>
      <c r="C444">
        <v>760</v>
      </c>
      <c r="D444">
        <v>0.04</v>
      </c>
      <c r="E444">
        <v>0</v>
      </c>
      <c r="F444">
        <v>2</v>
      </c>
      <c r="G444" t="b">
        <v>0</v>
      </c>
      <c r="H444">
        <f>IF(inventory__Data[[#This Row],[stock_on_hand]]&lt;=0,1,0)</f>
        <v>0</v>
      </c>
      <c r="I444">
        <f>COUNTIFS(inventory__Data[product_id],inventory__Data[[#This Row],[product_id]],inventory__Data[stock_on_hand],"&lt;=0")</f>
        <v>30</v>
      </c>
    </row>
    <row r="445" spans="1:9" x14ac:dyDescent="0.3">
      <c r="A445" s="1">
        <v>45746</v>
      </c>
      <c r="B445" t="s">
        <v>18</v>
      </c>
      <c r="C445">
        <v>559</v>
      </c>
      <c r="D445">
        <v>0.15</v>
      </c>
      <c r="E445">
        <v>0</v>
      </c>
      <c r="F445">
        <v>2</v>
      </c>
      <c r="G445" t="b">
        <v>0</v>
      </c>
      <c r="H445">
        <f>IF(inventory__Data[[#This Row],[stock_on_hand]]&lt;=0,1,0)</f>
        <v>0</v>
      </c>
      <c r="I445">
        <f>COUNTIFS(inventory__Data[product_id],inventory__Data[[#This Row],[product_id]],inventory__Data[stock_on_hand],"&lt;=0")</f>
        <v>30</v>
      </c>
    </row>
    <row r="446" spans="1:9" x14ac:dyDescent="0.3">
      <c r="A446" s="1">
        <v>45746</v>
      </c>
      <c r="B446" t="s">
        <v>21</v>
      </c>
      <c r="C446">
        <v>370</v>
      </c>
      <c r="D446">
        <v>0.03</v>
      </c>
      <c r="E446">
        <v>0</v>
      </c>
      <c r="F446">
        <v>10</v>
      </c>
      <c r="G446" t="b">
        <v>0</v>
      </c>
      <c r="H446">
        <f>IF(inventory__Data[[#This Row],[stock_on_hand]]&lt;=0,1,0)</f>
        <v>0</v>
      </c>
      <c r="I446">
        <f>COUNTIFS(inventory__Data[product_id],inventory__Data[[#This Row],[product_id]],inventory__Data[stock_on_hand],"&lt;=0")</f>
        <v>29</v>
      </c>
    </row>
    <row r="447" spans="1:9" x14ac:dyDescent="0.3">
      <c r="A447" s="1">
        <v>45747</v>
      </c>
      <c r="B447" t="s">
        <v>9</v>
      </c>
      <c r="C447">
        <v>27</v>
      </c>
      <c r="D447">
        <v>0.05</v>
      </c>
      <c r="E447">
        <v>0</v>
      </c>
      <c r="F447">
        <v>5</v>
      </c>
      <c r="G447" t="b">
        <v>0</v>
      </c>
      <c r="H447">
        <f>IF(inventory__Data[[#This Row],[stock_on_hand]]&lt;=0,1,0)</f>
        <v>0</v>
      </c>
      <c r="I447">
        <f>COUNTIFS(inventory__Data[product_id],inventory__Data[[#This Row],[product_id]],inventory__Data[stock_on_hand],"&lt;=0")</f>
        <v>25</v>
      </c>
    </row>
    <row r="448" spans="1:9" x14ac:dyDescent="0.3">
      <c r="A448" s="1">
        <v>45747</v>
      </c>
      <c r="B448" t="s">
        <v>12</v>
      </c>
      <c r="C448">
        <v>189</v>
      </c>
      <c r="D448">
        <v>0.02</v>
      </c>
      <c r="E448">
        <v>0</v>
      </c>
      <c r="F448">
        <v>2</v>
      </c>
      <c r="G448" t="b">
        <v>0</v>
      </c>
      <c r="H448">
        <f>IF(inventory__Data[[#This Row],[stock_on_hand]]&lt;=0,1,0)</f>
        <v>0</v>
      </c>
      <c r="I448">
        <f>COUNTIFS(inventory__Data[product_id],inventory__Data[[#This Row],[product_id]],inventory__Data[stock_on_hand],"&lt;=0")</f>
        <v>23</v>
      </c>
    </row>
    <row r="449" spans="1:9" x14ac:dyDescent="0.3">
      <c r="A449" s="1">
        <v>45747</v>
      </c>
      <c r="B449" t="s">
        <v>15</v>
      </c>
      <c r="C449">
        <v>69</v>
      </c>
      <c r="D449">
        <v>0.04</v>
      </c>
      <c r="E449">
        <v>0</v>
      </c>
      <c r="F449">
        <v>15</v>
      </c>
      <c r="G449" t="b">
        <v>0</v>
      </c>
      <c r="H449">
        <f>IF(inventory__Data[[#This Row],[stock_on_hand]]&lt;=0,1,0)</f>
        <v>0</v>
      </c>
      <c r="I449">
        <f>COUNTIFS(inventory__Data[product_id],inventory__Data[[#This Row],[product_id]],inventory__Data[stock_on_hand],"&lt;=0")</f>
        <v>30</v>
      </c>
    </row>
    <row r="450" spans="1:9" x14ac:dyDescent="0.3">
      <c r="A450" s="1">
        <v>45747</v>
      </c>
      <c r="B450" t="s">
        <v>18</v>
      </c>
      <c r="C450">
        <v>662</v>
      </c>
      <c r="D450">
        <v>0.15</v>
      </c>
      <c r="E450">
        <v>0</v>
      </c>
      <c r="F450">
        <v>5</v>
      </c>
      <c r="G450" t="b">
        <v>0</v>
      </c>
      <c r="H450">
        <f>IF(inventory__Data[[#This Row],[stock_on_hand]]&lt;=0,1,0)</f>
        <v>0</v>
      </c>
      <c r="I450">
        <f>COUNTIFS(inventory__Data[product_id],inventory__Data[[#This Row],[product_id]],inventory__Data[stock_on_hand],"&lt;=0")</f>
        <v>30</v>
      </c>
    </row>
    <row r="451" spans="1:9" x14ac:dyDescent="0.3">
      <c r="A451" s="1">
        <v>45747</v>
      </c>
      <c r="B451" t="s">
        <v>21</v>
      </c>
      <c r="C451">
        <v>685</v>
      </c>
      <c r="D451">
        <v>0.03</v>
      </c>
      <c r="E451">
        <v>0</v>
      </c>
      <c r="F451">
        <v>2</v>
      </c>
      <c r="G451" t="b">
        <v>0</v>
      </c>
      <c r="H451">
        <f>IF(inventory__Data[[#This Row],[stock_on_hand]]&lt;=0,1,0)</f>
        <v>0</v>
      </c>
      <c r="I451">
        <f>COUNTIFS(inventory__Data[product_id],inventory__Data[[#This Row],[product_id]],inventory__Data[stock_on_hand],"&lt;=0")</f>
        <v>29</v>
      </c>
    </row>
    <row r="452" spans="1:9" x14ac:dyDescent="0.3">
      <c r="A452" s="1">
        <v>45748</v>
      </c>
      <c r="B452" t="s">
        <v>9</v>
      </c>
      <c r="C452">
        <v>443</v>
      </c>
      <c r="D452">
        <v>0.05</v>
      </c>
      <c r="E452">
        <v>0</v>
      </c>
      <c r="F452">
        <v>15</v>
      </c>
      <c r="G452" t="b">
        <v>0</v>
      </c>
      <c r="H452">
        <f>IF(inventory__Data[[#This Row],[stock_on_hand]]&lt;=0,1,0)</f>
        <v>0</v>
      </c>
      <c r="I452">
        <f>COUNTIFS(inventory__Data[product_id],inventory__Data[[#This Row],[product_id]],inventory__Data[stock_on_hand],"&lt;=0")</f>
        <v>25</v>
      </c>
    </row>
    <row r="453" spans="1:9" x14ac:dyDescent="0.3">
      <c r="A453" s="1">
        <v>45748</v>
      </c>
      <c r="B453" t="s">
        <v>12</v>
      </c>
      <c r="C453">
        <v>552</v>
      </c>
      <c r="D453">
        <v>0.02</v>
      </c>
      <c r="E453">
        <v>0</v>
      </c>
      <c r="F453">
        <v>2</v>
      </c>
      <c r="G453" t="b">
        <v>0</v>
      </c>
      <c r="H453">
        <f>IF(inventory__Data[[#This Row],[stock_on_hand]]&lt;=0,1,0)</f>
        <v>0</v>
      </c>
      <c r="I453">
        <f>COUNTIFS(inventory__Data[product_id],inventory__Data[[#This Row],[product_id]],inventory__Data[stock_on_hand],"&lt;=0")</f>
        <v>23</v>
      </c>
    </row>
    <row r="454" spans="1:9" x14ac:dyDescent="0.3">
      <c r="A454" s="1">
        <v>45748</v>
      </c>
      <c r="B454" t="s">
        <v>15</v>
      </c>
      <c r="C454">
        <v>866</v>
      </c>
      <c r="D454">
        <v>0.04</v>
      </c>
      <c r="E454">
        <v>0</v>
      </c>
      <c r="F454">
        <v>2</v>
      </c>
      <c r="G454" t="b">
        <v>0</v>
      </c>
      <c r="H454">
        <f>IF(inventory__Data[[#This Row],[stock_on_hand]]&lt;=0,1,0)</f>
        <v>0</v>
      </c>
      <c r="I454">
        <f>COUNTIFS(inventory__Data[product_id],inventory__Data[[#This Row],[product_id]],inventory__Data[stock_on_hand],"&lt;=0")</f>
        <v>30</v>
      </c>
    </row>
    <row r="455" spans="1:9" x14ac:dyDescent="0.3">
      <c r="A455" s="1">
        <v>45748</v>
      </c>
      <c r="B455" t="s">
        <v>18</v>
      </c>
      <c r="C455">
        <v>0</v>
      </c>
      <c r="D455">
        <v>0.15</v>
      </c>
      <c r="E455">
        <v>0</v>
      </c>
      <c r="F455">
        <v>2</v>
      </c>
      <c r="G455" t="b">
        <v>0</v>
      </c>
      <c r="H455">
        <f>IF(inventory__Data[[#This Row],[stock_on_hand]]&lt;=0,1,0)</f>
        <v>1</v>
      </c>
      <c r="I455">
        <f>COUNTIFS(inventory__Data[product_id],inventory__Data[[#This Row],[product_id]],inventory__Data[stock_on_hand],"&lt;=0")</f>
        <v>30</v>
      </c>
    </row>
    <row r="456" spans="1:9" x14ac:dyDescent="0.3">
      <c r="A456" s="1">
        <v>45748</v>
      </c>
      <c r="B456" t="s">
        <v>21</v>
      </c>
      <c r="C456">
        <v>191</v>
      </c>
      <c r="D456">
        <v>0.03</v>
      </c>
      <c r="E456">
        <v>0</v>
      </c>
      <c r="F456">
        <v>2</v>
      </c>
      <c r="G456" t="b">
        <v>0</v>
      </c>
      <c r="H456">
        <f>IF(inventory__Data[[#This Row],[stock_on_hand]]&lt;=0,1,0)</f>
        <v>0</v>
      </c>
      <c r="I456">
        <f>COUNTIFS(inventory__Data[product_id],inventory__Data[[#This Row],[product_id]],inventory__Data[stock_on_hand],"&lt;=0")</f>
        <v>29</v>
      </c>
    </row>
    <row r="457" spans="1:9" x14ac:dyDescent="0.3">
      <c r="A457" s="1">
        <v>45749</v>
      </c>
      <c r="B457" t="s">
        <v>9</v>
      </c>
      <c r="C457">
        <v>38</v>
      </c>
      <c r="D457">
        <v>0.05</v>
      </c>
      <c r="E457">
        <v>0</v>
      </c>
      <c r="F457">
        <v>2</v>
      </c>
      <c r="G457" t="b">
        <v>0</v>
      </c>
      <c r="H457">
        <f>IF(inventory__Data[[#This Row],[stock_on_hand]]&lt;=0,1,0)</f>
        <v>0</v>
      </c>
      <c r="I457">
        <f>COUNTIFS(inventory__Data[product_id],inventory__Data[[#This Row],[product_id]],inventory__Data[stock_on_hand],"&lt;=0")</f>
        <v>25</v>
      </c>
    </row>
    <row r="458" spans="1:9" x14ac:dyDescent="0.3">
      <c r="A458" s="1">
        <v>45749</v>
      </c>
      <c r="B458" t="s">
        <v>12</v>
      </c>
      <c r="C458">
        <v>104</v>
      </c>
      <c r="D458">
        <v>0.02</v>
      </c>
      <c r="E458">
        <v>0</v>
      </c>
      <c r="F458">
        <v>10</v>
      </c>
      <c r="G458" t="b">
        <v>0</v>
      </c>
      <c r="H458">
        <f>IF(inventory__Data[[#This Row],[stock_on_hand]]&lt;=0,1,0)</f>
        <v>0</v>
      </c>
      <c r="I458">
        <f>COUNTIFS(inventory__Data[product_id],inventory__Data[[#This Row],[product_id]],inventory__Data[stock_on_hand],"&lt;=0")</f>
        <v>23</v>
      </c>
    </row>
    <row r="459" spans="1:9" x14ac:dyDescent="0.3">
      <c r="A459" s="1">
        <v>45749</v>
      </c>
      <c r="B459" t="s">
        <v>15</v>
      </c>
      <c r="C459">
        <v>767</v>
      </c>
      <c r="D459">
        <v>0.04</v>
      </c>
      <c r="E459">
        <v>0</v>
      </c>
      <c r="F459">
        <v>5</v>
      </c>
      <c r="G459" t="b">
        <v>0</v>
      </c>
      <c r="H459">
        <f>IF(inventory__Data[[#This Row],[stock_on_hand]]&lt;=0,1,0)</f>
        <v>0</v>
      </c>
      <c r="I459">
        <f>COUNTIFS(inventory__Data[product_id],inventory__Data[[#This Row],[product_id]],inventory__Data[stock_on_hand],"&lt;=0")</f>
        <v>30</v>
      </c>
    </row>
    <row r="460" spans="1:9" x14ac:dyDescent="0.3">
      <c r="A460" s="1">
        <v>45749</v>
      </c>
      <c r="B460" t="s">
        <v>18</v>
      </c>
      <c r="C460">
        <v>494</v>
      </c>
      <c r="D460">
        <v>0.15</v>
      </c>
      <c r="E460">
        <v>0</v>
      </c>
      <c r="F460">
        <v>10</v>
      </c>
      <c r="G460" t="b">
        <v>0</v>
      </c>
      <c r="H460">
        <f>IF(inventory__Data[[#This Row],[stock_on_hand]]&lt;=0,1,0)</f>
        <v>0</v>
      </c>
      <c r="I460">
        <f>COUNTIFS(inventory__Data[product_id],inventory__Data[[#This Row],[product_id]],inventory__Data[stock_on_hand],"&lt;=0")</f>
        <v>30</v>
      </c>
    </row>
    <row r="461" spans="1:9" x14ac:dyDescent="0.3">
      <c r="A461" s="1">
        <v>45749</v>
      </c>
      <c r="B461" t="s">
        <v>21</v>
      </c>
      <c r="C461">
        <v>521</v>
      </c>
      <c r="D461">
        <v>0.03</v>
      </c>
      <c r="E461">
        <v>0</v>
      </c>
      <c r="F461">
        <v>2</v>
      </c>
      <c r="G461" t="b">
        <v>0</v>
      </c>
      <c r="H461">
        <f>IF(inventory__Data[[#This Row],[stock_on_hand]]&lt;=0,1,0)</f>
        <v>0</v>
      </c>
      <c r="I461">
        <f>COUNTIFS(inventory__Data[product_id],inventory__Data[[#This Row],[product_id]],inventory__Data[stock_on_hand],"&lt;=0")</f>
        <v>29</v>
      </c>
    </row>
    <row r="462" spans="1:9" x14ac:dyDescent="0.3">
      <c r="A462" s="1">
        <v>45750</v>
      </c>
      <c r="B462" t="s">
        <v>9</v>
      </c>
      <c r="C462">
        <v>396</v>
      </c>
      <c r="D462">
        <v>0.05</v>
      </c>
      <c r="E462">
        <v>0</v>
      </c>
      <c r="F462">
        <v>2</v>
      </c>
      <c r="G462" t="b">
        <v>0</v>
      </c>
      <c r="H462">
        <f>IF(inventory__Data[[#This Row],[stock_on_hand]]&lt;=0,1,0)</f>
        <v>0</v>
      </c>
      <c r="I462">
        <f>COUNTIFS(inventory__Data[product_id],inventory__Data[[#This Row],[product_id]],inventory__Data[stock_on_hand],"&lt;=0")</f>
        <v>25</v>
      </c>
    </row>
    <row r="463" spans="1:9" x14ac:dyDescent="0.3">
      <c r="A463" s="1">
        <v>45750</v>
      </c>
      <c r="B463" t="s">
        <v>12</v>
      </c>
      <c r="C463">
        <v>383</v>
      </c>
      <c r="D463">
        <v>0.02</v>
      </c>
      <c r="E463">
        <v>0</v>
      </c>
      <c r="F463">
        <v>2</v>
      </c>
      <c r="G463" t="b">
        <v>0</v>
      </c>
      <c r="H463">
        <f>IF(inventory__Data[[#This Row],[stock_on_hand]]&lt;=0,1,0)</f>
        <v>0</v>
      </c>
      <c r="I463">
        <f>COUNTIFS(inventory__Data[product_id],inventory__Data[[#This Row],[product_id]],inventory__Data[stock_on_hand],"&lt;=0")</f>
        <v>23</v>
      </c>
    </row>
    <row r="464" spans="1:9" x14ac:dyDescent="0.3">
      <c r="A464" s="1">
        <v>45750</v>
      </c>
      <c r="B464" t="s">
        <v>15</v>
      </c>
      <c r="C464">
        <v>316</v>
      </c>
      <c r="D464">
        <v>0.04</v>
      </c>
      <c r="E464">
        <v>0</v>
      </c>
      <c r="F464">
        <v>2</v>
      </c>
      <c r="G464" t="b">
        <v>0</v>
      </c>
      <c r="H464">
        <f>IF(inventory__Data[[#This Row],[stock_on_hand]]&lt;=0,1,0)</f>
        <v>0</v>
      </c>
      <c r="I464">
        <f>COUNTIFS(inventory__Data[product_id],inventory__Data[[#This Row],[product_id]],inventory__Data[stock_on_hand],"&lt;=0")</f>
        <v>30</v>
      </c>
    </row>
    <row r="465" spans="1:9" x14ac:dyDescent="0.3">
      <c r="A465" s="1">
        <v>45750</v>
      </c>
      <c r="B465" t="s">
        <v>18</v>
      </c>
      <c r="C465">
        <v>895</v>
      </c>
      <c r="D465">
        <v>0.15</v>
      </c>
      <c r="E465">
        <v>0</v>
      </c>
      <c r="F465">
        <v>5</v>
      </c>
      <c r="G465" t="b">
        <v>0</v>
      </c>
      <c r="H465">
        <f>IF(inventory__Data[[#This Row],[stock_on_hand]]&lt;=0,1,0)</f>
        <v>0</v>
      </c>
      <c r="I465">
        <f>COUNTIFS(inventory__Data[product_id],inventory__Data[[#This Row],[product_id]],inventory__Data[stock_on_hand],"&lt;=0")</f>
        <v>30</v>
      </c>
    </row>
    <row r="466" spans="1:9" x14ac:dyDescent="0.3">
      <c r="A466" s="1">
        <v>45750</v>
      </c>
      <c r="B466" t="s">
        <v>21</v>
      </c>
      <c r="C466">
        <v>782</v>
      </c>
      <c r="D466">
        <v>0.03</v>
      </c>
      <c r="E466">
        <v>0</v>
      </c>
      <c r="F466">
        <v>5</v>
      </c>
      <c r="G466" t="b">
        <v>0</v>
      </c>
      <c r="H466">
        <f>IF(inventory__Data[[#This Row],[stock_on_hand]]&lt;=0,1,0)</f>
        <v>0</v>
      </c>
      <c r="I466">
        <f>COUNTIFS(inventory__Data[product_id],inventory__Data[[#This Row],[product_id]],inventory__Data[stock_on_hand],"&lt;=0")</f>
        <v>29</v>
      </c>
    </row>
    <row r="467" spans="1:9" x14ac:dyDescent="0.3">
      <c r="A467" s="1">
        <v>45751</v>
      </c>
      <c r="B467" t="s">
        <v>9</v>
      </c>
      <c r="C467">
        <v>166</v>
      </c>
      <c r="D467">
        <v>0.05</v>
      </c>
      <c r="E467">
        <v>0</v>
      </c>
      <c r="F467">
        <v>5</v>
      </c>
      <c r="G467" t="b">
        <v>0</v>
      </c>
      <c r="H467">
        <f>IF(inventory__Data[[#This Row],[stock_on_hand]]&lt;=0,1,0)</f>
        <v>0</v>
      </c>
      <c r="I467">
        <f>COUNTIFS(inventory__Data[product_id],inventory__Data[[#This Row],[product_id]],inventory__Data[stock_on_hand],"&lt;=0")</f>
        <v>25</v>
      </c>
    </row>
    <row r="468" spans="1:9" x14ac:dyDescent="0.3">
      <c r="A468" s="1">
        <v>45751</v>
      </c>
      <c r="B468" t="s">
        <v>12</v>
      </c>
      <c r="C468">
        <v>74</v>
      </c>
      <c r="D468">
        <v>0.02</v>
      </c>
      <c r="E468">
        <v>0</v>
      </c>
      <c r="F468">
        <v>10</v>
      </c>
      <c r="G468" t="b">
        <v>0</v>
      </c>
      <c r="H468">
        <f>IF(inventory__Data[[#This Row],[stock_on_hand]]&lt;=0,1,0)</f>
        <v>0</v>
      </c>
      <c r="I468">
        <f>COUNTIFS(inventory__Data[product_id],inventory__Data[[#This Row],[product_id]],inventory__Data[stock_on_hand],"&lt;=0")</f>
        <v>23</v>
      </c>
    </row>
    <row r="469" spans="1:9" x14ac:dyDescent="0.3">
      <c r="A469" s="1">
        <v>45751</v>
      </c>
      <c r="B469" t="s">
        <v>15</v>
      </c>
      <c r="C469">
        <v>9</v>
      </c>
      <c r="D469">
        <v>0.04</v>
      </c>
      <c r="E469">
        <v>0</v>
      </c>
      <c r="F469">
        <v>2</v>
      </c>
      <c r="G469" t="b">
        <v>0</v>
      </c>
      <c r="H469">
        <f>IF(inventory__Data[[#This Row],[stock_on_hand]]&lt;=0,1,0)</f>
        <v>0</v>
      </c>
      <c r="I469">
        <f>COUNTIFS(inventory__Data[product_id],inventory__Data[[#This Row],[product_id]],inventory__Data[stock_on_hand],"&lt;=0")</f>
        <v>30</v>
      </c>
    </row>
    <row r="470" spans="1:9" x14ac:dyDescent="0.3">
      <c r="A470" s="1">
        <v>45751</v>
      </c>
      <c r="B470" t="s">
        <v>18</v>
      </c>
      <c r="C470">
        <v>739</v>
      </c>
      <c r="D470">
        <v>0.15</v>
      </c>
      <c r="E470">
        <v>0</v>
      </c>
      <c r="F470">
        <v>2</v>
      </c>
      <c r="G470" t="b">
        <v>0</v>
      </c>
      <c r="H470">
        <f>IF(inventory__Data[[#This Row],[stock_on_hand]]&lt;=0,1,0)</f>
        <v>0</v>
      </c>
      <c r="I470">
        <f>COUNTIFS(inventory__Data[product_id],inventory__Data[[#This Row],[product_id]],inventory__Data[stock_on_hand],"&lt;=0")</f>
        <v>30</v>
      </c>
    </row>
    <row r="471" spans="1:9" x14ac:dyDescent="0.3">
      <c r="A471" s="1">
        <v>45751</v>
      </c>
      <c r="B471" t="s">
        <v>21</v>
      </c>
      <c r="C471">
        <v>149</v>
      </c>
      <c r="D471">
        <v>0.03</v>
      </c>
      <c r="E471">
        <v>0</v>
      </c>
      <c r="F471">
        <v>2</v>
      </c>
      <c r="G471" t="b">
        <v>0</v>
      </c>
      <c r="H471">
        <f>IF(inventory__Data[[#This Row],[stock_on_hand]]&lt;=0,1,0)</f>
        <v>0</v>
      </c>
      <c r="I471">
        <f>COUNTIFS(inventory__Data[product_id],inventory__Data[[#This Row],[product_id]],inventory__Data[stock_on_hand],"&lt;=0")</f>
        <v>29</v>
      </c>
    </row>
    <row r="472" spans="1:9" x14ac:dyDescent="0.3">
      <c r="A472" s="1">
        <v>45752</v>
      </c>
      <c r="B472" t="s">
        <v>9</v>
      </c>
      <c r="C472">
        <v>393</v>
      </c>
      <c r="D472">
        <v>0.05</v>
      </c>
      <c r="E472">
        <v>0</v>
      </c>
      <c r="F472">
        <v>5</v>
      </c>
      <c r="G472" t="b">
        <v>0</v>
      </c>
      <c r="H472">
        <f>IF(inventory__Data[[#This Row],[stock_on_hand]]&lt;=0,1,0)</f>
        <v>0</v>
      </c>
      <c r="I472">
        <f>COUNTIFS(inventory__Data[product_id],inventory__Data[[#This Row],[product_id]],inventory__Data[stock_on_hand],"&lt;=0")</f>
        <v>25</v>
      </c>
    </row>
    <row r="473" spans="1:9" x14ac:dyDescent="0.3">
      <c r="A473" s="1">
        <v>45752</v>
      </c>
      <c r="B473" t="s">
        <v>12</v>
      </c>
      <c r="C473">
        <v>509</v>
      </c>
      <c r="D473">
        <v>0.02</v>
      </c>
      <c r="E473">
        <v>0</v>
      </c>
      <c r="F473">
        <v>2</v>
      </c>
      <c r="G473" t="b">
        <v>0</v>
      </c>
      <c r="H473">
        <f>IF(inventory__Data[[#This Row],[stock_on_hand]]&lt;=0,1,0)</f>
        <v>0</v>
      </c>
      <c r="I473">
        <f>COUNTIFS(inventory__Data[product_id],inventory__Data[[#This Row],[product_id]],inventory__Data[stock_on_hand],"&lt;=0")</f>
        <v>23</v>
      </c>
    </row>
    <row r="474" spans="1:9" x14ac:dyDescent="0.3">
      <c r="A474" s="1">
        <v>45752</v>
      </c>
      <c r="B474" t="s">
        <v>15</v>
      </c>
      <c r="C474">
        <v>342</v>
      </c>
      <c r="D474">
        <v>0.04</v>
      </c>
      <c r="E474">
        <v>0</v>
      </c>
      <c r="F474">
        <v>2</v>
      </c>
      <c r="G474" t="b">
        <v>0</v>
      </c>
      <c r="H474">
        <f>IF(inventory__Data[[#This Row],[stock_on_hand]]&lt;=0,1,0)</f>
        <v>0</v>
      </c>
      <c r="I474">
        <f>COUNTIFS(inventory__Data[product_id],inventory__Data[[#This Row],[product_id]],inventory__Data[stock_on_hand],"&lt;=0")</f>
        <v>30</v>
      </c>
    </row>
    <row r="475" spans="1:9" x14ac:dyDescent="0.3">
      <c r="A475" s="1">
        <v>45752</v>
      </c>
      <c r="B475" t="s">
        <v>18</v>
      </c>
      <c r="C475">
        <v>867</v>
      </c>
      <c r="D475">
        <v>0.15</v>
      </c>
      <c r="E475">
        <v>0</v>
      </c>
      <c r="F475">
        <v>15</v>
      </c>
      <c r="G475" t="b">
        <v>0</v>
      </c>
      <c r="H475">
        <f>IF(inventory__Data[[#This Row],[stock_on_hand]]&lt;=0,1,0)</f>
        <v>0</v>
      </c>
      <c r="I475">
        <f>COUNTIFS(inventory__Data[product_id],inventory__Data[[#This Row],[product_id]],inventory__Data[stock_on_hand],"&lt;=0")</f>
        <v>30</v>
      </c>
    </row>
    <row r="476" spans="1:9" x14ac:dyDescent="0.3">
      <c r="A476" s="1">
        <v>45752</v>
      </c>
      <c r="B476" t="s">
        <v>21</v>
      </c>
      <c r="C476">
        <v>298</v>
      </c>
      <c r="D476">
        <v>0.03</v>
      </c>
      <c r="E476">
        <v>0</v>
      </c>
      <c r="F476">
        <v>10</v>
      </c>
      <c r="G476" t="b">
        <v>0</v>
      </c>
      <c r="H476">
        <f>IF(inventory__Data[[#This Row],[stock_on_hand]]&lt;=0,1,0)</f>
        <v>0</v>
      </c>
      <c r="I476">
        <f>COUNTIFS(inventory__Data[product_id],inventory__Data[[#This Row],[product_id]],inventory__Data[stock_on_hand],"&lt;=0")</f>
        <v>29</v>
      </c>
    </row>
    <row r="477" spans="1:9" x14ac:dyDescent="0.3">
      <c r="A477" s="1">
        <v>45753</v>
      </c>
      <c r="B477" t="s">
        <v>9</v>
      </c>
      <c r="C477">
        <v>0</v>
      </c>
      <c r="D477">
        <v>0.05</v>
      </c>
      <c r="E477">
        <v>0</v>
      </c>
      <c r="F477">
        <v>2</v>
      </c>
      <c r="G477" t="b">
        <v>0</v>
      </c>
      <c r="H477">
        <f>IF(inventory__Data[[#This Row],[stock_on_hand]]&lt;=0,1,0)</f>
        <v>1</v>
      </c>
      <c r="I477">
        <f>COUNTIFS(inventory__Data[product_id],inventory__Data[[#This Row],[product_id]],inventory__Data[stock_on_hand],"&lt;=0")</f>
        <v>25</v>
      </c>
    </row>
    <row r="478" spans="1:9" x14ac:dyDescent="0.3">
      <c r="A478" s="1">
        <v>45753</v>
      </c>
      <c r="B478" t="s">
        <v>12</v>
      </c>
      <c r="C478">
        <v>0</v>
      </c>
      <c r="D478">
        <v>0.02</v>
      </c>
      <c r="E478">
        <v>0</v>
      </c>
      <c r="F478">
        <v>2</v>
      </c>
      <c r="G478" t="b">
        <v>0</v>
      </c>
      <c r="H478">
        <f>IF(inventory__Data[[#This Row],[stock_on_hand]]&lt;=0,1,0)</f>
        <v>1</v>
      </c>
      <c r="I478">
        <f>COUNTIFS(inventory__Data[product_id],inventory__Data[[#This Row],[product_id]],inventory__Data[stock_on_hand],"&lt;=0")</f>
        <v>23</v>
      </c>
    </row>
    <row r="479" spans="1:9" x14ac:dyDescent="0.3">
      <c r="A479" s="1">
        <v>45753</v>
      </c>
      <c r="B479" t="s">
        <v>15</v>
      </c>
      <c r="C479">
        <v>0</v>
      </c>
      <c r="D479">
        <v>0.04</v>
      </c>
      <c r="E479">
        <v>0</v>
      </c>
      <c r="F479">
        <v>2</v>
      </c>
      <c r="G479" t="b">
        <v>0</v>
      </c>
      <c r="H479">
        <f>IF(inventory__Data[[#This Row],[stock_on_hand]]&lt;=0,1,0)</f>
        <v>1</v>
      </c>
      <c r="I479">
        <f>COUNTIFS(inventory__Data[product_id],inventory__Data[[#This Row],[product_id]],inventory__Data[stock_on_hand],"&lt;=0")</f>
        <v>30</v>
      </c>
    </row>
    <row r="480" spans="1:9" x14ac:dyDescent="0.3">
      <c r="A480" s="1">
        <v>45753</v>
      </c>
      <c r="B480" t="s">
        <v>18</v>
      </c>
      <c r="C480">
        <v>306</v>
      </c>
      <c r="D480">
        <v>0.15</v>
      </c>
      <c r="E480">
        <v>0</v>
      </c>
      <c r="F480">
        <v>2</v>
      </c>
      <c r="G480" t="b">
        <v>0</v>
      </c>
      <c r="H480">
        <f>IF(inventory__Data[[#This Row],[stock_on_hand]]&lt;=0,1,0)</f>
        <v>0</v>
      </c>
      <c r="I480">
        <f>COUNTIFS(inventory__Data[product_id],inventory__Data[[#This Row],[product_id]],inventory__Data[stock_on_hand],"&lt;=0")</f>
        <v>30</v>
      </c>
    </row>
    <row r="481" spans="1:9" x14ac:dyDescent="0.3">
      <c r="A481" s="1">
        <v>45753</v>
      </c>
      <c r="B481" t="s">
        <v>21</v>
      </c>
      <c r="C481">
        <v>610</v>
      </c>
      <c r="D481">
        <v>0.03</v>
      </c>
      <c r="E481">
        <v>0</v>
      </c>
      <c r="F481">
        <v>5</v>
      </c>
      <c r="G481" t="b">
        <v>0</v>
      </c>
      <c r="H481">
        <f>IF(inventory__Data[[#This Row],[stock_on_hand]]&lt;=0,1,0)</f>
        <v>0</v>
      </c>
      <c r="I481">
        <f>COUNTIFS(inventory__Data[product_id],inventory__Data[[#This Row],[product_id]],inventory__Data[stock_on_hand],"&lt;=0")</f>
        <v>29</v>
      </c>
    </row>
    <row r="482" spans="1:9" x14ac:dyDescent="0.3">
      <c r="A482" s="1">
        <v>45754</v>
      </c>
      <c r="B482" t="s">
        <v>9</v>
      </c>
      <c r="C482">
        <v>164</v>
      </c>
      <c r="D482">
        <v>0.05</v>
      </c>
      <c r="E482">
        <v>0</v>
      </c>
      <c r="F482">
        <v>5</v>
      </c>
      <c r="G482" t="b">
        <v>0</v>
      </c>
      <c r="H482">
        <f>IF(inventory__Data[[#This Row],[stock_on_hand]]&lt;=0,1,0)</f>
        <v>0</v>
      </c>
      <c r="I482">
        <f>COUNTIFS(inventory__Data[product_id],inventory__Data[[#This Row],[product_id]],inventory__Data[stock_on_hand],"&lt;=0")</f>
        <v>25</v>
      </c>
    </row>
    <row r="483" spans="1:9" x14ac:dyDescent="0.3">
      <c r="A483" s="1">
        <v>45754</v>
      </c>
      <c r="B483" t="s">
        <v>12</v>
      </c>
      <c r="C483">
        <v>636</v>
      </c>
      <c r="D483">
        <v>0.02</v>
      </c>
      <c r="E483">
        <v>0</v>
      </c>
      <c r="F483">
        <v>2</v>
      </c>
      <c r="G483" t="b">
        <v>0</v>
      </c>
      <c r="H483">
        <f>IF(inventory__Data[[#This Row],[stock_on_hand]]&lt;=0,1,0)</f>
        <v>0</v>
      </c>
      <c r="I483">
        <f>COUNTIFS(inventory__Data[product_id],inventory__Data[[#This Row],[product_id]],inventory__Data[stock_on_hand],"&lt;=0")</f>
        <v>23</v>
      </c>
    </row>
    <row r="484" spans="1:9" x14ac:dyDescent="0.3">
      <c r="A484" s="1">
        <v>45754</v>
      </c>
      <c r="B484" t="s">
        <v>15</v>
      </c>
      <c r="C484">
        <v>341</v>
      </c>
      <c r="D484">
        <v>0.04</v>
      </c>
      <c r="E484">
        <v>0</v>
      </c>
      <c r="F484">
        <v>2</v>
      </c>
      <c r="G484" t="b">
        <v>0</v>
      </c>
      <c r="H484">
        <f>IF(inventory__Data[[#This Row],[stock_on_hand]]&lt;=0,1,0)</f>
        <v>0</v>
      </c>
      <c r="I484">
        <f>COUNTIFS(inventory__Data[product_id],inventory__Data[[#This Row],[product_id]],inventory__Data[stock_on_hand],"&lt;=0")</f>
        <v>30</v>
      </c>
    </row>
    <row r="485" spans="1:9" x14ac:dyDescent="0.3">
      <c r="A485" s="1">
        <v>45754</v>
      </c>
      <c r="B485" t="s">
        <v>18</v>
      </c>
      <c r="C485">
        <v>848</v>
      </c>
      <c r="D485">
        <v>0.15</v>
      </c>
      <c r="E485">
        <v>0</v>
      </c>
      <c r="F485">
        <v>2</v>
      </c>
      <c r="G485" t="b">
        <v>0</v>
      </c>
      <c r="H485">
        <f>IF(inventory__Data[[#This Row],[stock_on_hand]]&lt;=0,1,0)</f>
        <v>0</v>
      </c>
      <c r="I485">
        <f>COUNTIFS(inventory__Data[product_id],inventory__Data[[#This Row],[product_id]],inventory__Data[stock_on_hand],"&lt;=0")</f>
        <v>30</v>
      </c>
    </row>
    <row r="486" spans="1:9" x14ac:dyDescent="0.3">
      <c r="A486" s="1">
        <v>45754</v>
      </c>
      <c r="B486" t="s">
        <v>21</v>
      </c>
      <c r="C486">
        <v>358</v>
      </c>
      <c r="D486">
        <v>0.03</v>
      </c>
      <c r="E486">
        <v>0</v>
      </c>
      <c r="F486">
        <v>5</v>
      </c>
      <c r="G486" t="b">
        <v>0</v>
      </c>
      <c r="H486">
        <f>IF(inventory__Data[[#This Row],[stock_on_hand]]&lt;=0,1,0)</f>
        <v>0</v>
      </c>
      <c r="I486">
        <f>COUNTIFS(inventory__Data[product_id],inventory__Data[[#This Row],[product_id]],inventory__Data[stock_on_hand],"&lt;=0")</f>
        <v>29</v>
      </c>
    </row>
    <row r="487" spans="1:9" x14ac:dyDescent="0.3">
      <c r="A487" s="1">
        <v>45755</v>
      </c>
      <c r="B487" t="s">
        <v>9</v>
      </c>
      <c r="C487">
        <v>168</v>
      </c>
      <c r="D487">
        <v>0.05</v>
      </c>
      <c r="E487">
        <v>0</v>
      </c>
      <c r="F487">
        <v>2</v>
      </c>
      <c r="G487" t="b">
        <v>0</v>
      </c>
      <c r="H487">
        <f>IF(inventory__Data[[#This Row],[stock_on_hand]]&lt;=0,1,0)</f>
        <v>0</v>
      </c>
      <c r="I487">
        <f>COUNTIFS(inventory__Data[product_id],inventory__Data[[#This Row],[product_id]],inventory__Data[stock_on_hand],"&lt;=0")</f>
        <v>25</v>
      </c>
    </row>
    <row r="488" spans="1:9" x14ac:dyDescent="0.3">
      <c r="A488" s="1">
        <v>45755</v>
      </c>
      <c r="B488" t="s">
        <v>12</v>
      </c>
      <c r="C488">
        <v>212</v>
      </c>
      <c r="D488">
        <v>0.02</v>
      </c>
      <c r="E488">
        <v>0</v>
      </c>
      <c r="F488">
        <v>2</v>
      </c>
      <c r="G488" t="b">
        <v>0</v>
      </c>
      <c r="H488">
        <f>IF(inventory__Data[[#This Row],[stock_on_hand]]&lt;=0,1,0)</f>
        <v>0</v>
      </c>
      <c r="I488">
        <f>COUNTIFS(inventory__Data[product_id],inventory__Data[[#This Row],[product_id]],inventory__Data[stock_on_hand],"&lt;=0")</f>
        <v>23</v>
      </c>
    </row>
    <row r="489" spans="1:9" x14ac:dyDescent="0.3">
      <c r="A489" s="1">
        <v>45755</v>
      </c>
      <c r="B489" t="s">
        <v>15</v>
      </c>
      <c r="C489">
        <v>100</v>
      </c>
      <c r="D489">
        <v>0.04</v>
      </c>
      <c r="E489">
        <v>0</v>
      </c>
      <c r="F489">
        <v>2</v>
      </c>
      <c r="G489" t="b">
        <v>0</v>
      </c>
      <c r="H489">
        <f>IF(inventory__Data[[#This Row],[stock_on_hand]]&lt;=0,1,0)</f>
        <v>0</v>
      </c>
      <c r="I489">
        <f>COUNTIFS(inventory__Data[product_id],inventory__Data[[#This Row],[product_id]],inventory__Data[stock_on_hand],"&lt;=0")</f>
        <v>30</v>
      </c>
    </row>
    <row r="490" spans="1:9" x14ac:dyDescent="0.3">
      <c r="A490" s="1">
        <v>45755</v>
      </c>
      <c r="B490" t="s">
        <v>18</v>
      </c>
      <c r="C490">
        <v>187</v>
      </c>
      <c r="D490">
        <v>0.15</v>
      </c>
      <c r="E490">
        <v>0</v>
      </c>
      <c r="F490">
        <v>2</v>
      </c>
      <c r="G490" t="b">
        <v>0</v>
      </c>
      <c r="H490">
        <f>IF(inventory__Data[[#This Row],[stock_on_hand]]&lt;=0,1,0)</f>
        <v>0</v>
      </c>
      <c r="I490">
        <f>COUNTIFS(inventory__Data[product_id],inventory__Data[[#This Row],[product_id]],inventory__Data[stock_on_hand],"&lt;=0")</f>
        <v>30</v>
      </c>
    </row>
    <row r="491" spans="1:9" x14ac:dyDescent="0.3">
      <c r="A491" s="1">
        <v>45755</v>
      </c>
      <c r="B491" t="s">
        <v>21</v>
      </c>
      <c r="C491">
        <v>31</v>
      </c>
      <c r="D491">
        <v>0.03</v>
      </c>
      <c r="E491">
        <v>0</v>
      </c>
      <c r="F491">
        <v>2</v>
      </c>
      <c r="G491" t="b">
        <v>0</v>
      </c>
      <c r="H491">
        <f>IF(inventory__Data[[#This Row],[stock_on_hand]]&lt;=0,1,0)</f>
        <v>0</v>
      </c>
      <c r="I491">
        <f>COUNTIFS(inventory__Data[product_id],inventory__Data[[#This Row],[product_id]],inventory__Data[stock_on_hand],"&lt;=0")</f>
        <v>29</v>
      </c>
    </row>
    <row r="492" spans="1:9" x14ac:dyDescent="0.3">
      <c r="A492" s="1">
        <v>45756</v>
      </c>
      <c r="B492" t="s">
        <v>9</v>
      </c>
      <c r="C492">
        <v>838</v>
      </c>
      <c r="D492">
        <v>0.05</v>
      </c>
      <c r="E492">
        <v>0</v>
      </c>
      <c r="F492">
        <v>5</v>
      </c>
      <c r="G492" t="b">
        <v>0</v>
      </c>
      <c r="H492">
        <f>IF(inventory__Data[[#This Row],[stock_on_hand]]&lt;=0,1,0)</f>
        <v>0</v>
      </c>
      <c r="I492">
        <f>COUNTIFS(inventory__Data[product_id],inventory__Data[[#This Row],[product_id]],inventory__Data[stock_on_hand],"&lt;=0")</f>
        <v>25</v>
      </c>
    </row>
    <row r="493" spans="1:9" x14ac:dyDescent="0.3">
      <c r="A493" s="1">
        <v>45756</v>
      </c>
      <c r="B493" t="s">
        <v>12</v>
      </c>
      <c r="C493">
        <v>712</v>
      </c>
      <c r="D493">
        <v>0.02</v>
      </c>
      <c r="E493">
        <v>0</v>
      </c>
      <c r="F493">
        <v>2</v>
      </c>
      <c r="G493" t="b">
        <v>0</v>
      </c>
      <c r="H493">
        <f>IF(inventory__Data[[#This Row],[stock_on_hand]]&lt;=0,1,0)</f>
        <v>0</v>
      </c>
      <c r="I493">
        <f>COUNTIFS(inventory__Data[product_id],inventory__Data[[#This Row],[product_id]],inventory__Data[stock_on_hand],"&lt;=0")</f>
        <v>23</v>
      </c>
    </row>
    <row r="494" spans="1:9" x14ac:dyDescent="0.3">
      <c r="A494" s="1">
        <v>45756</v>
      </c>
      <c r="B494" t="s">
        <v>15</v>
      </c>
      <c r="C494">
        <v>57</v>
      </c>
      <c r="D494">
        <v>0.04</v>
      </c>
      <c r="E494">
        <v>0</v>
      </c>
      <c r="F494">
        <v>5</v>
      </c>
      <c r="G494" t="b">
        <v>0</v>
      </c>
      <c r="H494">
        <f>IF(inventory__Data[[#This Row],[stock_on_hand]]&lt;=0,1,0)</f>
        <v>0</v>
      </c>
      <c r="I494">
        <f>COUNTIFS(inventory__Data[product_id],inventory__Data[[#This Row],[product_id]],inventory__Data[stock_on_hand],"&lt;=0")</f>
        <v>30</v>
      </c>
    </row>
    <row r="495" spans="1:9" x14ac:dyDescent="0.3">
      <c r="A495" s="1">
        <v>45756</v>
      </c>
      <c r="B495" t="s">
        <v>18</v>
      </c>
      <c r="C495">
        <v>840</v>
      </c>
      <c r="D495">
        <v>0.15</v>
      </c>
      <c r="E495">
        <v>0</v>
      </c>
      <c r="F495">
        <v>5</v>
      </c>
      <c r="G495" t="b">
        <v>0</v>
      </c>
      <c r="H495">
        <f>IF(inventory__Data[[#This Row],[stock_on_hand]]&lt;=0,1,0)</f>
        <v>0</v>
      </c>
      <c r="I495">
        <f>COUNTIFS(inventory__Data[product_id],inventory__Data[[#This Row],[product_id]],inventory__Data[stock_on_hand],"&lt;=0")</f>
        <v>30</v>
      </c>
    </row>
    <row r="496" spans="1:9" x14ac:dyDescent="0.3">
      <c r="A496" s="1">
        <v>45756</v>
      </c>
      <c r="B496" t="s">
        <v>21</v>
      </c>
      <c r="C496">
        <v>0</v>
      </c>
      <c r="D496">
        <v>0.03</v>
      </c>
      <c r="E496">
        <v>0</v>
      </c>
      <c r="F496">
        <v>2</v>
      </c>
      <c r="G496" t="b">
        <v>0</v>
      </c>
      <c r="H496">
        <f>IF(inventory__Data[[#This Row],[stock_on_hand]]&lt;=0,1,0)</f>
        <v>1</v>
      </c>
      <c r="I496">
        <f>COUNTIFS(inventory__Data[product_id],inventory__Data[[#This Row],[product_id]],inventory__Data[stock_on_hand],"&lt;=0")</f>
        <v>29</v>
      </c>
    </row>
    <row r="497" spans="1:9" x14ac:dyDescent="0.3">
      <c r="A497" s="1">
        <v>45757</v>
      </c>
      <c r="B497" t="s">
        <v>9</v>
      </c>
      <c r="C497">
        <v>0</v>
      </c>
      <c r="D497">
        <v>0.05</v>
      </c>
      <c r="E497">
        <v>0</v>
      </c>
      <c r="F497">
        <v>10</v>
      </c>
      <c r="G497" t="b">
        <v>0</v>
      </c>
      <c r="H497">
        <f>IF(inventory__Data[[#This Row],[stock_on_hand]]&lt;=0,1,0)</f>
        <v>1</v>
      </c>
      <c r="I497">
        <f>COUNTIFS(inventory__Data[product_id],inventory__Data[[#This Row],[product_id]],inventory__Data[stock_on_hand],"&lt;=0")</f>
        <v>25</v>
      </c>
    </row>
    <row r="498" spans="1:9" x14ac:dyDescent="0.3">
      <c r="A498" s="1">
        <v>45757</v>
      </c>
      <c r="B498" t="s">
        <v>12</v>
      </c>
      <c r="C498">
        <v>699</v>
      </c>
      <c r="D498">
        <v>0.02</v>
      </c>
      <c r="E498">
        <v>0</v>
      </c>
      <c r="F498">
        <v>5</v>
      </c>
      <c r="G498" t="b">
        <v>0</v>
      </c>
      <c r="H498">
        <f>IF(inventory__Data[[#This Row],[stock_on_hand]]&lt;=0,1,0)</f>
        <v>0</v>
      </c>
      <c r="I498">
        <f>COUNTIFS(inventory__Data[product_id],inventory__Data[[#This Row],[product_id]],inventory__Data[stock_on_hand],"&lt;=0")</f>
        <v>23</v>
      </c>
    </row>
    <row r="499" spans="1:9" x14ac:dyDescent="0.3">
      <c r="A499" s="1">
        <v>45757</v>
      </c>
      <c r="B499" t="s">
        <v>15</v>
      </c>
      <c r="C499">
        <v>63</v>
      </c>
      <c r="D499">
        <v>0.04</v>
      </c>
      <c r="E499">
        <v>0</v>
      </c>
      <c r="F499">
        <v>5</v>
      </c>
      <c r="G499" t="b">
        <v>0</v>
      </c>
      <c r="H499">
        <f>IF(inventory__Data[[#This Row],[stock_on_hand]]&lt;=0,1,0)</f>
        <v>0</v>
      </c>
      <c r="I499">
        <f>COUNTIFS(inventory__Data[product_id],inventory__Data[[#This Row],[product_id]],inventory__Data[stock_on_hand],"&lt;=0")</f>
        <v>30</v>
      </c>
    </row>
    <row r="500" spans="1:9" x14ac:dyDescent="0.3">
      <c r="A500" s="1">
        <v>45757</v>
      </c>
      <c r="B500" t="s">
        <v>18</v>
      </c>
      <c r="C500">
        <v>491</v>
      </c>
      <c r="D500">
        <v>0.15</v>
      </c>
      <c r="E500">
        <v>0</v>
      </c>
      <c r="F500">
        <v>2</v>
      </c>
      <c r="G500" t="b">
        <v>0</v>
      </c>
      <c r="H500">
        <f>IF(inventory__Data[[#This Row],[stock_on_hand]]&lt;=0,1,0)</f>
        <v>0</v>
      </c>
      <c r="I500">
        <f>COUNTIFS(inventory__Data[product_id],inventory__Data[[#This Row],[product_id]],inventory__Data[stock_on_hand],"&lt;=0")</f>
        <v>30</v>
      </c>
    </row>
    <row r="501" spans="1:9" x14ac:dyDescent="0.3">
      <c r="A501" s="1">
        <v>45757</v>
      </c>
      <c r="B501" t="s">
        <v>21</v>
      </c>
      <c r="C501">
        <v>361</v>
      </c>
      <c r="D501">
        <v>0.03</v>
      </c>
      <c r="E501">
        <v>0</v>
      </c>
      <c r="F501">
        <v>5</v>
      </c>
      <c r="G501" t="b">
        <v>0</v>
      </c>
      <c r="H501">
        <f>IF(inventory__Data[[#This Row],[stock_on_hand]]&lt;=0,1,0)</f>
        <v>0</v>
      </c>
      <c r="I501">
        <f>COUNTIFS(inventory__Data[product_id],inventory__Data[[#This Row],[product_id]],inventory__Data[stock_on_hand],"&lt;=0")</f>
        <v>29</v>
      </c>
    </row>
    <row r="502" spans="1:9" x14ac:dyDescent="0.3">
      <c r="A502" s="1">
        <v>45758</v>
      </c>
      <c r="B502" t="s">
        <v>9</v>
      </c>
      <c r="C502">
        <v>900</v>
      </c>
      <c r="D502">
        <v>0.05</v>
      </c>
      <c r="E502">
        <v>0</v>
      </c>
      <c r="F502">
        <v>2</v>
      </c>
      <c r="G502" t="b">
        <v>0</v>
      </c>
      <c r="H502">
        <f>IF(inventory__Data[[#This Row],[stock_on_hand]]&lt;=0,1,0)</f>
        <v>0</v>
      </c>
      <c r="I502">
        <f>COUNTIFS(inventory__Data[product_id],inventory__Data[[#This Row],[product_id]],inventory__Data[stock_on_hand],"&lt;=0")</f>
        <v>25</v>
      </c>
    </row>
    <row r="503" spans="1:9" x14ac:dyDescent="0.3">
      <c r="A503" s="1">
        <v>45758</v>
      </c>
      <c r="B503" t="s">
        <v>12</v>
      </c>
      <c r="C503">
        <v>235</v>
      </c>
      <c r="D503">
        <v>0.02</v>
      </c>
      <c r="E503">
        <v>0</v>
      </c>
      <c r="F503">
        <v>2</v>
      </c>
      <c r="G503" t="b">
        <v>0</v>
      </c>
      <c r="H503">
        <f>IF(inventory__Data[[#This Row],[stock_on_hand]]&lt;=0,1,0)</f>
        <v>0</v>
      </c>
      <c r="I503">
        <f>COUNTIFS(inventory__Data[product_id],inventory__Data[[#This Row],[product_id]],inventory__Data[stock_on_hand],"&lt;=0")</f>
        <v>23</v>
      </c>
    </row>
    <row r="504" spans="1:9" x14ac:dyDescent="0.3">
      <c r="A504" s="1">
        <v>45758</v>
      </c>
      <c r="B504" t="s">
        <v>15</v>
      </c>
      <c r="C504">
        <v>31</v>
      </c>
      <c r="D504">
        <v>0.04</v>
      </c>
      <c r="E504">
        <v>0</v>
      </c>
      <c r="F504">
        <v>10</v>
      </c>
      <c r="G504" t="b">
        <v>0</v>
      </c>
      <c r="H504">
        <f>IF(inventory__Data[[#This Row],[stock_on_hand]]&lt;=0,1,0)</f>
        <v>0</v>
      </c>
      <c r="I504">
        <f>COUNTIFS(inventory__Data[product_id],inventory__Data[[#This Row],[product_id]],inventory__Data[stock_on_hand],"&lt;=0")</f>
        <v>30</v>
      </c>
    </row>
    <row r="505" spans="1:9" x14ac:dyDescent="0.3">
      <c r="A505" s="1">
        <v>45758</v>
      </c>
      <c r="B505" t="s">
        <v>18</v>
      </c>
      <c r="C505">
        <v>648</v>
      </c>
      <c r="D505">
        <v>0.15</v>
      </c>
      <c r="E505">
        <v>0</v>
      </c>
      <c r="F505">
        <v>2</v>
      </c>
      <c r="G505" t="b">
        <v>0</v>
      </c>
      <c r="H505">
        <f>IF(inventory__Data[[#This Row],[stock_on_hand]]&lt;=0,1,0)</f>
        <v>0</v>
      </c>
      <c r="I505">
        <f>COUNTIFS(inventory__Data[product_id],inventory__Data[[#This Row],[product_id]],inventory__Data[stock_on_hand],"&lt;=0")</f>
        <v>30</v>
      </c>
    </row>
    <row r="506" spans="1:9" x14ac:dyDescent="0.3">
      <c r="A506" s="1">
        <v>45758</v>
      </c>
      <c r="B506" t="s">
        <v>21</v>
      </c>
      <c r="C506">
        <v>56</v>
      </c>
      <c r="D506">
        <v>0.03</v>
      </c>
      <c r="E506">
        <v>0</v>
      </c>
      <c r="F506">
        <v>2</v>
      </c>
      <c r="G506" t="b">
        <v>0</v>
      </c>
      <c r="H506">
        <f>IF(inventory__Data[[#This Row],[stock_on_hand]]&lt;=0,1,0)</f>
        <v>0</v>
      </c>
      <c r="I506">
        <f>COUNTIFS(inventory__Data[product_id],inventory__Data[[#This Row],[product_id]],inventory__Data[stock_on_hand],"&lt;=0")</f>
        <v>29</v>
      </c>
    </row>
    <row r="507" spans="1:9" x14ac:dyDescent="0.3">
      <c r="A507" s="1">
        <v>45759</v>
      </c>
      <c r="B507" t="s">
        <v>9</v>
      </c>
      <c r="C507">
        <v>541</v>
      </c>
      <c r="D507">
        <v>0.05</v>
      </c>
      <c r="E507">
        <v>0</v>
      </c>
      <c r="F507">
        <v>2</v>
      </c>
      <c r="G507" t="b">
        <v>0</v>
      </c>
      <c r="H507">
        <f>IF(inventory__Data[[#This Row],[stock_on_hand]]&lt;=0,1,0)</f>
        <v>0</v>
      </c>
      <c r="I507">
        <f>COUNTIFS(inventory__Data[product_id],inventory__Data[[#This Row],[product_id]],inventory__Data[stock_on_hand],"&lt;=0")</f>
        <v>25</v>
      </c>
    </row>
    <row r="508" spans="1:9" x14ac:dyDescent="0.3">
      <c r="A508" s="1">
        <v>45759</v>
      </c>
      <c r="B508" t="s">
        <v>12</v>
      </c>
      <c r="C508">
        <v>672</v>
      </c>
      <c r="D508">
        <v>0.02</v>
      </c>
      <c r="E508">
        <v>0</v>
      </c>
      <c r="F508">
        <v>2</v>
      </c>
      <c r="G508" t="b">
        <v>0</v>
      </c>
      <c r="H508">
        <f>IF(inventory__Data[[#This Row],[stock_on_hand]]&lt;=0,1,0)</f>
        <v>0</v>
      </c>
      <c r="I508">
        <f>COUNTIFS(inventory__Data[product_id],inventory__Data[[#This Row],[product_id]],inventory__Data[stock_on_hand],"&lt;=0")</f>
        <v>23</v>
      </c>
    </row>
    <row r="509" spans="1:9" x14ac:dyDescent="0.3">
      <c r="A509" s="1">
        <v>45759</v>
      </c>
      <c r="B509" t="s">
        <v>15</v>
      </c>
      <c r="C509">
        <v>511</v>
      </c>
      <c r="D509">
        <v>0.04</v>
      </c>
      <c r="E509">
        <v>0</v>
      </c>
      <c r="F509">
        <v>15</v>
      </c>
      <c r="G509" t="b">
        <v>0</v>
      </c>
      <c r="H509">
        <f>IF(inventory__Data[[#This Row],[stock_on_hand]]&lt;=0,1,0)</f>
        <v>0</v>
      </c>
      <c r="I509">
        <f>COUNTIFS(inventory__Data[product_id],inventory__Data[[#This Row],[product_id]],inventory__Data[stock_on_hand],"&lt;=0")</f>
        <v>30</v>
      </c>
    </row>
    <row r="510" spans="1:9" x14ac:dyDescent="0.3">
      <c r="A510" s="1">
        <v>45759</v>
      </c>
      <c r="B510" t="s">
        <v>18</v>
      </c>
      <c r="C510">
        <v>0</v>
      </c>
      <c r="D510">
        <v>0.15</v>
      </c>
      <c r="E510">
        <v>0</v>
      </c>
      <c r="F510">
        <v>2</v>
      </c>
      <c r="G510" t="b">
        <v>0</v>
      </c>
      <c r="H510">
        <f>IF(inventory__Data[[#This Row],[stock_on_hand]]&lt;=0,1,0)</f>
        <v>1</v>
      </c>
      <c r="I510">
        <f>COUNTIFS(inventory__Data[product_id],inventory__Data[[#This Row],[product_id]],inventory__Data[stock_on_hand],"&lt;=0")</f>
        <v>30</v>
      </c>
    </row>
    <row r="511" spans="1:9" x14ac:dyDescent="0.3">
      <c r="A511" s="1">
        <v>45759</v>
      </c>
      <c r="B511" t="s">
        <v>21</v>
      </c>
      <c r="C511">
        <v>0</v>
      </c>
      <c r="D511">
        <v>0.03</v>
      </c>
      <c r="E511">
        <v>0</v>
      </c>
      <c r="F511">
        <v>5</v>
      </c>
      <c r="G511" t="b">
        <v>0</v>
      </c>
      <c r="H511">
        <f>IF(inventory__Data[[#This Row],[stock_on_hand]]&lt;=0,1,0)</f>
        <v>1</v>
      </c>
      <c r="I511">
        <f>COUNTIFS(inventory__Data[product_id],inventory__Data[[#This Row],[product_id]],inventory__Data[stock_on_hand],"&lt;=0")</f>
        <v>29</v>
      </c>
    </row>
    <row r="512" spans="1:9" x14ac:dyDescent="0.3">
      <c r="A512" s="1">
        <v>45760</v>
      </c>
      <c r="B512" t="s">
        <v>9</v>
      </c>
      <c r="C512">
        <v>354</v>
      </c>
      <c r="D512">
        <v>0.05</v>
      </c>
      <c r="E512">
        <v>0</v>
      </c>
      <c r="F512">
        <v>2</v>
      </c>
      <c r="G512" t="b">
        <v>0</v>
      </c>
      <c r="H512">
        <f>IF(inventory__Data[[#This Row],[stock_on_hand]]&lt;=0,1,0)</f>
        <v>0</v>
      </c>
      <c r="I512">
        <f>COUNTIFS(inventory__Data[product_id],inventory__Data[[#This Row],[product_id]],inventory__Data[stock_on_hand],"&lt;=0")</f>
        <v>25</v>
      </c>
    </row>
    <row r="513" spans="1:9" x14ac:dyDescent="0.3">
      <c r="A513" s="1">
        <v>45760</v>
      </c>
      <c r="B513" t="s">
        <v>12</v>
      </c>
      <c r="C513">
        <v>841</v>
      </c>
      <c r="D513">
        <v>0.02</v>
      </c>
      <c r="E513">
        <v>0</v>
      </c>
      <c r="F513">
        <v>2</v>
      </c>
      <c r="G513" t="b">
        <v>0</v>
      </c>
      <c r="H513">
        <f>IF(inventory__Data[[#This Row],[stock_on_hand]]&lt;=0,1,0)</f>
        <v>0</v>
      </c>
      <c r="I513">
        <f>COUNTIFS(inventory__Data[product_id],inventory__Data[[#This Row],[product_id]],inventory__Data[stock_on_hand],"&lt;=0")</f>
        <v>23</v>
      </c>
    </row>
    <row r="514" spans="1:9" x14ac:dyDescent="0.3">
      <c r="A514" s="1">
        <v>45760</v>
      </c>
      <c r="B514" t="s">
        <v>15</v>
      </c>
      <c r="C514">
        <v>283</v>
      </c>
      <c r="D514">
        <v>0.04</v>
      </c>
      <c r="E514">
        <v>0</v>
      </c>
      <c r="F514">
        <v>15</v>
      </c>
      <c r="G514" t="b">
        <v>0</v>
      </c>
      <c r="H514">
        <f>IF(inventory__Data[[#This Row],[stock_on_hand]]&lt;=0,1,0)</f>
        <v>0</v>
      </c>
      <c r="I514">
        <f>COUNTIFS(inventory__Data[product_id],inventory__Data[[#This Row],[product_id]],inventory__Data[stock_on_hand],"&lt;=0")</f>
        <v>30</v>
      </c>
    </row>
    <row r="515" spans="1:9" x14ac:dyDescent="0.3">
      <c r="A515" s="1">
        <v>45760</v>
      </c>
      <c r="B515" t="s">
        <v>18</v>
      </c>
      <c r="C515">
        <v>26</v>
      </c>
      <c r="D515">
        <v>0.15</v>
      </c>
      <c r="E515">
        <v>0</v>
      </c>
      <c r="F515">
        <v>2</v>
      </c>
      <c r="G515" t="b">
        <v>0</v>
      </c>
      <c r="H515">
        <f>IF(inventory__Data[[#This Row],[stock_on_hand]]&lt;=0,1,0)</f>
        <v>0</v>
      </c>
      <c r="I515">
        <f>COUNTIFS(inventory__Data[product_id],inventory__Data[[#This Row],[product_id]],inventory__Data[stock_on_hand],"&lt;=0")</f>
        <v>30</v>
      </c>
    </row>
    <row r="516" spans="1:9" x14ac:dyDescent="0.3">
      <c r="A516" s="1">
        <v>45760</v>
      </c>
      <c r="B516" t="s">
        <v>21</v>
      </c>
      <c r="C516">
        <v>591</v>
      </c>
      <c r="D516">
        <v>0.03</v>
      </c>
      <c r="E516">
        <v>0</v>
      </c>
      <c r="F516">
        <v>15</v>
      </c>
      <c r="G516" t="b">
        <v>0</v>
      </c>
      <c r="H516">
        <f>IF(inventory__Data[[#This Row],[stock_on_hand]]&lt;=0,1,0)</f>
        <v>0</v>
      </c>
      <c r="I516">
        <f>COUNTIFS(inventory__Data[product_id],inventory__Data[[#This Row],[product_id]],inventory__Data[stock_on_hand],"&lt;=0")</f>
        <v>29</v>
      </c>
    </row>
    <row r="517" spans="1:9" x14ac:dyDescent="0.3">
      <c r="A517" s="1">
        <v>45761</v>
      </c>
      <c r="B517" t="s">
        <v>9</v>
      </c>
      <c r="C517">
        <v>387</v>
      </c>
      <c r="D517">
        <v>0.05</v>
      </c>
      <c r="E517">
        <v>0</v>
      </c>
      <c r="F517">
        <v>5</v>
      </c>
      <c r="G517" t="b">
        <v>0</v>
      </c>
      <c r="H517">
        <f>IF(inventory__Data[[#This Row],[stock_on_hand]]&lt;=0,1,0)</f>
        <v>0</v>
      </c>
      <c r="I517">
        <f>COUNTIFS(inventory__Data[product_id],inventory__Data[[#This Row],[product_id]],inventory__Data[stock_on_hand],"&lt;=0")</f>
        <v>25</v>
      </c>
    </row>
    <row r="518" spans="1:9" x14ac:dyDescent="0.3">
      <c r="A518" s="1">
        <v>45761</v>
      </c>
      <c r="B518" t="s">
        <v>12</v>
      </c>
      <c r="C518">
        <v>374</v>
      </c>
      <c r="D518">
        <v>0.02</v>
      </c>
      <c r="E518">
        <v>0</v>
      </c>
      <c r="F518">
        <v>5</v>
      </c>
      <c r="G518" t="b">
        <v>0</v>
      </c>
      <c r="H518">
        <f>IF(inventory__Data[[#This Row],[stock_on_hand]]&lt;=0,1,0)</f>
        <v>0</v>
      </c>
      <c r="I518">
        <f>COUNTIFS(inventory__Data[product_id],inventory__Data[[#This Row],[product_id]],inventory__Data[stock_on_hand],"&lt;=0")</f>
        <v>23</v>
      </c>
    </row>
    <row r="519" spans="1:9" x14ac:dyDescent="0.3">
      <c r="A519" s="1">
        <v>45761</v>
      </c>
      <c r="B519" t="s">
        <v>15</v>
      </c>
      <c r="C519">
        <v>244</v>
      </c>
      <c r="D519">
        <v>0.04</v>
      </c>
      <c r="E519">
        <v>0</v>
      </c>
      <c r="F519">
        <v>5</v>
      </c>
      <c r="G519" t="b">
        <v>0</v>
      </c>
      <c r="H519">
        <f>IF(inventory__Data[[#This Row],[stock_on_hand]]&lt;=0,1,0)</f>
        <v>0</v>
      </c>
      <c r="I519">
        <f>COUNTIFS(inventory__Data[product_id],inventory__Data[[#This Row],[product_id]],inventory__Data[stock_on_hand],"&lt;=0")</f>
        <v>30</v>
      </c>
    </row>
    <row r="520" spans="1:9" x14ac:dyDescent="0.3">
      <c r="A520" s="1">
        <v>45761</v>
      </c>
      <c r="B520" t="s">
        <v>18</v>
      </c>
      <c r="C520">
        <v>740</v>
      </c>
      <c r="D520">
        <v>0.15</v>
      </c>
      <c r="E520">
        <v>0</v>
      </c>
      <c r="F520">
        <v>2</v>
      </c>
      <c r="G520" t="b">
        <v>0</v>
      </c>
      <c r="H520">
        <f>IF(inventory__Data[[#This Row],[stock_on_hand]]&lt;=0,1,0)</f>
        <v>0</v>
      </c>
      <c r="I520">
        <f>COUNTIFS(inventory__Data[product_id],inventory__Data[[#This Row],[product_id]],inventory__Data[stock_on_hand],"&lt;=0")</f>
        <v>30</v>
      </c>
    </row>
    <row r="521" spans="1:9" x14ac:dyDescent="0.3">
      <c r="A521" s="1">
        <v>45761</v>
      </c>
      <c r="B521" t="s">
        <v>21</v>
      </c>
      <c r="C521">
        <v>41</v>
      </c>
      <c r="D521">
        <v>0.03</v>
      </c>
      <c r="E521">
        <v>0</v>
      </c>
      <c r="F521">
        <v>2</v>
      </c>
      <c r="G521" t="b">
        <v>0</v>
      </c>
      <c r="H521">
        <f>IF(inventory__Data[[#This Row],[stock_on_hand]]&lt;=0,1,0)</f>
        <v>0</v>
      </c>
      <c r="I521">
        <f>COUNTIFS(inventory__Data[product_id],inventory__Data[[#This Row],[product_id]],inventory__Data[stock_on_hand],"&lt;=0")</f>
        <v>29</v>
      </c>
    </row>
    <row r="522" spans="1:9" x14ac:dyDescent="0.3">
      <c r="A522" s="1">
        <v>45762</v>
      </c>
      <c r="B522" t="s">
        <v>9</v>
      </c>
      <c r="C522">
        <v>452</v>
      </c>
      <c r="D522">
        <v>0.05</v>
      </c>
      <c r="E522">
        <v>0</v>
      </c>
      <c r="F522">
        <v>10</v>
      </c>
      <c r="G522" t="b">
        <v>0</v>
      </c>
      <c r="H522">
        <f>IF(inventory__Data[[#This Row],[stock_on_hand]]&lt;=0,1,0)</f>
        <v>0</v>
      </c>
      <c r="I522">
        <f>COUNTIFS(inventory__Data[product_id],inventory__Data[[#This Row],[product_id]],inventory__Data[stock_on_hand],"&lt;=0")</f>
        <v>25</v>
      </c>
    </row>
    <row r="523" spans="1:9" x14ac:dyDescent="0.3">
      <c r="A523" s="1">
        <v>45762</v>
      </c>
      <c r="B523" t="s">
        <v>12</v>
      </c>
      <c r="C523">
        <v>181</v>
      </c>
      <c r="D523">
        <v>0.02</v>
      </c>
      <c r="E523">
        <v>0</v>
      </c>
      <c r="F523">
        <v>5</v>
      </c>
      <c r="G523" t="b">
        <v>0</v>
      </c>
      <c r="H523">
        <f>IF(inventory__Data[[#This Row],[stock_on_hand]]&lt;=0,1,0)</f>
        <v>0</v>
      </c>
      <c r="I523">
        <f>COUNTIFS(inventory__Data[product_id],inventory__Data[[#This Row],[product_id]],inventory__Data[stock_on_hand],"&lt;=0")</f>
        <v>23</v>
      </c>
    </row>
    <row r="524" spans="1:9" x14ac:dyDescent="0.3">
      <c r="A524" s="1">
        <v>45762</v>
      </c>
      <c r="B524" t="s">
        <v>15</v>
      </c>
      <c r="C524">
        <v>683</v>
      </c>
      <c r="D524">
        <v>0.04</v>
      </c>
      <c r="E524">
        <v>0</v>
      </c>
      <c r="F524">
        <v>5</v>
      </c>
      <c r="G524" t="b">
        <v>0</v>
      </c>
      <c r="H524">
        <f>IF(inventory__Data[[#This Row],[stock_on_hand]]&lt;=0,1,0)</f>
        <v>0</v>
      </c>
      <c r="I524">
        <f>COUNTIFS(inventory__Data[product_id],inventory__Data[[#This Row],[product_id]],inventory__Data[stock_on_hand],"&lt;=0")</f>
        <v>30</v>
      </c>
    </row>
    <row r="525" spans="1:9" x14ac:dyDescent="0.3">
      <c r="A525" s="1">
        <v>45762</v>
      </c>
      <c r="B525" t="s">
        <v>18</v>
      </c>
      <c r="C525">
        <v>543</v>
      </c>
      <c r="D525">
        <v>0.15</v>
      </c>
      <c r="E525">
        <v>0</v>
      </c>
      <c r="F525">
        <v>2</v>
      </c>
      <c r="G525" t="b">
        <v>0</v>
      </c>
      <c r="H525">
        <f>IF(inventory__Data[[#This Row],[stock_on_hand]]&lt;=0,1,0)</f>
        <v>0</v>
      </c>
      <c r="I525">
        <f>COUNTIFS(inventory__Data[product_id],inventory__Data[[#This Row],[product_id]],inventory__Data[stock_on_hand],"&lt;=0")</f>
        <v>30</v>
      </c>
    </row>
    <row r="526" spans="1:9" x14ac:dyDescent="0.3">
      <c r="A526" s="1">
        <v>45762</v>
      </c>
      <c r="B526" t="s">
        <v>21</v>
      </c>
      <c r="C526">
        <v>818</v>
      </c>
      <c r="D526">
        <v>0.03</v>
      </c>
      <c r="E526">
        <v>0</v>
      </c>
      <c r="F526">
        <v>2</v>
      </c>
      <c r="G526" t="b">
        <v>0</v>
      </c>
      <c r="H526">
        <f>IF(inventory__Data[[#This Row],[stock_on_hand]]&lt;=0,1,0)</f>
        <v>0</v>
      </c>
      <c r="I526">
        <f>COUNTIFS(inventory__Data[product_id],inventory__Data[[#This Row],[product_id]],inventory__Data[stock_on_hand],"&lt;=0")</f>
        <v>29</v>
      </c>
    </row>
    <row r="527" spans="1:9" x14ac:dyDescent="0.3">
      <c r="A527" s="1">
        <v>45763</v>
      </c>
      <c r="B527" t="s">
        <v>9</v>
      </c>
      <c r="C527">
        <v>20</v>
      </c>
      <c r="D527">
        <v>0.05</v>
      </c>
      <c r="E527">
        <v>0</v>
      </c>
      <c r="F527">
        <v>5</v>
      </c>
      <c r="G527" t="b">
        <v>0</v>
      </c>
      <c r="H527">
        <f>IF(inventory__Data[[#This Row],[stock_on_hand]]&lt;=0,1,0)</f>
        <v>0</v>
      </c>
      <c r="I527">
        <f>COUNTIFS(inventory__Data[product_id],inventory__Data[[#This Row],[product_id]],inventory__Data[stock_on_hand],"&lt;=0")</f>
        <v>25</v>
      </c>
    </row>
    <row r="528" spans="1:9" x14ac:dyDescent="0.3">
      <c r="A528" s="1">
        <v>45763</v>
      </c>
      <c r="B528" t="s">
        <v>12</v>
      </c>
      <c r="C528">
        <v>479</v>
      </c>
      <c r="D528">
        <v>0.02</v>
      </c>
      <c r="E528">
        <v>0</v>
      </c>
      <c r="F528">
        <v>5</v>
      </c>
      <c r="G528" t="b">
        <v>0</v>
      </c>
      <c r="H528">
        <f>IF(inventory__Data[[#This Row],[stock_on_hand]]&lt;=0,1,0)</f>
        <v>0</v>
      </c>
      <c r="I528">
        <f>COUNTIFS(inventory__Data[product_id],inventory__Data[[#This Row],[product_id]],inventory__Data[stock_on_hand],"&lt;=0")</f>
        <v>23</v>
      </c>
    </row>
    <row r="529" spans="1:9" x14ac:dyDescent="0.3">
      <c r="A529" s="1">
        <v>45763</v>
      </c>
      <c r="B529" t="s">
        <v>15</v>
      </c>
      <c r="C529">
        <v>797</v>
      </c>
      <c r="D529">
        <v>0.04</v>
      </c>
      <c r="E529">
        <v>0</v>
      </c>
      <c r="F529">
        <v>2</v>
      </c>
      <c r="G529" t="b">
        <v>0</v>
      </c>
      <c r="H529">
        <f>IF(inventory__Data[[#This Row],[stock_on_hand]]&lt;=0,1,0)</f>
        <v>0</v>
      </c>
      <c r="I529">
        <f>COUNTIFS(inventory__Data[product_id],inventory__Data[[#This Row],[product_id]],inventory__Data[stock_on_hand],"&lt;=0")</f>
        <v>30</v>
      </c>
    </row>
    <row r="530" spans="1:9" x14ac:dyDescent="0.3">
      <c r="A530" s="1">
        <v>45763</v>
      </c>
      <c r="B530" t="s">
        <v>18</v>
      </c>
      <c r="C530">
        <v>682</v>
      </c>
      <c r="D530">
        <v>0.15</v>
      </c>
      <c r="E530">
        <v>0</v>
      </c>
      <c r="F530">
        <v>2</v>
      </c>
      <c r="G530" t="b">
        <v>0</v>
      </c>
      <c r="H530">
        <f>IF(inventory__Data[[#This Row],[stock_on_hand]]&lt;=0,1,0)</f>
        <v>0</v>
      </c>
      <c r="I530">
        <f>COUNTIFS(inventory__Data[product_id],inventory__Data[[#This Row],[product_id]],inventory__Data[stock_on_hand],"&lt;=0")</f>
        <v>30</v>
      </c>
    </row>
    <row r="531" spans="1:9" x14ac:dyDescent="0.3">
      <c r="A531" s="1">
        <v>45763</v>
      </c>
      <c r="B531" t="s">
        <v>21</v>
      </c>
      <c r="C531">
        <v>352</v>
      </c>
      <c r="D531">
        <v>0.03</v>
      </c>
      <c r="E531">
        <v>0</v>
      </c>
      <c r="F531">
        <v>2</v>
      </c>
      <c r="G531" t="b">
        <v>0</v>
      </c>
      <c r="H531">
        <f>IF(inventory__Data[[#This Row],[stock_on_hand]]&lt;=0,1,0)</f>
        <v>0</v>
      </c>
      <c r="I531">
        <f>COUNTIFS(inventory__Data[product_id],inventory__Data[[#This Row],[product_id]],inventory__Data[stock_on_hand],"&lt;=0")</f>
        <v>29</v>
      </c>
    </row>
    <row r="532" spans="1:9" x14ac:dyDescent="0.3">
      <c r="A532" s="1">
        <v>45764</v>
      </c>
      <c r="B532" t="s">
        <v>9</v>
      </c>
      <c r="C532">
        <v>0</v>
      </c>
      <c r="D532">
        <v>0.05</v>
      </c>
      <c r="E532">
        <v>0</v>
      </c>
      <c r="F532">
        <v>5</v>
      </c>
      <c r="G532" t="b">
        <v>0</v>
      </c>
      <c r="H532">
        <f>IF(inventory__Data[[#This Row],[stock_on_hand]]&lt;=0,1,0)</f>
        <v>1</v>
      </c>
      <c r="I532">
        <f>COUNTIFS(inventory__Data[product_id],inventory__Data[[#This Row],[product_id]],inventory__Data[stock_on_hand],"&lt;=0")</f>
        <v>25</v>
      </c>
    </row>
    <row r="533" spans="1:9" x14ac:dyDescent="0.3">
      <c r="A533" s="1">
        <v>45764</v>
      </c>
      <c r="B533" t="s">
        <v>12</v>
      </c>
      <c r="C533">
        <v>180</v>
      </c>
      <c r="D533">
        <v>0.02</v>
      </c>
      <c r="E533">
        <v>0</v>
      </c>
      <c r="F533">
        <v>10</v>
      </c>
      <c r="G533" t="b">
        <v>0</v>
      </c>
      <c r="H533">
        <f>IF(inventory__Data[[#This Row],[stock_on_hand]]&lt;=0,1,0)</f>
        <v>0</v>
      </c>
      <c r="I533">
        <f>COUNTIFS(inventory__Data[product_id],inventory__Data[[#This Row],[product_id]],inventory__Data[stock_on_hand],"&lt;=0")</f>
        <v>23</v>
      </c>
    </row>
    <row r="534" spans="1:9" x14ac:dyDescent="0.3">
      <c r="A534" s="1">
        <v>45764</v>
      </c>
      <c r="B534" t="s">
        <v>15</v>
      </c>
      <c r="C534">
        <v>393</v>
      </c>
      <c r="D534">
        <v>0.04</v>
      </c>
      <c r="E534">
        <v>0</v>
      </c>
      <c r="F534">
        <v>2</v>
      </c>
      <c r="G534" t="b">
        <v>0</v>
      </c>
      <c r="H534">
        <f>IF(inventory__Data[[#This Row],[stock_on_hand]]&lt;=0,1,0)</f>
        <v>0</v>
      </c>
      <c r="I534">
        <f>COUNTIFS(inventory__Data[product_id],inventory__Data[[#This Row],[product_id]],inventory__Data[stock_on_hand],"&lt;=0")</f>
        <v>30</v>
      </c>
    </row>
    <row r="535" spans="1:9" x14ac:dyDescent="0.3">
      <c r="A535" s="1">
        <v>45764</v>
      </c>
      <c r="B535" t="s">
        <v>18</v>
      </c>
      <c r="C535">
        <v>0</v>
      </c>
      <c r="D535">
        <v>0.15</v>
      </c>
      <c r="E535">
        <v>0</v>
      </c>
      <c r="F535">
        <v>15</v>
      </c>
      <c r="G535" t="b">
        <v>0</v>
      </c>
      <c r="H535">
        <f>IF(inventory__Data[[#This Row],[stock_on_hand]]&lt;=0,1,0)</f>
        <v>1</v>
      </c>
      <c r="I535">
        <f>COUNTIFS(inventory__Data[product_id],inventory__Data[[#This Row],[product_id]],inventory__Data[stock_on_hand],"&lt;=0")</f>
        <v>30</v>
      </c>
    </row>
    <row r="536" spans="1:9" x14ac:dyDescent="0.3">
      <c r="A536" s="1">
        <v>45764</v>
      </c>
      <c r="B536" t="s">
        <v>21</v>
      </c>
      <c r="C536">
        <v>363</v>
      </c>
      <c r="D536">
        <v>0.03</v>
      </c>
      <c r="E536">
        <v>0</v>
      </c>
      <c r="F536">
        <v>2</v>
      </c>
      <c r="G536" t="b">
        <v>0</v>
      </c>
      <c r="H536">
        <f>IF(inventory__Data[[#This Row],[stock_on_hand]]&lt;=0,1,0)</f>
        <v>0</v>
      </c>
      <c r="I536">
        <f>COUNTIFS(inventory__Data[product_id],inventory__Data[[#This Row],[product_id]],inventory__Data[stock_on_hand],"&lt;=0")</f>
        <v>29</v>
      </c>
    </row>
    <row r="537" spans="1:9" x14ac:dyDescent="0.3">
      <c r="A537" s="1">
        <v>45765</v>
      </c>
      <c r="B537" t="s">
        <v>9</v>
      </c>
      <c r="C537">
        <v>393</v>
      </c>
      <c r="D537">
        <v>0.05</v>
      </c>
      <c r="E537">
        <v>0</v>
      </c>
      <c r="F537">
        <v>2</v>
      </c>
      <c r="G537" t="b">
        <v>0</v>
      </c>
      <c r="H537">
        <f>IF(inventory__Data[[#This Row],[stock_on_hand]]&lt;=0,1,0)</f>
        <v>0</v>
      </c>
      <c r="I537">
        <f>COUNTIFS(inventory__Data[product_id],inventory__Data[[#This Row],[product_id]],inventory__Data[stock_on_hand],"&lt;=0")</f>
        <v>25</v>
      </c>
    </row>
    <row r="538" spans="1:9" x14ac:dyDescent="0.3">
      <c r="A538" s="1">
        <v>45765</v>
      </c>
      <c r="B538" t="s">
        <v>12</v>
      </c>
      <c r="C538">
        <v>287</v>
      </c>
      <c r="D538">
        <v>0.02</v>
      </c>
      <c r="E538">
        <v>0</v>
      </c>
      <c r="F538">
        <v>5</v>
      </c>
      <c r="G538" t="b">
        <v>0</v>
      </c>
      <c r="H538">
        <f>IF(inventory__Data[[#This Row],[stock_on_hand]]&lt;=0,1,0)</f>
        <v>0</v>
      </c>
      <c r="I538">
        <f>COUNTIFS(inventory__Data[product_id],inventory__Data[[#This Row],[product_id]],inventory__Data[stock_on_hand],"&lt;=0")</f>
        <v>23</v>
      </c>
    </row>
    <row r="539" spans="1:9" x14ac:dyDescent="0.3">
      <c r="A539" s="1">
        <v>45765</v>
      </c>
      <c r="B539" t="s">
        <v>15</v>
      </c>
      <c r="C539">
        <v>0</v>
      </c>
      <c r="D539">
        <v>0.04</v>
      </c>
      <c r="E539">
        <v>0</v>
      </c>
      <c r="F539">
        <v>2</v>
      </c>
      <c r="G539" t="b">
        <v>0</v>
      </c>
      <c r="H539">
        <f>IF(inventory__Data[[#This Row],[stock_on_hand]]&lt;=0,1,0)</f>
        <v>1</v>
      </c>
      <c r="I539">
        <f>COUNTIFS(inventory__Data[product_id],inventory__Data[[#This Row],[product_id]],inventory__Data[stock_on_hand],"&lt;=0")</f>
        <v>30</v>
      </c>
    </row>
    <row r="540" spans="1:9" x14ac:dyDescent="0.3">
      <c r="A540" s="1">
        <v>45765</v>
      </c>
      <c r="B540" t="s">
        <v>18</v>
      </c>
      <c r="C540">
        <v>403</v>
      </c>
      <c r="D540">
        <v>0.15</v>
      </c>
      <c r="E540">
        <v>0</v>
      </c>
      <c r="F540">
        <v>15</v>
      </c>
      <c r="G540" t="b">
        <v>0</v>
      </c>
      <c r="H540">
        <f>IF(inventory__Data[[#This Row],[stock_on_hand]]&lt;=0,1,0)</f>
        <v>0</v>
      </c>
      <c r="I540">
        <f>COUNTIFS(inventory__Data[product_id],inventory__Data[[#This Row],[product_id]],inventory__Data[stock_on_hand],"&lt;=0")</f>
        <v>30</v>
      </c>
    </row>
    <row r="541" spans="1:9" x14ac:dyDescent="0.3">
      <c r="A541" s="1">
        <v>45765</v>
      </c>
      <c r="B541" t="s">
        <v>21</v>
      </c>
      <c r="C541">
        <v>80</v>
      </c>
      <c r="D541">
        <v>0.03</v>
      </c>
      <c r="E541">
        <v>0</v>
      </c>
      <c r="F541">
        <v>2</v>
      </c>
      <c r="G541" t="b">
        <v>0</v>
      </c>
      <c r="H541">
        <f>IF(inventory__Data[[#This Row],[stock_on_hand]]&lt;=0,1,0)</f>
        <v>0</v>
      </c>
      <c r="I541">
        <f>COUNTIFS(inventory__Data[product_id],inventory__Data[[#This Row],[product_id]],inventory__Data[stock_on_hand],"&lt;=0")</f>
        <v>29</v>
      </c>
    </row>
    <row r="542" spans="1:9" x14ac:dyDescent="0.3">
      <c r="A542" s="1">
        <v>45766</v>
      </c>
      <c r="B542" t="s">
        <v>9</v>
      </c>
      <c r="C542">
        <v>115</v>
      </c>
      <c r="D542">
        <v>0.05</v>
      </c>
      <c r="E542">
        <v>0</v>
      </c>
      <c r="F542">
        <v>5</v>
      </c>
      <c r="G542" t="b">
        <v>0</v>
      </c>
      <c r="H542">
        <f>IF(inventory__Data[[#This Row],[stock_on_hand]]&lt;=0,1,0)</f>
        <v>0</v>
      </c>
      <c r="I542">
        <f>COUNTIFS(inventory__Data[product_id],inventory__Data[[#This Row],[product_id]],inventory__Data[stock_on_hand],"&lt;=0")</f>
        <v>25</v>
      </c>
    </row>
    <row r="543" spans="1:9" x14ac:dyDescent="0.3">
      <c r="A543" s="1">
        <v>45766</v>
      </c>
      <c r="B543" t="s">
        <v>12</v>
      </c>
      <c r="C543">
        <v>561</v>
      </c>
      <c r="D543">
        <v>0.02</v>
      </c>
      <c r="E543">
        <v>0</v>
      </c>
      <c r="F543">
        <v>2</v>
      </c>
      <c r="G543" t="b">
        <v>0</v>
      </c>
      <c r="H543">
        <f>IF(inventory__Data[[#This Row],[stock_on_hand]]&lt;=0,1,0)</f>
        <v>0</v>
      </c>
      <c r="I543">
        <f>COUNTIFS(inventory__Data[product_id],inventory__Data[[#This Row],[product_id]],inventory__Data[stock_on_hand],"&lt;=0")</f>
        <v>23</v>
      </c>
    </row>
    <row r="544" spans="1:9" x14ac:dyDescent="0.3">
      <c r="A544" s="1">
        <v>45766</v>
      </c>
      <c r="B544" t="s">
        <v>15</v>
      </c>
      <c r="C544">
        <v>607</v>
      </c>
      <c r="D544">
        <v>0.04</v>
      </c>
      <c r="E544">
        <v>0</v>
      </c>
      <c r="F544">
        <v>5</v>
      </c>
      <c r="G544" t="b">
        <v>0</v>
      </c>
      <c r="H544">
        <f>IF(inventory__Data[[#This Row],[stock_on_hand]]&lt;=0,1,0)</f>
        <v>0</v>
      </c>
      <c r="I544">
        <f>COUNTIFS(inventory__Data[product_id],inventory__Data[[#This Row],[product_id]],inventory__Data[stock_on_hand],"&lt;=0")</f>
        <v>30</v>
      </c>
    </row>
    <row r="545" spans="1:9" x14ac:dyDescent="0.3">
      <c r="A545" s="1">
        <v>45766</v>
      </c>
      <c r="B545" t="s">
        <v>18</v>
      </c>
      <c r="C545">
        <v>157</v>
      </c>
      <c r="D545">
        <v>0.15</v>
      </c>
      <c r="E545">
        <v>0</v>
      </c>
      <c r="F545">
        <v>2</v>
      </c>
      <c r="G545" t="b">
        <v>0</v>
      </c>
      <c r="H545">
        <f>IF(inventory__Data[[#This Row],[stock_on_hand]]&lt;=0,1,0)</f>
        <v>0</v>
      </c>
      <c r="I545">
        <f>COUNTIFS(inventory__Data[product_id],inventory__Data[[#This Row],[product_id]],inventory__Data[stock_on_hand],"&lt;=0")</f>
        <v>30</v>
      </c>
    </row>
    <row r="546" spans="1:9" x14ac:dyDescent="0.3">
      <c r="A546" s="1">
        <v>45766</v>
      </c>
      <c r="B546" t="s">
        <v>21</v>
      </c>
      <c r="C546">
        <v>0</v>
      </c>
      <c r="D546">
        <v>0.03</v>
      </c>
      <c r="E546">
        <v>0</v>
      </c>
      <c r="F546">
        <v>2</v>
      </c>
      <c r="G546" t="b">
        <v>0</v>
      </c>
      <c r="H546">
        <f>IF(inventory__Data[[#This Row],[stock_on_hand]]&lt;=0,1,0)</f>
        <v>1</v>
      </c>
      <c r="I546">
        <f>COUNTIFS(inventory__Data[product_id],inventory__Data[[#This Row],[product_id]],inventory__Data[stock_on_hand],"&lt;=0")</f>
        <v>29</v>
      </c>
    </row>
    <row r="547" spans="1:9" x14ac:dyDescent="0.3">
      <c r="A547" s="1">
        <v>45767</v>
      </c>
      <c r="B547" t="s">
        <v>9</v>
      </c>
      <c r="C547">
        <v>0</v>
      </c>
      <c r="D547">
        <v>0.05</v>
      </c>
      <c r="E547">
        <v>0</v>
      </c>
      <c r="F547">
        <v>2</v>
      </c>
      <c r="G547" t="b">
        <v>0</v>
      </c>
      <c r="H547">
        <f>IF(inventory__Data[[#This Row],[stock_on_hand]]&lt;=0,1,0)</f>
        <v>1</v>
      </c>
      <c r="I547">
        <f>COUNTIFS(inventory__Data[product_id],inventory__Data[[#This Row],[product_id]],inventory__Data[stock_on_hand],"&lt;=0")</f>
        <v>25</v>
      </c>
    </row>
    <row r="548" spans="1:9" x14ac:dyDescent="0.3">
      <c r="A548" s="1">
        <v>45767</v>
      </c>
      <c r="B548" t="s">
        <v>12</v>
      </c>
      <c r="C548">
        <v>313</v>
      </c>
      <c r="D548">
        <v>0.02</v>
      </c>
      <c r="E548">
        <v>0</v>
      </c>
      <c r="F548">
        <v>5</v>
      </c>
      <c r="G548" t="b">
        <v>0</v>
      </c>
      <c r="H548">
        <f>IF(inventory__Data[[#This Row],[stock_on_hand]]&lt;=0,1,0)</f>
        <v>0</v>
      </c>
      <c r="I548">
        <f>COUNTIFS(inventory__Data[product_id],inventory__Data[[#This Row],[product_id]],inventory__Data[stock_on_hand],"&lt;=0")</f>
        <v>23</v>
      </c>
    </row>
    <row r="549" spans="1:9" x14ac:dyDescent="0.3">
      <c r="A549" s="1">
        <v>45767</v>
      </c>
      <c r="B549" t="s">
        <v>15</v>
      </c>
      <c r="C549">
        <v>865</v>
      </c>
      <c r="D549">
        <v>0.04</v>
      </c>
      <c r="E549">
        <v>0</v>
      </c>
      <c r="F549">
        <v>5</v>
      </c>
      <c r="G549" t="b">
        <v>0</v>
      </c>
      <c r="H549">
        <f>IF(inventory__Data[[#This Row],[stock_on_hand]]&lt;=0,1,0)</f>
        <v>0</v>
      </c>
      <c r="I549">
        <f>COUNTIFS(inventory__Data[product_id],inventory__Data[[#This Row],[product_id]],inventory__Data[stock_on_hand],"&lt;=0")</f>
        <v>30</v>
      </c>
    </row>
    <row r="550" spans="1:9" x14ac:dyDescent="0.3">
      <c r="A550" s="1">
        <v>45767</v>
      </c>
      <c r="B550" t="s">
        <v>18</v>
      </c>
      <c r="C550">
        <v>880</v>
      </c>
      <c r="D550">
        <v>0.15</v>
      </c>
      <c r="E550">
        <v>0</v>
      </c>
      <c r="F550">
        <v>2</v>
      </c>
      <c r="G550" t="b">
        <v>0</v>
      </c>
      <c r="H550">
        <f>IF(inventory__Data[[#This Row],[stock_on_hand]]&lt;=0,1,0)</f>
        <v>0</v>
      </c>
      <c r="I550">
        <f>COUNTIFS(inventory__Data[product_id],inventory__Data[[#This Row],[product_id]],inventory__Data[stock_on_hand],"&lt;=0")</f>
        <v>30</v>
      </c>
    </row>
    <row r="551" spans="1:9" x14ac:dyDescent="0.3">
      <c r="A551" s="1">
        <v>45767</v>
      </c>
      <c r="B551" t="s">
        <v>21</v>
      </c>
      <c r="C551">
        <v>377</v>
      </c>
      <c r="D551">
        <v>0.03</v>
      </c>
      <c r="E551">
        <v>0</v>
      </c>
      <c r="F551">
        <v>10</v>
      </c>
      <c r="G551" t="b">
        <v>0</v>
      </c>
      <c r="H551">
        <f>IF(inventory__Data[[#This Row],[stock_on_hand]]&lt;=0,1,0)</f>
        <v>0</v>
      </c>
      <c r="I551">
        <f>COUNTIFS(inventory__Data[product_id],inventory__Data[[#This Row],[product_id]],inventory__Data[stock_on_hand],"&lt;=0")</f>
        <v>29</v>
      </c>
    </row>
    <row r="552" spans="1:9" x14ac:dyDescent="0.3">
      <c r="A552" s="1">
        <v>45768</v>
      </c>
      <c r="B552" t="s">
        <v>9</v>
      </c>
      <c r="C552">
        <v>324</v>
      </c>
      <c r="D552">
        <v>0.05</v>
      </c>
      <c r="E552">
        <v>0</v>
      </c>
      <c r="F552">
        <v>2</v>
      </c>
      <c r="G552" t="b">
        <v>0</v>
      </c>
      <c r="H552">
        <f>IF(inventory__Data[[#This Row],[stock_on_hand]]&lt;=0,1,0)</f>
        <v>0</v>
      </c>
      <c r="I552">
        <f>COUNTIFS(inventory__Data[product_id],inventory__Data[[#This Row],[product_id]],inventory__Data[stock_on_hand],"&lt;=0")</f>
        <v>25</v>
      </c>
    </row>
    <row r="553" spans="1:9" x14ac:dyDescent="0.3">
      <c r="A553" s="1">
        <v>45768</v>
      </c>
      <c r="B553" t="s">
        <v>12</v>
      </c>
      <c r="C553">
        <v>396</v>
      </c>
      <c r="D553">
        <v>0.02</v>
      </c>
      <c r="E553">
        <v>0</v>
      </c>
      <c r="F553">
        <v>2</v>
      </c>
      <c r="G553" t="b">
        <v>0</v>
      </c>
      <c r="H553">
        <f>IF(inventory__Data[[#This Row],[stock_on_hand]]&lt;=0,1,0)</f>
        <v>0</v>
      </c>
      <c r="I553">
        <f>COUNTIFS(inventory__Data[product_id],inventory__Data[[#This Row],[product_id]],inventory__Data[stock_on_hand],"&lt;=0")</f>
        <v>23</v>
      </c>
    </row>
    <row r="554" spans="1:9" x14ac:dyDescent="0.3">
      <c r="A554" s="1">
        <v>45768</v>
      </c>
      <c r="B554" t="s">
        <v>15</v>
      </c>
      <c r="C554">
        <v>165</v>
      </c>
      <c r="D554">
        <v>0.04</v>
      </c>
      <c r="E554">
        <v>0</v>
      </c>
      <c r="F554">
        <v>10</v>
      </c>
      <c r="G554" t="b">
        <v>0</v>
      </c>
      <c r="H554">
        <f>IF(inventory__Data[[#This Row],[stock_on_hand]]&lt;=0,1,0)</f>
        <v>0</v>
      </c>
      <c r="I554">
        <f>COUNTIFS(inventory__Data[product_id],inventory__Data[[#This Row],[product_id]],inventory__Data[stock_on_hand],"&lt;=0")</f>
        <v>30</v>
      </c>
    </row>
    <row r="555" spans="1:9" x14ac:dyDescent="0.3">
      <c r="A555" s="1">
        <v>45768</v>
      </c>
      <c r="B555" t="s">
        <v>18</v>
      </c>
      <c r="C555">
        <v>727</v>
      </c>
      <c r="D555">
        <v>0.15</v>
      </c>
      <c r="E555">
        <v>0</v>
      </c>
      <c r="F555">
        <v>2</v>
      </c>
      <c r="G555" t="b">
        <v>0</v>
      </c>
      <c r="H555">
        <f>IF(inventory__Data[[#This Row],[stock_on_hand]]&lt;=0,1,0)</f>
        <v>0</v>
      </c>
      <c r="I555">
        <f>COUNTIFS(inventory__Data[product_id],inventory__Data[[#This Row],[product_id]],inventory__Data[stock_on_hand],"&lt;=0")</f>
        <v>30</v>
      </c>
    </row>
    <row r="556" spans="1:9" x14ac:dyDescent="0.3">
      <c r="A556" s="1">
        <v>45768</v>
      </c>
      <c r="B556" t="s">
        <v>21</v>
      </c>
      <c r="C556">
        <v>443</v>
      </c>
      <c r="D556">
        <v>0.03</v>
      </c>
      <c r="E556">
        <v>0</v>
      </c>
      <c r="F556">
        <v>2</v>
      </c>
      <c r="G556" t="b">
        <v>0</v>
      </c>
      <c r="H556">
        <f>IF(inventory__Data[[#This Row],[stock_on_hand]]&lt;=0,1,0)</f>
        <v>0</v>
      </c>
      <c r="I556">
        <f>COUNTIFS(inventory__Data[product_id],inventory__Data[[#This Row],[product_id]],inventory__Data[stock_on_hand],"&lt;=0")</f>
        <v>29</v>
      </c>
    </row>
    <row r="557" spans="1:9" x14ac:dyDescent="0.3">
      <c r="A557" s="1">
        <v>45769</v>
      </c>
      <c r="B557" t="s">
        <v>9</v>
      </c>
      <c r="C557">
        <v>434</v>
      </c>
      <c r="D557">
        <v>0.05</v>
      </c>
      <c r="E557">
        <v>0</v>
      </c>
      <c r="F557">
        <v>2</v>
      </c>
      <c r="G557" t="b">
        <v>0</v>
      </c>
      <c r="H557">
        <f>IF(inventory__Data[[#This Row],[stock_on_hand]]&lt;=0,1,0)</f>
        <v>0</v>
      </c>
      <c r="I557">
        <f>COUNTIFS(inventory__Data[product_id],inventory__Data[[#This Row],[product_id]],inventory__Data[stock_on_hand],"&lt;=0")</f>
        <v>25</v>
      </c>
    </row>
    <row r="558" spans="1:9" x14ac:dyDescent="0.3">
      <c r="A558" s="1">
        <v>45769</v>
      </c>
      <c r="B558" t="s">
        <v>12</v>
      </c>
      <c r="C558">
        <v>612</v>
      </c>
      <c r="D558">
        <v>0.02</v>
      </c>
      <c r="E558">
        <v>0</v>
      </c>
      <c r="F558">
        <v>5</v>
      </c>
      <c r="G558" t="b">
        <v>0</v>
      </c>
      <c r="H558">
        <f>IF(inventory__Data[[#This Row],[stock_on_hand]]&lt;=0,1,0)</f>
        <v>0</v>
      </c>
      <c r="I558">
        <f>COUNTIFS(inventory__Data[product_id],inventory__Data[[#This Row],[product_id]],inventory__Data[stock_on_hand],"&lt;=0")</f>
        <v>23</v>
      </c>
    </row>
    <row r="559" spans="1:9" x14ac:dyDescent="0.3">
      <c r="A559" s="1">
        <v>45769</v>
      </c>
      <c r="B559" t="s">
        <v>15</v>
      </c>
      <c r="C559">
        <v>753</v>
      </c>
      <c r="D559">
        <v>0.04</v>
      </c>
      <c r="E559">
        <v>0</v>
      </c>
      <c r="F559">
        <v>2</v>
      </c>
      <c r="G559" t="b">
        <v>0</v>
      </c>
      <c r="H559">
        <f>IF(inventory__Data[[#This Row],[stock_on_hand]]&lt;=0,1,0)</f>
        <v>0</v>
      </c>
      <c r="I559">
        <f>COUNTIFS(inventory__Data[product_id],inventory__Data[[#This Row],[product_id]],inventory__Data[stock_on_hand],"&lt;=0")</f>
        <v>30</v>
      </c>
    </row>
    <row r="560" spans="1:9" x14ac:dyDescent="0.3">
      <c r="A560" s="1">
        <v>45769</v>
      </c>
      <c r="B560" t="s">
        <v>18</v>
      </c>
      <c r="C560">
        <v>433</v>
      </c>
      <c r="D560">
        <v>0.15</v>
      </c>
      <c r="E560">
        <v>0</v>
      </c>
      <c r="F560">
        <v>2</v>
      </c>
      <c r="G560" t="b">
        <v>0</v>
      </c>
      <c r="H560">
        <f>IF(inventory__Data[[#This Row],[stock_on_hand]]&lt;=0,1,0)</f>
        <v>0</v>
      </c>
      <c r="I560">
        <f>COUNTIFS(inventory__Data[product_id],inventory__Data[[#This Row],[product_id]],inventory__Data[stock_on_hand],"&lt;=0")</f>
        <v>30</v>
      </c>
    </row>
    <row r="561" spans="1:9" x14ac:dyDescent="0.3">
      <c r="A561" s="1">
        <v>45769</v>
      </c>
      <c r="B561" t="s">
        <v>21</v>
      </c>
      <c r="C561">
        <v>74</v>
      </c>
      <c r="D561">
        <v>0.03</v>
      </c>
      <c r="E561">
        <v>0</v>
      </c>
      <c r="F561">
        <v>2</v>
      </c>
      <c r="G561" t="b">
        <v>0</v>
      </c>
      <c r="H561">
        <f>IF(inventory__Data[[#This Row],[stock_on_hand]]&lt;=0,1,0)</f>
        <v>0</v>
      </c>
      <c r="I561">
        <f>COUNTIFS(inventory__Data[product_id],inventory__Data[[#This Row],[product_id]],inventory__Data[stock_on_hand],"&lt;=0")</f>
        <v>29</v>
      </c>
    </row>
    <row r="562" spans="1:9" x14ac:dyDescent="0.3">
      <c r="A562" s="1">
        <v>45770</v>
      </c>
      <c r="B562" t="s">
        <v>9</v>
      </c>
      <c r="C562">
        <v>802</v>
      </c>
      <c r="D562">
        <v>0.05</v>
      </c>
      <c r="E562">
        <v>0</v>
      </c>
      <c r="F562">
        <v>2</v>
      </c>
      <c r="G562" t="b">
        <v>0</v>
      </c>
      <c r="H562">
        <f>IF(inventory__Data[[#This Row],[stock_on_hand]]&lt;=0,1,0)</f>
        <v>0</v>
      </c>
      <c r="I562">
        <f>COUNTIFS(inventory__Data[product_id],inventory__Data[[#This Row],[product_id]],inventory__Data[stock_on_hand],"&lt;=0")</f>
        <v>25</v>
      </c>
    </row>
    <row r="563" spans="1:9" x14ac:dyDescent="0.3">
      <c r="A563" s="1">
        <v>45770</v>
      </c>
      <c r="B563" t="s">
        <v>12</v>
      </c>
      <c r="C563">
        <v>644</v>
      </c>
      <c r="D563">
        <v>0.02</v>
      </c>
      <c r="E563">
        <v>0</v>
      </c>
      <c r="F563">
        <v>2</v>
      </c>
      <c r="G563" t="b">
        <v>0</v>
      </c>
      <c r="H563">
        <f>IF(inventory__Data[[#This Row],[stock_on_hand]]&lt;=0,1,0)</f>
        <v>0</v>
      </c>
      <c r="I563">
        <f>COUNTIFS(inventory__Data[product_id],inventory__Data[[#This Row],[product_id]],inventory__Data[stock_on_hand],"&lt;=0")</f>
        <v>23</v>
      </c>
    </row>
    <row r="564" spans="1:9" x14ac:dyDescent="0.3">
      <c r="A564" s="1">
        <v>45770</v>
      </c>
      <c r="B564" t="s">
        <v>15</v>
      </c>
      <c r="C564">
        <v>422</v>
      </c>
      <c r="D564">
        <v>0.04</v>
      </c>
      <c r="E564">
        <v>0</v>
      </c>
      <c r="F564">
        <v>2</v>
      </c>
      <c r="G564" t="b">
        <v>0</v>
      </c>
      <c r="H564">
        <f>IF(inventory__Data[[#This Row],[stock_on_hand]]&lt;=0,1,0)</f>
        <v>0</v>
      </c>
      <c r="I564">
        <f>COUNTIFS(inventory__Data[product_id],inventory__Data[[#This Row],[product_id]],inventory__Data[stock_on_hand],"&lt;=0")</f>
        <v>30</v>
      </c>
    </row>
    <row r="565" spans="1:9" x14ac:dyDescent="0.3">
      <c r="A565" s="1">
        <v>45770</v>
      </c>
      <c r="B565" t="s">
        <v>18</v>
      </c>
      <c r="C565">
        <v>843</v>
      </c>
      <c r="D565">
        <v>0.15</v>
      </c>
      <c r="E565">
        <v>0</v>
      </c>
      <c r="F565">
        <v>2</v>
      </c>
      <c r="G565" t="b">
        <v>0</v>
      </c>
      <c r="H565">
        <f>IF(inventory__Data[[#This Row],[stock_on_hand]]&lt;=0,1,0)</f>
        <v>0</v>
      </c>
      <c r="I565">
        <f>COUNTIFS(inventory__Data[product_id],inventory__Data[[#This Row],[product_id]],inventory__Data[stock_on_hand],"&lt;=0")</f>
        <v>30</v>
      </c>
    </row>
    <row r="566" spans="1:9" x14ac:dyDescent="0.3">
      <c r="A566" s="1">
        <v>45770</v>
      </c>
      <c r="B566" t="s">
        <v>21</v>
      </c>
      <c r="C566">
        <v>218</v>
      </c>
      <c r="D566">
        <v>0.03</v>
      </c>
      <c r="E566">
        <v>0</v>
      </c>
      <c r="F566">
        <v>2</v>
      </c>
      <c r="G566" t="b">
        <v>0</v>
      </c>
      <c r="H566">
        <f>IF(inventory__Data[[#This Row],[stock_on_hand]]&lt;=0,1,0)</f>
        <v>0</v>
      </c>
      <c r="I566">
        <f>COUNTIFS(inventory__Data[product_id],inventory__Data[[#This Row],[product_id]],inventory__Data[stock_on_hand],"&lt;=0")</f>
        <v>29</v>
      </c>
    </row>
    <row r="567" spans="1:9" x14ac:dyDescent="0.3">
      <c r="A567" s="1">
        <v>45771</v>
      </c>
      <c r="B567" t="s">
        <v>9</v>
      </c>
      <c r="C567">
        <v>291</v>
      </c>
      <c r="D567">
        <v>0.05</v>
      </c>
      <c r="E567">
        <v>0</v>
      </c>
      <c r="F567">
        <v>2</v>
      </c>
      <c r="G567" t="b">
        <v>0</v>
      </c>
      <c r="H567">
        <f>IF(inventory__Data[[#This Row],[stock_on_hand]]&lt;=0,1,0)</f>
        <v>0</v>
      </c>
      <c r="I567">
        <f>COUNTIFS(inventory__Data[product_id],inventory__Data[[#This Row],[product_id]],inventory__Data[stock_on_hand],"&lt;=0")</f>
        <v>25</v>
      </c>
    </row>
    <row r="568" spans="1:9" x14ac:dyDescent="0.3">
      <c r="A568" s="1">
        <v>45771</v>
      </c>
      <c r="B568" t="s">
        <v>12</v>
      </c>
      <c r="C568">
        <v>0</v>
      </c>
      <c r="D568">
        <v>0.02</v>
      </c>
      <c r="E568">
        <v>0</v>
      </c>
      <c r="F568">
        <v>2</v>
      </c>
      <c r="G568" t="b">
        <v>0</v>
      </c>
      <c r="H568">
        <f>IF(inventory__Data[[#This Row],[stock_on_hand]]&lt;=0,1,0)</f>
        <v>1</v>
      </c>
      <c r="I568">
        <f>COUNTIFS(inventory__Data[product_id],inventory__Data[[#This Row],[product_id]],inventory__Data[stock_on_hand],"&lt;=0")</f>
        <v>23</v>
      </c>
    </row>
    <row r="569" spans="1:9" x14ac:dyDescent="0.3">
      <c r="A569" s="1">
        <v>45771</v>
      </c>
      <c r="B569" t="s">
        <v>15</v>
      </c>
      <c r="C569">
        <v>138</v>
      </c>
      <c r="D569">
        <v>0.04</v>
      </c>
      <c r="E569">
        <v>0</v>
      </c>
      <c r="F569">
        <v>2</v>
      </c>
      <c r="G569" t="b">
        <v>0</v>
      </c>
      <c r="H569">
        <f>IF(inventory__Data[[#This Row],[stock_on_hand]]&lt;=0,1,0)</f>
        <v>0</v>
      </c>
      <c r="I569">
        <f>COUNTIFS(inventory__Data[product_id],inventory__Data[[#This Row],[product_id]],inventory__Data[stock_on_hand],"&lt;=0")</f>
        <v>30</v>
      </c>
    </row>
    <row r="570" spans="1:9" x14ac:dyDescent="0.3">
      <c r="A570" s="1">
        <v>45771</v>
      </c>
      <c r="B570" t="s">
        <v>18</v>
      </c>
      <c r="C570">
        <v>629</v>
      </c>
      <c r="D570">
        <v>0.15</v>
      </c>
      <c r="E570">
        <v>0</v>
      </c>
      <c r="F570">
        <v>5</v>
      </c>
      <c r="G570" t="b">
        <v>0</v>
      </c>
      <c r="H570">
        <f>IF(inventory__Data[[#This Row],[stock_on_hand]]&lt;=0,1,0)</f>
        <v>0</v>
      </c>
      <c r="I570">
        <f>COUNTIFS(inventory__Data[product_id],inventory__Data[[#This Row],[product_id]],inventory__Data[stock_on_hand],"&lt;=0")</f>
        <v>30</v>
      </c>
    </row>
    <row r="571" spans="1:9" x14ac:dyDescent="0.3">
      <c r="A571" s="1">
        <v>45771</v>
      </c>
      <c r="B571" t="s">
        <v>21</v>
      </c>
      <c r="C571">
        <v>754</v>
      </c>
      <c r="D571">
        <v>0.03</v>
      </c>
      <c r="E571">
        <v>0</v>
      </c>
      <c r="F571">
        <v>2</v>
      </c>
      <c r="G571" t="b">
        <v>0</v>
      </c>
      <c r="H571">
        <f>IF(inventory__Data[[#This Row],[stock_on_hand]]&lt;=0,1,0)</f>
        <v>0</v>
      </c>
      <c r="I571">
        <f>COUNTIFS(inventory__Data[product_id],inventory__Data[[#This Row],[product_id]],inventory__Data[stock_on_hand],"&lt;=0")</f>
        <v>29</v>
      </c>
    </row>
    <row r="572" spans="1:9" x14ac:dyDescent="0.3">
      <c r="A572" s="1">
        <v>45772</v>
      </c>
      <c r="B572" t="s">
        <v>9</v>
      </c>
      <c r="C572">
        <v>804</v>
      </c>
      <c r="D572">
        <v>0.05</v>
      </c>
      <c r="E572">
        <v>0</v>
      </c>
      <c r="F572">
        <v>2</v>
      </c>
      <c r="G572" t="b">
        <v>0</v>
      </c>
      <c r="H572">
        <f>IF(inventory__Data[[#This Row],[stock_on_hand]]&lt;=0,1,0)</f>
        <v>0</v>
      </c>
      <c r="I572">
        <f>COUNTIFS(inventory__Data[product_id],inventory__Data[[#This Row],[product_id]],inventory__Data[stock_on_hand],"&lt;=0")</f>
        <v>25</v>
      </c>
    </row>
    <row r="573" spans="1:9" x14ac:dyDescent="0.3">
      <c r="A573" s="1">
        <v>45772</v>
      </c>
      <c r="B573" t="s">
        <v>12</v>
      </c>
      <c r="C573">
        <v>788</v>
      </c>
      <c r="D573">
        <v>0.02</v>
      </c>
      <c r="E573">
        <v>0</v>
      </c>
      <c r="F573">
        <v>15</v>
      </c>
      <c r="G573" t="b">
        <v>0</v>
      </c>
      <c r="H573">
        <f>IF(inventory__Data[[#This Row],[stock_on_hand]]&lt;=0,1,0)</f>
        <v>0</v>
      </c>
      <c r="I573">
        <f>COUNTIFS(inventory__Data[product_id],inventory__Data[[#This Row],[product_id]],inventory__Data[stock_on_hand],"&lt;=0")</f>
        <v>23</v>
      </c>
    </row>
    <row r="574" spans="1:9" x14ac:dyDescent="0.3">
      <c r="A574" s="1">
        <v>45772</v>
      </c>
      <c r="B574" t="s">
        <v>15</v>
      </c>
      <c r="C574">
        <v>192</v>
      </c>
      <c r="D574">
        <v>0.04</v>
      </c>
      <c r="E574">
        <v>0</v>
      </c>
      <c r="F574">
        <v>2</v>
      </c>
      <c r="G574" t="b">
        <v>0</v>
      </c>
      <c r="H574">
        <f>IF(inventory__Data[[#This Row],[stock_on_hand]]&lt;=0,1,0)</f>
        <v>0</v>
      </c>
      <c r="I574">
        <f>COUNTIFS(inventory__Data[product_id],inventory__Data[[#This Row],[product_id]],inventory__Data[stock_on_hand],"&lt;=0")</f>
        <v>30</v>
      </c>
    </row>
    <row r="575" spans="1:9" x14ac:dyDescent="0.3">
      <c r="A575" s="1">
        <v>45772</v>
      </c>
      <c r="B575" t="s">
        <v>18</v>
      </c>
      <c r="C575">
        <v>508</v>
      </c>
      <c r="D575">
        <v>0.15</v>
      </c>
      <c r="E575">
        <v>0</v>
      </c>
      <c r="F575">
        <v>5</v>
      </c>
      <c r="G575" t="b">
        <v>0</v>
      </c>
      <c r="H575">
        <f>IF(inventory__Data[[#This Row],[stock_on_hand]]&lt;=0,1,0)</f>
        <v>0</v>
      </c>
      <c r="I575">
        <f>COUNTIFS(inventory__Data[product_id],inventory__Data[[#This Row],[product_id]],inventory__Data[stock_on_hand],"&lt;=0")</f>
        <v>30</v>
      </c>
    </row>
    <row r="576" spans="1:9" x14ac:dyDescent="0.3">
      <c r="A576" s="1">
        <v>45772</v>
      </c>
      <c r="B576" t="s">
        <v>21</v>
      </c>
      <c r="C576">
        <v>656</v>
      </c>
      <c r="D576">
        <v>0.03</v>
      </c>
      <c r="E576">
        <v>0</v>
      </c>
      <c r="F576">
        <v>5</v>
      </c>
      <c r="G576" t="b">
        <v>0</v>
      </c>
      <c r="H576">
        <f>IF(inventory__Data[[#This Row],[stock_on_hand]]&lt;=0,1,0)</f>
        <v>0</v>
      </c>
      <c r="I576">
        <f>COUNTIFS(inventory__Data[product_id],inventory__Data[[#This Row],[product_id]],inventory__Data[stock_on_hand],"&lt;=0")</f>
        <v>29</v>
      </c>
    </row>
    <row r="577" spans="1:9" x14ac:dyDescent="0.3">
      <c r="A577" s="1">
        <v>45773</v>
      </c>
      <c r="B577" t="s">
        <v>9</v>
      </c>
      <c r="C577">
        <v>212</v>
      </c>
      <c r="D577">
        <v>0.05</v>
      </c>
      <c r="E577">
        <v>0</v>
      </c>
      <c r="F577">
        <v>2</v>
      </c>
      <c r="G577" t="b">
        <v>0</v>
      </c>
      <c r="H577">
        <f>IF(inventory__Data[[#This Row],[stock_on_hand]]&lt;=0,1,0)</f>
        <v>0</v>
      </c>
      <c r="I577">
        <f>COUNTIFS(inventory__Data[product_id],inventory__Data[[#This Row],[product_id]],inventory__Data[stock_on_hand],"&lt;=0")</f>
        <v>25</v>
      </c>
    </row>
    <row r="578" spans="1:9" x14ac:dyDescent="0.3">
      <c r="A578" s="1">
        <v>45773</v>
      </c>
      <c r="B578" t="s">
        <v>12</v>
      </c>
      <c r="C578">
        <v>77</v>
      </c>
      <c r="D578">
        <v>0.02</v>
      </c>
      <c r="E578">
        <v>0</v>
      </c>
      <c r="F578">
        <v>5</v>
      </c>
      <c r="G578" t="b">
        <v>0</v>
      </c>
      <c r="H578">
        <f>IF(inventory__Data[[#This Row],[stock_on_hand]]&lt;=0,1,0)</f>
        <v>0</v>
      </c>
      <c r="I578">
        <f>COUNTIFS(inventory__Data[product_id],inventory__Data[[#This Row],[product_id]],inventory__Data[stock_on_hand],"&lt;=0")</f>
        <v>23</v>
      </c>
    </row>
    <row r="579" spans="1:9" x14ac:dyDescent="0.3">
      <c r="A579" s="1">
        <v>45773</v>
      </c>
      <c r="B579" t="s">
        <v>15</v>
      </c>
      <c r="C579">
        <v>849</v>
      </c>
      <c r="D579">
        <v>0.04</v>
      </c>
      <c r="E579">
        <v>0</v>
      </c>
      <c r="F579">
        <v>2</v>
      </c>
      <c r="G579" t="b">
        <v>0</v>
      </c>
      <c r="H579">
        <f>IF(inventory__Data[[#This Row],[stock_on_hand]]&lt;=0,1,0)</f>
        <v>0</v>
      </c>
      <c r="I579">
        <f>COUNTIFS(inventory__Data[product_id],inventory__Data[[#This Row],[product_id]],inventory__Data[stock_on_hand],"&lt;=0")</f>
        <v>30</v>
      </c>
    </row>
    <row r="580" spans="1:9" x14ac:dyDescent="0.3">
      <c r="A580" s="1">
        <v>45773</v>
      </c>
      <c r="B580" t="s">
        <v>18</v>
      </c>
      <c r="C580">
        <v>224</v>
      </c>
      <c r="D580">
        <v>0.15</v>
      </c>
      <c r="E580">
        <v>0</v>
      </c>
      <c r="F580">
        <v>2</v>
      </c>
      <c r="G580" t="b">
        <v>0</v>
      </c>
      <c r="H580">
        <f>IF(inventory__Data[[#This Row],[stock_on_hand]]&lt;=0,1,0)</f>
        <v>0</v>
      </c>
      <c r="I580">
        <f>COUNTIFS(inventory__Data[product_id],inventory__Data[[#This Row],[product_id]],inventory__Data[stock_on_hand],"&lt;=0")</f>
        <v>30</v>
      </c>
    </row>
    <row r="581" spans="1:9" x14ac:dyDescent="0.3">
      <c r="A581" s="1">
        <v>45773</v>
      </c>
      <c r="B581" t="s">
        <v>21</v>
      </c>
      <c r="C581">
        <v>16</v>
      </c>
      <c r="D581">
        <v>0.03</v>
      </c>
      <c r="E581">
        <v>0</v>
      </c>
      <c r="F581">
        <v>5</v>
      </c>
      <c r="G581" t="b">
        <v>0</v>
      </c>
      <c r="H581">
        <f>IF(inventory__Data[[#This Row],[stock_on_hand]]&lt;=0,1,0)</f>
        <v>0</v>
      </c>
      <c r="I581">
        <f>COUNTIFS(inventory__Data[product_id],inventory__Data[[#This Row],[product_id]],inventory__Data[stock_on_hand],"&lt;=0")</f>
        <v>29</v>
      </c>
    </row>
    <row r="582" spans="1:9" x14ac:dyDescent="0.3">
      <c r="A582" s="1">
        <v>45774</v>
      </c>
      <c r="B582" t="s">
        <v>9</v>
      </c>
      <c r="C582">
        <v>794</v>
      </c>
      <c r="D582">
        <v>0.05</v>
      </c>
      <c r="E582">
        <v>0</v>
      </c>
      <c r="F582">
        <v>2</v>
      </c>
      <c r="G582" t="b">
        <v>0</v>
      </c>
      <c r="H582">
        <f>IF(inventory__Data[[#This Row],[stock_on_hand]]&lt;=0,1,0)</f>
        <v>0</v>
      </c>
      <c r="I582">
        <f>COUNTIFS(inventory__Data[product_id],inventory__Data[[#This Row],[product_id]],inventory__Data[stock_on_hand],"&lt;=0")</f>
        <v>25</v>
      </c>
    </row>
    <row r="583" spans="1:9" x14ac:dyDescent="0.3">
      <c r="A583" s="1">
        <v>45774</v>
      </c>
      <c r="B583" t="s">
        <v>12</v>
      </c>
      <c r="C583">
        <v>371</v>
      </c>
      <c r="D583">
        <v>0.02</v>
      </c>
      <c r="E583">
        <v>0</v>
      </c>
      <c r="F583">
        <v>5</v>
      </c>
      <c r="G583" t="b">
        <v>0</v>
      </c>
      <c r="H583">
        <f>IF(inventory__Data[[#This Row],[stock_on_hand]]&lt;=0,1,0)</f>
        <v>0</v>
      </c>
      <c r="I583">
        <f>COUNTIFS(inventory__Data[product_id],inventory__Data[[#This Row],[product_id]],inventory__Data[stock_on_hand],"&lt;=0")</f>
        <v>23</v>
      </c>
    </row>
    <row r="584" spans="1:9" x14ac:dyDescent="0.3">
      <c r="A584" s="1">
        <v>45774</v>
      </c>
      <c r="B584" t="s">
        <v>15</v>
      </c>
      <c r="C584">
        <v>839</v>
      </c>
      <c r="D584">
        <v>0.04</v>
      </c>
      <c r="E584">
        <v>0</v>
      </c>
      <c r="F584">
        <v>10</v>
      </c>
      <c r="G584" t="b">
        <v>0</v>
      </c>
      <c r="H584">
        <f>IF(inventory__Data[[#This Row],[stock_on_hand]]&lt;=0,1,0)</f>
        <v>0</v>
      </c>
      <c r="I584">
        <f>COUNTIFS(inventory__Data[product_id],inventory__Data[[#This Row],[product_id]],inventory__Data[stock_on_hand],"&lt;=0")</f>
        <v>30</v>
      </c>
    </row>
    <row r="585" spans="1:9" x14ac:dyDescent="0.3">
      <c r="A585" s="1">
        <v>45774</v>
      </c>
      <c r="B585" t="s">
        <v>18</v>
      </c>
      <c r="C585">
        <v>0</v>
      </c>
      <c r="D585">
        <v>0.15</v>
      </c>
      <c r="E585">
        <v>0</v>
      </c>
      <c r="F585">
        <v>2</v>
      </c>
      <c r="G585" t="b">
        <v>0</v>
      </c>
      <c r="H585">
        <f>IF(inventory__Data[[#This Row],[stock_on_hand]]&lt;=0,1,0)</f>
        <v>1</v>
      </c>
      <c r="I585">
        <f>COUNTIFS(inventory__Data[product_id],inventory__Data[[#This Row],[product_id]],inventory__Data[stock_on_hand],"&lt;=0")</f>
        <v>30</v>
      </c>
    </row>
    <row r="586" spans="1:9" x14ac:dyDescent="0.3">
      <c r="A586" s="1">
        <v>45774</v>
      </c>
      <c r="B586" t="s">
        <v>21</v>
      </c>
      <c r="C586">
        <v>595</v>
      </c>
      <c r="D586">
        <v>0.03</v>
      </c>
      <c r="E586">
        <v>0</v>
      </c>
      <c r="F586">
        <v>5</v>
      </c>
      <c r="G586" t="b">
        <v>0</v>
      </c>
      <c r="H586">
        <f>IF(inventory__Data[[#This Row],[stock_on_hand]]&lt;=0,1,0)</f>
        <v>0</v>
      </c>
      <c r="I586">
        <f>COUNTIFS(inventory__Data[product_id],inventory__Data[[#This Row],[product_id]],inventory__Data[stock_on_hand],"&lt;=0")</f>
        <v>29</v>
      </c>
    </row>
    <row r="587" spans="1:9" x14ac:dyDescent="0.3">
      <c r="A587" s="1">
        <v>45775</v>
      </c>
      <c r="B587" t="s">
        <v>9</v>
      </c>
      <c r="C587">
        <v>138</v>
      </c>
      <c r="D587">
        <v>0.05</v>
      </c>
      <c r="E587">
        <v>0</v>
      </c>
      <c r="F587">
        <v>5</v>
      </c>
      <c r="G587" t="b">
        <v>0</v>
      </c>
      <c r="H587">
        <f>IF(inventory__Data[[#This Row],[stock_on_hand]]&lt;=0,1,0)</f>
        <v>0</v>
      </c>
      <c r="I587">
        <f>COUNTIFS(inventory__Data[product_id],inventory__Data[[#This Row],[product_id]],inventory__Data[stock_on_hand],"&lt;=0")</f>
        <v>25</v>
      </c>
    </row>
    <row r="588" spans="1:9" x14ac:dyDescent="0.3">
      <c r="A588" s="1">
        <v>45775</v>
      </c>
      <c r="B588" t="s">
        <v>12</v>
      </c>
      <c r="C588">
        <v>334</v>
      </c>
      <c r="D588">
        <v>0.02</v>
      </c>
      <c r="E588">
        <v>0</v>
      </c>
      <c r="F588">
        <v>2</v>
      </c>
      <c r="G588" t="b">
        <v>0</v>
      </c>
      <c r="H588">
        <f>IF(inventory__Data[[#This Row],[stock_on_hand]]&lt;=0,1,0)</f>
        <v>0</v>
      </c>
      <c r="I588">
        <f>COUNTIFS(inventory__Data[product_id],inventory__Data[[#This Row],[product_id]],inventory__Data[stock_on_hand],"&lt;=0")</f>
        <v>23</v>
      </c>
    </row>
    <row r="589" spans="1:9" x14ac:dyDescent="0.3">
      <c r="A589" s="1">
        <v>45775</v>
      </c>
      <c r="B589" t="s">
        <v>15</v>
      </c>
      <c r="C589">
        <v>526</v>
      </c>
      <c r="D589">
        <v>0.04</v>
      </c>
      <c r="E589">
        <v>0</v>
      </c>
      <c r="F589">
        <v>2</v>
      </c>
      <c r="G589" t="b">
        <v>0</v>
      </c>
      <c r="H589">
        <f>IF(inventory__Data[[#This Row],[stock_on_hand]]&lt;=0,1,0)</f>
        <v>0</v>
      </c>
      <c r="I589">
        <f>COUNTIFS(inventory__Data[product_id],inventory__Data[[#This Row],[product_id]],inventory__Data[stock_on_hand],"&lt;=0")</f>
        <v>30</v>
      </c>
    </row>
    <row r="590" spans="1:9" x14ac:dyDescent="0.3">
      <c r="A590" s="1">
        <v>45775</v>
      </c>
      <c r="B590" t="s">
        <v>18</v>
      </c>
      <c r="C590">
        <v>887</v>
      </c>
      <c r="D590">
        <v>0.15</v>
      </c>
      <c r="E590">
        <v>0</v>
      </c>
      <c r="F590">
        <v>2</v>
      </c>
      <c r="G590" t="b">
        <v>0</v>
      </c>
      <c r="H590">
        <f>IF(inventory__Data[[#This Row],[stock_on_hand]]&lt;=0,1,0)</f>
        <v>0</v>
      </c>
      <c r="I590">
        <f>COUNTIFS(inventory__Data[product_id],inventory__Data[[#This Row],[product_id]],inventory__Data[stock_on_hand],"&lt;=0")</f>
        <v>30</v>
      </c>
    </row>
    <row r="591" spans="1:9" x14ac:dyDescent="0.3">
      <c r="A591" s="1">
        <v>45775</v>
      </c>
      <c r="B591" t="s">
        <v>21</v>
      </c>
      <c r="C591">
        <v>511</v>
      </c>
      <c r="D591">
        <v>0.03</v>
      </c>
      <c r="E591">
        <v>0</v>
      </c>
      <c r="F591">
        <v>2</v>
      </c>
      <c r="G591" t="b">
        <v>0</v>
      </c>
      <c r="H591">
        <f>IF(inventory__Data[[#This Row],[stock_on_hand]]&lt;=0,1,0)</f>
        <v>0</v>
      </c>
      <c r="I591">
        <f>COUNTIFS(inventory__Data[product_id],inventory__Data[[#This Row],[product_id]],inventory__Data[stock_on_hand],"&lt;=0")</f>
        <v>29</v>
      </c>
    </row>
    <row r="592" spans="1:9" x14ac:dyDescent="0.3">
      <c r="A592" s="1">
        <v>45776</v>
      </c>
      <c r="B592" t="s">
        <v>9</v>
      </c>
      <c r="C592">
        <v>541</v>
      </c>
      <c r="D592">
        <v>0.05</v>
      </c>
      <c r="E592">
        <v>0</v>
      </c>
      <c r="F592">
        <v>5</v>
      </c>
      <c r="G592" t="b">
        <v>0</v>
      </c>
      <c r="H592">
        <f>IF(inventory__Data[[#This Row],[stock_on_hand]]&lt;=0,1,0)</f>
        <v>0</v>
      </c>
      <c r="I592">
        <f>COUNTIFS(inventory__Data[product_id],inventory__Data[[#This Row],[product_id]],inventory__Data[stock_on_hand],"&lt;=0")</f>
        <v>25</v>
      </c>
    </row>
    <row r="593" spans="1:9" x14ac:dyDescent="0.3">
      <c r="A593" s="1">
        <v>45776</v>
      </c>
      <c r="B593" t="s">
        <v>12</v>
      </c>
      <c r="C593">
        <v>29</v>
      </c>
      <c r="D593">
        <v>0.02</v>
      </c>
      <c r="E593">
        <v>0</v>
      </c>
      <c r="F593">
        <v>10</v>
      </c>
      <c r="G593" t="b">
        <v>0</v>
      </c>
      <c r="H593">
        <f>IF(inventory__Data[[#This Row],[stock_on_hand]]&lt;=0,1,0)</f>
        <v>0</v>
      </c>
      <c r="I593">
        <f>COUNTIFS(inventory__Data[product_id],inventory__Data[[#This Row],[product_id]],inventory__Data[stock_on_hand],"&lt;=0")</f>
        <v>23</v>
      </c>
    </row>
    <row r="594" spans="1:9" x14ac:dyDescent="0.3">
      <c r="A594" s="1">
        <v>45776</v>
      </c>
      <c r="B594" t="s">
        <v>15</v>
      </c>
      <c r="C594">
        <v>817</v>
      </c>
      <c r="D594">
        <v>0.04</v>
      </c>
      <c r="E594">
        <v>0</v>
      </c>
      <c r="F594">
        <v>5</v>
      </c>
      <c r="G594" t="b">
        <v>0</v>
      </c>
      <c r="H594">
        <f>IF(inventory__Data[[#This Row],[stock_on_hand]]&lt;=0,1,0)</f>
        <v>0</v>
      </c>
      <c r="I594">
        <f>COUNTIFS(inventory__Data[product_id],inventory__Data[[#This Row],[product_id]],inventory__Data[stock_on_hand],"&lt;=0")</f>
        <v>30</v>
      </c>
    </row>
    <row r="595" spans="1:9" x14ac:dyDescent="0.3">
      <c r="A595" s="1">
        <v>45776</v>
      </c>
      <c r="B595" t="s">
        <v>18</v>
      </c>
      <c r="C595">
        <v>267</v>
      </c>
      <c r="D595">
        <v>0.15</v>
      </c>
      <c r="E595">
        <v>0</v>
      </c>
      <c r="F595">
        <v>2</v>
      </c>
      <c r="G595" t="b">
        <v>0</v>
      </c>
      <c r="H595">
        <f>IF(inventory__Data[[#This Row],[stock_on_hand]]&lt;=0,1,0)</f>
        <v>0</v>
      </c>
      <c r="I595">
        <f>COUNTIFS(inventory__Data[product_id],inventory__Data[[#This Row],[product_id]],inventory__Data[stock_on_hand],"&lt;=0")</f>
        <v>30</v>
      </c>
    </row>
    <row r="596" spans="1:9" x14ac:dyDescent="0.3">
      <c r="A596" s="1">
        <v>45776</v>
      </c>
      <c r="B596" t="s">
        <v>21</v>
      </c>
      <c r="C596">
        <v>0</v>
      </c>
      <c r="D596">
        <v>0.03</v>
      </c>
      <c r="E596">
        <v>0</v>
      </c>
      <c r="F596">
        <v>2</v>
      </c>
      <c r="G596" t="b">
        <v>0</v>
      </c>
      <c r="H596">
        <f>IF(inventory__Data[[#This Row],[stock_on_hand]]&lt;=0,1,0)</f>
        <v>1</v>
      </c>
      <c r="I596">
        <f>COUNTIFS(inventory__Data[product_id],inventory__Data[[#This Row],[product_id]],inventory__Data[stock_on_hand],"&lt;=0")</f>
        <v>29</v>
      </c>
    </row>
    <row r="597" spans="1:9" x14ac:dyDescent="0.3">
      <c r="A597" s="1">
        <v>45777</v>
      </c>
      <c r="B597" t="s">
        <v>9</v>
      </c>
      <c r="C597">
        <v>815</v>
      </c>
      <c r="D597">
        <v>0.05</v>
      </c>
      <c r="E597">
        <v>0</v>
      </c>
      <c r="F597">
        <v>5</v>
      </c>
      <c r="G597" t="b">
        <v>0</v>
      </c>
      <c r="H597">
        <f>IF(inventory__Data[[#This Row],[stock_on_hand]]&lt;=0,1,0)</f>
        <v>0</v>
      </c>
      <c r="I597">
        <f>COUNTIFS(inventory__Data[product_id],inventory__Data[[#This Row],[product_id]],inventory__Data[stock_on_hand],"&lt;=0")</f>
        <v>25</v>
      </c>
    </row>
    <row r="598" spans="1:9" x14ac:dyDescent="0.3">
      <c r="A598" s="1">
        <v>45777</v>
      </c>
      <c r="B598" t="s">
        <v>12</v>
      </c>
      <c r="C598">
        <v>813</v>
      </c>
      <c r="D598">
        <v>0.02</v>
      </c>
      <c r="E598">
        <v>0</v>
      </c>
      <c r="F598">
        <v>2</v>
      </c>
      <c r="G598" t="b">
        <v>0</v>
      </c>
      <c r="H598">
        <f>IF(inventory__Data[[#This Row],[stock_on_hand]]&lt;=0,1,0)</f>
        <v>0</v>
      </c>
      <c r="I598">
        <f>COUNTIFS(inventory__Data[product_id],inventory__Data[[#This Row],[product_id]],inventory__Data[stock_on_hand],"&lt;=0")</f>
        <v>23</v>
      </c>
    </row>
    <row r="599" spans="1:9" x14ac:dyDescent="0.3">
      <c r="A599" s="1">
        <v>45777</v>
      </c>
      <c r="B599" t="s">
        <v>15</v>
      </c>
      <c r="C599">
        <v>775</v>
      </c>
      <c r="D599">
        <v>0.04</v>
      </c>
      <c r="E599">
        <v>0</v>
      </c>
      <c r="F599">
        <v>2</v>
      </c>
      <c r="G599" t="b">
        <v>0</v>
      </c>
      <c r="H599">
        <f>IF(inventory__Data[[#This Row],[stock_on_hand]]&lt;=0,1,0)</f>
        <v>0</v>
      </c>
      <c r="I599">
        <f>COUNTIFS(inventory__Data[product_id],inventory__Data[[#This Row],[product_id]],inventory__Data[stock_on_hand],"&lt;=0")</f>
        <v>30</v>
      </c>
    </row>
    <row r="600" spans="1:9" x14ac:dyDescent="0.3">
      <c r="A600" s="1">
        <v>45777</v>
      </c>
      <c r="B600" t="s">
        <v>18</v>
      </c>
      <c r="C600">
        <v>627</v>
      </c>
      <c r="D600">
        <v>0.15</v>
      </c>
      <c r="E600">
        <v>0</v>
      </c>
      <c r="F600">
        <v>2</v>
      </c>
      <c r="G600" t="b">
        <v>0</v>
      </c>
      <c r="H600">
        <f>IF(inventory__Data[[#This Row],[stock_on_hand]]&lt;=0,1,0)</f>
        <v>0</v>
      </c>
      <c r="I600">
        <f>COUNTIFS(inventory__Data[product_id],inventory__Data[[#This Row],[product_id]],inventory__Data[stock_on_hand],"&lt;=0")</f>
        <v>30</v>
      </c>
    </row>
    <row r="601" spans="1:9" x14ac:dyDescent="0.3">
      <c r="A601" s="1">
        <v>45777</v>
      </c>
      <c r="B601" t="s">
        <v>21</v>
      </c>
      <c r="C601">
        <v>122</v>
      </c>
      <c r="D601">
        <v>0.03</v>
      </c>
      <c r="E601">
        <v>0</v>
      </c>
      <c r="F601">
        <v>5</v>
      </c>
      <c r="G601" t="b">
        <v>0</v>
      </c>
      <c r="H601">
        <f>IF(inventory__Data[[#This Row],[stock_on_hand]]&lt;=0,1,0)</f>
        <v>0</v>
      </c>
      <c r="I601">
        <f>COUNTIFS(inventory__Data[product_id],inventory__Data[[#This Row],[product_id]],inventory__Data[stock_on_hand],"&lt;=0")</f>
        <v>29</v>
      </c>
    </row>
    <row r="602" spans="1:9" x14ac:dyDescent="0.3">
      <c r="A602" s="1">
        <v>45778</v>
      </c>
      <c r="B602" t="s">
        <v>9</v>
      </c>
      <c r="C602">
        <v>563</v>
      </c>
      <c r="D602">
        <v>0.05</v>
      </c>
      <c r="E602">
        <v>0</v>
      </c>
      <c r="F602">
        <v>5</v>
      </c>
      <c r="G602" t="b">
        <v>0</v>
      </c>
      <c r="H602">
        <f>IF(inventory__Data[[#This Row],[stock_on_hand]]&lt;=0,1,0)</f>
        <v>0</v>
      </c>
      <c r="I602">
        <f>COUNTIFS(inventory__Data[product_id],inventory__Data[[#This Row],[product_id]],inventory__Data[stock_on_hand],"&lt;=0")</f>
        <v>25</v>
      </c>
    </row>
    <row r="603" spans="1:9" x14ac:dyDescent="0.3">
      <c r="A603" s="1">
        <v>45778</v>
      </c>
      <c r="B603" t="s">
        <v>12</v>
      </c>
      <c r="C603">
        <v>880</v>
      </c>
      <c r="D603">
        <v>0.02</v>
      </c>
      <c r="E603">
        <v>0</v>
      </c>
      <c r="F603">
        <v>2</v>
      </c>
      <c r="G603" t="b">
        <v>0</v>
      </c>
      <c r="H603">
        <f>IF(inventory__Data[[#This Row],[stock_on_hand]]&lt;=0,1,0)</f>
        <v>0</v>
      </c>
      <c r="I603">
        <f>COUNTIFS(inventory__Data[product_id],inventory__Data[[#This Row],[product_id]],inventory__Data[stock_on_hand],"&lt;=0")</f>
        <v>23</v>
      </c>
    </row>
    <row r="604" spans="1:9" x14ac:dyDescent="0.3">
      <c r="A604" s="1">
        <v>45778</v>
      </c>
      <c r="B604" t="s">
        <v>15</v>
      </c>
      <c r="C604">
        <v>514</v>
      </c>
      <c r="D604">
        <v>0.04</v>
      </c>
      <c r="E604">
        <v>0</v>
      </c>
      <c r="F604">
        <v>2</v>
      </c>
      <c r="G604" t="b">
        <v>0</v>
      </c>
      <c r="H604">
        <f>IF(inventory__Data[[#This Row],[stock_on_hand]]&lt;=0,1,0)</f>
        <v>0</v>
      </c>
      <c r="I604">
        <f>COUNTIFS(inventory__Data[product_id],inventory__Data[[#This Row],[product_id]],inventory__Data[stock_on_hand],"&lt;=0")</f>
        <v>30</v>
      </c>
    </row>
    <row r="605" spans="1:9" x14ac:dyDescent="0.3">
      <c r="A605" s="1">
        <v>45778</v>
      </c>
      <c r="B605" t="s">
        <v>18</v>
      </c>
      <c r="C605">
        <v>266</v>
      </c>
      <c r="D605">
        <v>0.15</v>
      </c>
      <c r="E605">
        <v>0</v>
      </c>
      <c r="F605">
        <v>2</v>
      </c>
      <c r="G605" t="b">
        <v>0</v>
      </c>
      <c r="H605">
        <f>IF(inventory__Data[[#This Row],[stock_on_hand]]&lt;=0,1,0)</f>
        <v>0</v>
      </c>
      <c r="I605">
        <f>COUNTIFS(inventory__Data[product_id],inventory__Data[[#This Row],[product_id]],inventory__Data[stock_on_hand],"&lt;=0")</f>
        <v>30</v>
      </c>
    </row>
    <row r="606" spans="1:9" x14ac:dyDescent="0.3">
      <c r="A606" s="1">
        <v>45778</v>
      </c>
      <c r="B606" t="s">
        <v>21</v>
      </c>
      <c r="C606">
        <v>357</v>
      </c>
      <c r="D606">
        <v>0.03</v>
      </c>
      <c r="E606">
        <v>0</v>
      </c>
      <c r="F606">
        <v>2</v>
      </c>
      <c r="G606" t="b">
        <v>0</v>
      </c>
      <c r="H606">
        <f>IF(inventory__Data[[#This Row],[stock_on_hand]]&lt;=0,1,0)</f>
        <v>0</v>
      </c>
      <c r="I606">
        <f>COUNTIFS(inventory__Data[product_id],inventory__Data[[#This Row],[product_id]],inventory__Data[stock_on_hand],"&lt;=0")</f>
        <v>29</v>
      </c>
    </row>
    <row r="607" spans="1:9" x14ac:dyDescent="0.3">
      <c r="A607" s="1">
        <v>45779</v>
      </c>
      <c r="B607" t="s">
        <v>9</v>
      </c>
      <c r="C607">
        <v>453</v>
      </c>
      <c r="D607">
        <v>0.05</v>
      </c>
      <c r="E607">
        <v>0</v>
      </c>
      <c r="F607">
        <v>2</v>
      </c>
      <c r="G607" t="b">
        <v>0</v>
      </c>
      <c r="H607">
        <f>IF(inventory__Data[[#This Row],[stock_on_hand]]&lt;=0,1,0)</f>
        <v>0</v>
      </c>
      <c r="I607">
        <f>COUNTIFS(inventory__Data[product_id],inventory__Data[[#This Row],[product_id]],inventory__Data[stock_on_hand],"&lt;=0")</f>
        <v>25</v>
      </c>
    </row>
    <row r="608" spans="1:9" x14ac:dyDescent="0.3">
      <c r="A608" s="1">
        <v>45779</v>
      </c>
      <c r="B608" t="s">
        <v>12</v>
      </c>
      <c r="C608">
        <v>0</v>
      </c>
      <c r="D608">
        <v>0.02</v>
      </c>
      <c r="E608">
        <v>0</v>
      </c>
      <c r="F608">
        <v>15</v>
      </c>
      <c r="G608" t="b">
        <v>0</v>
      </c>
      <c r="H608">
        <f>IF(inventory__Data[[#This Row],[stock_on_hand]]&lt;=0,1,0)</f>
        <v>1</v>
      </c>
      <c r="I608">
        <f>COUNTIFS(inventory__Data[product_id],inventory__Data[[#This Row],[product_id]],inventory__Data[stock_on_hand],"&lt;=0")</f>
        <v>23</v>
      </c>
    </row>
    <row r="609" spans="1:9" x14ac:dyDescent="0.3">
      <c r="A609" s="1">
        <v>45779</v>
      </c>
      <c r="B609" t="s">
        <v>15</v>
      </c>
      <c r="C609">
        <v>561</v>
      </c>
      <c r="D609">
        <v>0.04</v>
      </c>
      <c r="E609">
        <v>0</v>
      </c>
      <c r="F609">
        <v>2</v>
      </c>
      <c r="G609" t="b">
        <v>0</v>
      </c>
      <c r="H609">
        <f>IF(inventory__Data[[#This Row],[stock_on_hand]]&lt;=0,1,0)</f>
        <v>0</v>
      </c>
      <c r="I609">
        <f>COUNTIFS(inventory__Data[product_id],inventory__Data[[#This Row],[product_id]],inventory__Data[stock_on_hand],"&lt;=0")</f>
        <v>30</v>
      </c>
    </row>
    <row r="610" spans="1:9" x14ac:dyDescent="0.3">
      <c r="A610" s="1">
        <v>45779</v>
      </c>
      <c r="B610" t="s">
        <v>18</v>
      </c>
      <c r="C610">
        <v>451</v>
      </c>
      <c r="D610">
        <v>0.15</v>
      </c>
      <c r="E610">
        <v>0</v>
      </c>
      <c r="F610">
        <v>5</v>
      </c>
      <c r="G610" t="b">
        <v>0</v>
      </c>
      <c r="H610">
        <f>IF(inventory__Data[[#This Row],[stock_on_hand]]&lt;=0,1,0)</f>
        <v>0</v>
      </c>
      <c r="I610">
        <f>COUNTIFS(inventory__Data[product_id],inventory__Data[[#This Row],[product_id]],inventory__Data[stock_on_hand],"&lt;=0")</f>
        <v>30</v>
      </c>
    </row>
    <row r="611" spans="1:9" x14ac:dyDescent="0.3">
      <c r="A611" s="1">
        <v>45779</v>
      </c>
      <c r="B611" t="s">
        <v>21</v>
      </c>
      <c r="C611">
        <v>840</v>
      </c>
      <c r="D611">
        <v>0.03</v>
      </c>
      <c r="E611">
        <v>0</v>
      </c>
      <c r="F611">
        <v>2</v>
      </c>
      <c r="G611" t="b">
        <v>0</v>
      </c>
      <c r="H611">
        <f>IF(inventory__Data[[#This Row],[stock_on_hand]]&lt;=0,1,0)</f>
        <v>0</v>
      </c>
      <c r="I611">
        <f>COUNTIFS(inventory__Data[product_id],inventory__Data[[#This Row],[product_id]],inventory__Data[stock_on_hand],"&lt;=0")</f>
        <v>29</v>
      </c>
    </row>
    <row r="612" spans="1:9" x14ac:dyDescent="0.3">
      <c r="A612" s="1">
        <v>45780</v>
      </c>
      <c r="B612" t="s">
        <v>9</v>
      </c>
      <c r="C612">
        <v>304</v>
      </c>
      <c r="D612">
        <v>0.05</v>
      </c>
      <c r="E612">
        <v>0</v>
      </c>
      <c r="F612">
        <v>2</v>
      </c>
      <c r="G612" t="b">
        <v>0</v>
      </c>
      <c r="H612">
        <f>IF(inventory__Data[[#This Row],[stock_on_hand]]&lt;=0,1,0)</f>
        <v>0</v>
      </c>
      <c r="I612">
        <f>COUNTIFS(inventory__Data[product_id],inventory__Data[[#This Row],[product_id]],inventory__Data[stock_on_hand],"&lt;=0")</f>
        <v>25</v>
      </c>
    </row>
    <row r="613" spans="1:9" x14ac:dyDescent="0.3">
      <c r="A613" s="1">
        <v>45780</v>
      </c>
      <c r="B613" t="s">
        <v>12</v>
      </c>
      <c r="C613">
        <v>819</v>
      </c>
      <c r="D613">
        <v>0.02</v>
      </c>
      <c r="E613">
        <v>0</v>
      </c>
      <c r="F613">
        <v>2</v>
      </c>
      <c r="G613" t="b">
        <v>0</v>
      </c>
      <c r="H613">
        <f>IF(inventory__Data[[#This Row],[stock_on_hand]]&lt;=0,1,0)</f>
        <v>0</v>
      </c>
      <c r="I613">
        <f>COUNTIFS(inventory__Data[product_id],inventory__Data[[#This Row],[product_id]],inventory__Data[stock_on_hand],"&lt;=0")</f>
        <v>23</v>
      </c>
    </row>
    <row r="614" spans="1:9" x14ac:dyDescent="0.3">
      <c r="A614" s="1">
        <v>45780</v>
      </c>
      <c r="B614" t="s">
        <v>15</v>
      </c>
      <c r="C614">
        <v>40</v>
      </c>
      <c r="D614">
        <v>0.04</v>
      </c>
      <c r="E614">
        <v>0</v>
      </c>
      <c r="F614">
        <v>5</v>
      </c>
      <c r="G614" t="b">
        <v>0</v>
      </c>
      <c r="H614">
        <f>IF(inventory__Data[[#This Row],[stock_on_hand]]&lt;=0,1,0)</f>
        <v>0</v>
      </c>
      <c r="I614">
        <f>COUNTIFS(inventory__Data[product_id],inventory__Data[[#This Row],[product_id]],inventory__Data[stock_on_hand],"&lt;=0")</f>
        <v>30</v>
      </c>
    </row>
    <row r="615" spans="1:9" x14ac:dyDescent="0.3">
      <c r="A615" s="1">
        <v>45780</v>
      </c>
      <c r="B615" t="s">
        <v>18</v>
      </c>
      <c r="C615">
        <v>410</v>
      </c>
      <c r="D615">
        <v>0.15</v>
      </c>
      <c r="E615">
        <v>0</v>
      </c>
      <c r="F615">
        <v>2</v>
      </c>
      <c r="G615" t="b">
        <v>0</v>
      </c>
      <c r="H615">
        <f>IF(inventory__Data[[#This Row],[stock_on_hand]]&lt;=0,1,0)</f>
        <v>0</v>
      </c>
      <c r="I615">
        <f>COUNTIFS(inventory__Data[product_id],inventory__Data[[#This Row],[product_id]],inventory__Data[stock_on_hand],"&lt;=0")</f>
        <v>30</v>
      </c>
    </row>
    <row r="616" spans="1:9" x14ac:dyDescent="0.3">
      <c r="A616" s="1">
        <v>45780</v>
      </c>
      <c r="B616" t="s">
        <v>21</v>
      </c>
      <c r="C616">
        <v>320</v>
      </c>
      <c r="D616">
        <v>0.03</v>
      </c>
      <c r="E616">
        <v>0</v>
      </c>
      <c r="F616">
        <v>10</v>
      </c>
      <c r="G616" t="b">
        <v>0</v>
      </c>
      <c r="H616">
        <f>IF(inventory__Data[[#This Row],[stock_on_hand]]&lt;=0,1,0)</f>
        <v>0</v>
      </c>
      <c r="I616">
        <f>COUNTIFS(inventory__Data[product_id],inventory__Data[[#This Row],[product_id]],inventory__Data[stock_on_hand],"&lt;=0")</f>
        <v>29</v>
      </c>
    </row>
    <row r="617" spans="1:9" x14ac:dyDescent="0.3">
      <c r="A617" s="1">
        <v>45781</v>
      </c>
      <c r="B617" t="s">
        <v>9</v>
      </c>
      <c r="C617">
        <v>886</v>
      </c>
      <c r="D617">
        <v>0.05</v>
      </c>
      <c r="E617">
        <v>0</v>
      </c>
      <c r="F617">
        <v>5</v>
      </c>
      <c r="G617" t="b">
        <v>0</v>
      </c>
      <c r="H617">
        <f>IF(inventory__Data[[#This Row],[stock_on_hand]]&lt;=0,1,0)</f>
        <v>0</v>
      </c>
      <c r="I617">
        <f>COUNTIFS(inventory__Data[product_id],inventory__Data[[#This Row],[product_id]],inventory__Data[stock_on_hand],"&lt;=0")</f>
        <v>25</v>
      </c>
    </row>
    <row r="618" spans="1:9" x14ac:dyDescent="0.3">
      <c r="A618" s="1">
        <v>45781</v>
      </c>
      <c r="B618" t="s">
        <v>12</v>
      </c>
      <c r="C618">
        <v>430</v>
      </c>
      <c r="D618">
        <v>0.02</v>
      </c>
      <c r="E618">
        <v>0</v>
      </c>
      <c r="F618">
        <v>5</v>
      </c>
      <c r="G618" t="b">
        <v>0</v>
      </c>
      <c r="H618">
        <f>IF(inventory__Data[[#This Row],[stock_on_hand]]&lt;=0,1,0)</f>
        <v>0</v>
      </c>
      <c r="I618">
        <f>COUNTIFS(inventory__Data[product_id],inventory__Data[[#This Row],[product_id]],inventory__Data[stock_on_hand],"&lt;=0")</f>
        <v>23</v>
      </c>
    </row>
    <row r="619" spans="1:9" x14ac:dyDescent="0.3">
      <c r="A619" s="1">
        <v>45781</v>
      </c>
      <c r="B619" t="s">
        <v>15</v>
      </c>
      <c r="C619">
        <v>498</v>
      </c>
      <c r="D619">
        <v>0.04</v>
      </c>
      <c r="E619">
        <v>0</v>
      </c>
      <c r="F619">
        <v>10</v>
      </c>
      <c r="G619" t="b">
        <v>0</v>
      </c>
      <c r="H619">
        <f>IF(inventory__Data[[#This Row],[stock_on_hand]]&lt;=0,1,0)</f>
        <v>0</v>
      </c>
      <c r="I619">
        <f>COUNTIFS(inventory__Data[product_id],inventory__Data[[#This Row],[product_id]],inventory__Data[stock_on_hand],"&lt;=0")</f>
        <v>30</v>
      </c>
    </row>
    <row r="620" spans="1:9" x14ac:dyDescent="0.3">
      <c r="A620" s="1">
        <v>45781</v>
      </c>
      <c r="B620" t="s">
        <v>18</v>
      </c>
      <c r="C620">
        <v>497</v>
      </c>
      <c r="D620">
        <v>0.15</v>
      </c>
      <c r="E620">
        <v>0</v>
      </c>
      <c r="F620">
        <v>15</v>
      </c>
      <c r="G620" t="b">
        <v>0</v>
      </c>
      <c r="H620">
        <f>IF(inventory__Data[[#This Row],[stock_on_hand]]&lt;=0,1,0)</f>
        <v>0</v>
      </c>
      <c r="I620">
        <f>COUNTIFS(inventory__Data[product_id],inventory__Data[[#This Row],[product_id]],inventory__Data[stock_on_hand],"&lt;=0")</f>
        <v>30</v>
      </c>
    </row>
    <row r="621" spans="1:9" x14ac:dyDescent="0.3">
      <c r="A621" s="1">
        <v>45781</v>
      </c>
      <c r="B621" t="s">
        <v>21</v>
      </c>
      <c r="C621">
        <v>847</v>
      </c>
      <c r="D621">
        <v>0.03</v>
      </c>
      <c r="E621">
        <v>0</v>
      </c>
      <c r="F621">
        <v>5</v>
      </c>
      <c r="G621" t="b">
        <v>0</v>
      </c>
      <c r="H621">
        <f>IF(inventory__Data[[#This Row],[stock_on_hand]]&lt;=0,1,0)</f>
        <v>0</v>
      </c>
      <c r="I621">
        <f>COUNTIFS(inventory__Data[product_id],inventory__Data[[#This Row],[product_id]],inventory__Data[stock_on_hand],"&lt;=0")</f>
        <v>29</v>
      </c>
    </row>
    <row r="622" spans="1:9" x14ac:dyDescent="0.3">
      <c r="A622" s="1">
        <v>45782</v>
      </c>
      <c r="B622" t="s">
        <v>9</v>
      </c>
      <c r="C622">
        <v>331</v>
      </c>
      <c r="D622">
        <v>0.05</v>
      </c>
      <c r="E622">
        <v>0</v>
      </c>
      <c r="F622">
        <v>5</v>
      </c>
      <c r="G622" t="b">
        <v>0</v>
      </c>
      <c r="H622">
        <f>IF(inventory__Data[[#This Row],[stock_on_hand]]&lt;=0,1,0)</f>
        <v>0</v>
      </c>
      <c r="I622">
        <f>COUNTIFS(inventory__Data[product_id],inventory__Data[[#This Row],[product_id]],inventory__Data[stock_on_hand],"&lt;=0")</f>
        <v>25</v>
      </c>
    </row>
    <row r="623" spans="1:9" x14ac:dyDescent="0.3">
      <c r="A623" s="1">
        <v>45782</v>
      </c>
      <c r="B623" t="s">
        <v>12</v>
      </c>
      <c r="C623">
        <v>133</v>
      </c>
      <c r="D623">
        <v>0.02</v>
      </c>
      <c r="E623">
        <v>0</v>
      </c>
      <c r="F623">
        <v>5</v>
      </c>
      <c r="G623" t="b">
        <v>0</v>
      </c>
      <c r="H623">
        <f>IF(inventory__Data[[#This Row],[stock_on_hand]]&lt;=0,1,0)</f>
        <v>0</v>
      </c>
      <c r="I623">
        <f>COUNTIFS(inventory__Data[product_id],inventory__Data[[#This Row],[product_id]],inventory__Data[stock_on_hand],"&lt;=0")</f>
        <v>23</v>
      </c>
    </row>
    <row r="624" spans="1:9" x14ac:dyDescent="0.3">
      <c r="A624" s="1">
        <v>45782</v>
      </c>
      <c r="B624" t="s">
        <v>15</v>
      </c>
      <c r="C624">
        <v>858</v>
      </c>
      <c r="D624">
        <v>0.04</v>
      </c>
      <c r="E624">
        <v>0</v>
      </c>
      <c r="F624">
        <v>2</v>
      </c>
      <c r="G624" t="b">
        <v>0</v>
      </c>
      <c r="H624">
        <f>IF(inventory__Data[[#This Row],[stock_on_hand]]&lt;=0,1,0)</f>
        <v>0</v>
      </c>
      <c r="I624">
        <f>COUNTIFS(inventory__Data[product_id],inventory__Data[[#This Row],[product_id]],inventory__Data[stock_on_hand],"&lt;=0")</f>
        <v>30</v>
      </c>
    </row>
    <row r="625" spans="1:9" x14ac:dyDescent="0.3">
      <c r="A625" s="1">
        <v>45782</v>
      </c>
      <c r="B625" t="s">
        <v>18</v>
      </c>
      <c r="C625">
        <v>755</v>
      </c>
      <c r="D625">
        <v>0.15</v>
      </c>
      <c r="E625">
        <v>0</v>
      </c>
      <c r="F625">
        <v>5</v>
      </c>
      <c r="G625" t="b">
        <v>0</v>
      </c>
      <c r="H625">
        <f>IF(inventory__Data[[#This Row],[stock_on_hand]]&lt;=0,1,0)</f>
        <v>0</v>
      </c>
      <c r="I625">
        <f>COUNTIFS(inventory__Data[product_id],inventory__Data[[#This Row],[product_id]],inventory__Data[stock_on_hand],"&lt;=0")</f>
        <v>30</v>
      </c>
    </row>
    <row r="626" spans="1:9" x14ac:dyDescent="0.3">
      <c r="A626" s="1">
        <v>45782</v>
      </c>
      <c r="B626" t="s">
        <v>21</v>
      </c>
      <c r="C626">
        <v>399</v>
      </c>
      <c r="D626">
        <v>0.03</v>
      </c>
      <c r="E626">
        <v>0</v>
      </c>
      <c r="F626">
        <v>5</v>
      </c>
      <c r="G626" t="b">
        <v>0</v>
      </c>
      <c r="H626">
        <f>IF(inventory__Data[[#This Row],[stock_on_hand]]&lt;=0,1,0)</f>
        <v>0</v>
      </c>
      <c r="I626">
        <f>COUNTIFS(inventory__Data[product_id],inventory__Data[[#This Row],[product_id]],inventory__Data[stock_on_hand],"&lt;=0")</f>
        <v>29</v>
      </c>
    </row>
    <row r="627" spans="1:9" x14ac:dyDescent="0.3">
      <c r="A627" s="1">
        <v>45783</v>
      </c>
      <c r="B627" t="s">
        <v>9</v>
      </c>
      <c r="C627">
        <v>622</v>
      </c>
      <c r="D627">
        <v>0.05</v>
      </c>
      <c r="E627">
        <v>0</v>
      </c>
      <c r="F627">
        <v>2</v>
      </c>
      <c r="G627" t="b">
        <v>0</v>
      </c>
      <c r="H627">
        <f>IF(inventory__Data[[#This Row],[stock_on_hand]]&lt;=0,1,0)</f>
        <v>0</v>
      </c>
      <c r="I627">
        <f>COUNTIFS(inventory__Data[product_id],inventory__Data[[#This Row],[product_id]],inventory__Data[stock_on_hand],"&lt;=0")</f>
        <v>25</v>
      </c>
    </row>
    <row r="628" spans="1:9" x14ac:dyDescent="0.3">
      <c r="A628" s="1">
        <v>45783</v>
      </c>
      <c r="B628" t="s">
        <v>12</v>
      </c>
      <c r="C628">
        <v>486</v>
      </c>
      <c r="D628">
        <v>0.02</v>
      </c>
      <c r="E628">
        <v>0</v>
      </c>
      <c r="F628">
        <v>10</v>
      </c>
      <c r="G628" t="b">
        <v>0</v>
      </c>
      <c r="H628">
        <f>IF(inventory__Data[[#This Row],[stock_on_hand]]&lt;=0,1,0)</f>
        <v>0</v>
      </c>
      <c r="I628">
        <f>COUNTIFS(inventory__Data[product_id],inventory__Data[[#This Row],[product_id]],inventory__Data[stock_on_hand],"&lt;=0")</f>
        <v>23</v>
      </c>
    </row>
    <row r="629" spans="1:9" x14ac:dyDescent="0.3">
      <c r="A629" s="1">
        <v>45783</v>
      </c>
      <c r="B629" t="s">
        <v>15</v>
      </c>
      <c r="C629">
        <v>852</v>
      </c>
      <c r="D629">
        <v>0.04</v>
      </c>
      <c r="E629">
        <v>0</v>
      </c>
      <c r="F629">
        <v>2</v>
      </c>
      <c r="G629" t="b">
        <v>0</v>
      </c>
      <c r="H629">
        <f>IF(inventory__Data[[#This Row],[stock_on_hand]]&lt;=0,1,0)</f>
        <v>0</v>
      </c>
      <c r="I629">
        <f>COUNTIFS(inventory__Data[product_id],inventory__Data[[#This Row],[product_id]],inventory__Data[stock_on_hand],"&lt;=0")</f>
        <v>30</v>
      </c>
    </row>
    <row r="630" spans="1:9" x14ac:dyDescent="0.3">
      <c r="A630" s="1">
        <v>45783</v>
      </c>
      <c r="B630" t="s">
        <v>18</v>
      </c>
      <c r="C630">
        <v>703</v>
      </c>
      <c r="D630">
        <v>0.15</v>
      </c>
      <c r="E630">
        <v>0</v>
      </c>
      <c r="F630">
        <v>2</v>
      </c>
      <c r="G630" t="b">
        <v>0</v>
      </c>
      <c r="H630">
        <f>IF(inventory__Data[[#This Row],[stock_on_hand]]&lt;=0,1,0)</f>
        <v>0</v>
      </c>
      <c r="I630">
        <f>COUNTIFS(inventory__Data[product_id],inventory__Data[[#This Row],[product_id]],inventory__Data[stock_on_hand],"&lt;=0")</f>
        <v>30</v>
      </c>
    </row>
    <row r="631" spans="1:9" x14ac:dyDescent="0.3">
      <c r="A631" s="1">
        <v>45783</v>
      </c>
      <c r="B631" t="s">
        <v>21</v>
      </c>
      <c r="C631">
        <v>351</v>
      </c>
      <c r="D631">
        <v>0.03</v>
      </c>
      <c r="E631">
        <v>0</v>
      </c>
      <c r="F631">
        <v>5</v>
      </c>
      <c r="G631" t="b">
        <v>0</v>
      </c>
      <c r="H631">
        <f>IF(inventory__Data[[#This Row],[stock_on_hand]]&lt;=0,1,0)</f>
        <v>0</v>
      </c>
      <c r="I631">
        <f>COUNTIFS(inventory__Data[product_id],inventory__Data[[#This Row],[product_id]],inventory__Data[stock_on_hand],"&lt;=0")</f>
        <v>29</v>
      </c>
    </row>
    <row r="632" spans="1:9" x14ac:dyDescent="0.3">
      <c r="A632" s="1">
        <v>45784</v>
      </c>
      <c r="B632" t="s">
        <v>9</v>
      </c>
      <c r="C632">
        <v>58</v>
      </c>
      <c r="D632">
        <v>0.05</v>
      </c>
      <c r="E632">
        <v>0</v>
      </c>
      <c r="F632">
        <v>5</v>
      </c>
      <c r="G632" t="b">
        <v>0</v>
      </c>
      <c r="H632">
        <f>IF(inventory__Data[[#This Row],[stock_on_hand]]&lt;=0,1,0)</f>
        <v>0</v>
      </c>
      <c r="I632">
        <f>COUNTIFS(inventory__Data[product_id],inventory__Data[[#This Row],[product_id]],inventory__Data[stock_on_hand],"&lt;=0")</f>
        <v>25</v>
      </c>
    </row>
    <row r="633" spans="1:9" x14ac:dyDescent="0.3">
      <c r="A633" s="1">
        <v>45784</v>
      </c>
      <c r="B633" t="s">
        <v>12</v>
      </c>
      <c r="C633">
        <v>177</v>
      </c>
      <c r="D633">
        <v>0.02</v>
      </c>
      <c r="E633">
        <v>0</v>
      </c>
      <c r="F633">
        <v>2</v>
      </c>
      <c r="G633" t="b">
        <v>0</v>
      </c>
      <c r="H633">
        <f>IF(inventory__Data[[#This Row],[stock_on_hand]]&lt;=0,1,0)</f>
        <v>0</v>
      </c>
      <c r="I633">
        <f>COUNTIFS(inventory__Data[product_id],inventory__Data[[#This Row],[product_id]],inventory__Data[stock_on_hand],"&lt;=0")</f>
        <v>23</v>
      </c>
    </row>
    <row r="634" spans="1:9" x14ac:dyDescent="0.3">
      <c r="A634" s="1">
        <v>45784</v>
      </c>
      <c r="B634" t="s">
        <v>15</v>
      </c>
      <c r="C634">
        <v>292</v>
      </c>
      <c r="D634">
        <v>0.04</v>
      </c>
      <c r="E634">
        <v>0</v>
      </c>
      <c r="F634">
        <v>15</v>
      </c>
      <c r="G634" t="b">
        <v>0</v>
      </c>
      <c r="H634">
        <f>IF(inventory__Data[[#This Row],[stock_on_hand]]&lt;=0,1,0)</f>
        <v>0</v>
      </c>
      <c r="I634">
        <f>COUNTIFS(inventory__Data[product_id],inventory__Data[[#This Row],[product_id]],inventory__Data[stock_on_hand],"&lt;=0")</f>
        <v>30</v>
      </c>
    </row>
    <row r="635" spans="1:9" x14ac:dyDescent="0.3">
      <c r="A635" s="1">
        <v>45784</v>
      </c>
      <c r="B635" t="s">
        <v>18</v>
      </c>
      <c r="C635">
        <v>577</v>
      </c>
      <c r="D635">
        <v>0.15</v>
      </c>
      <c r="E635">
        <v>0</v>
      </c>
      <c r="F635">
        <v>2</v>
      </c>
      <c r="G635" t="b">
        <v>0</v>
      </c>
      <c r="H635">
        <f>IF(inventory__Data[[#This Row],[stock_on_hand]]&lt;=0,1,0)</f>
        <v>0</v>
      </c>
      <c r="I635">
        <f>COUNTIFS(inventory__Data[product_id],inventory__Data[[#This Row],[product_id]],inventory__Data[stock_on_hand],"&lt;=0")</f>
        <v>30</v>
      </c>
    </row>
    <row r="636" spans="1:9" x14ac:dyDescent="0.3">
      <c r="A636" s="1">
        <v>45784</v>
      </c>
      <c r="B636" t="s">
        <v>21</v>
      </c>
      <c r="C636">
        <v>0</v>
      </c>
      <c r="D636">
        <v>0.03</v>
      </c>
      <c r="E636">
        <v>0</v>
      </c>
      <c r="F636">
        <v>2</v>
      </c>
      <c r="G636" t="b">
        <v>0</v>
      </c>
      <c r="H636">
        <f>IF(inventory__Data[[#This Row],[stock_on_hand]]&lt;=0,1,0)</f>
        <v>1</v>
      </c>
      <c r="I636">
        <f>COUNTIFS(inventory__Data[product_id],inventory__Data[[#This Row],[product_id]],inventory__Data[stock_on_hand],"&lt;=0")</f>
        <v>29</v>
      </c>
    </row>
    <row r="637" spans="1:9" x14ac:dyDescent="0.3">
      <c r="A637" s="1">
        <v>45785</v>
      </c>
      <c r="B637" t="s">
        <v>9</v>
      </c>
      <c r="C637">
        <v>103</v>
      </c>
      <c r="D637">
        <v>0.05</v>
      </c>
      <c r="E637">
        <v>0</v>
      </c>
      <c r="F637">
        <v>2</v>
      </c>
      <c r="G637" t="b">
        <v>0</v>
      </c>
      <c r="H637">
        <f>IF(inventory__Data[[#This Row],[stock_on_hand]]&lt;=0,1,0)</f>
        <v>0</v>
      </c>
      <c r="I637">
        <f>COUNTIFS(inventory__Data[product_id],inventory__Data[[#This Row],[product_id]],inventory__Data[stock_on_hand],"&lt;=0")</f>
        <v>25</v>
      </c>
    </row>
    <row r="638" spans="1:9" x14ac:dyDescent="0.3">
      <c r="A638" s="1">
        <v>45785</v>
      </c>
      <c r="B638" t="s">
        <v>12</v>
      </c>
      <c r="C638">
        <v>768</v>
      </c>
      <c r="D638">
        <v>0.02</v>
      </c>
      <c r="E638">
        <v>0</v>
      </c>
      <c r="F638">
        <v>2</v>
      </c>
      <c r="G638" t="b">
        <v>0</v>
      </c>
      <c r="H638">
        <f>IF(inventory__Data[[#This Row],[stock_on_hand]]&lt;=0,1,0)</f>
        <v>0</v>
      </c>
      <c r="I638">
        <f>COUNTIFS(inventory__Data[product_id],inventory__Data[[#This Row],[product_id]],inventory__Data[stock_on_hand],"&lt;=0")</f>
        <v>23</v>
      </c>
    </row>
    <row r="639" spans="1:9" x14ac:dyDescent="0.3">
      <c r="A639" s="1">
        <v>45785</v>
      </c>
      <c r="B639" t="s">
        <v>15</v>
      </c>
      <c r="C639">
        <v>522</v>
      </c>
      <c r="D639">
        <v>0.04</v>
      </c>
      <c r="E639">
        <v>0</v>
      </c>
      <c r="F639">
        <v>2</v>
      </c>
      <c r="G639" t="b">
        <v>0</v>
      </c>
      <c r="H639">
        <f>IF(inventory__Data[[#This Row],[stock_on_hand]]&lt;=0,1,0)</f>
        <v>0</v>
      </c>
      <c r="I639">
        <f>COUNTIFS(inventory__Data[product_id],inventory__Data[[#This Row],[product_id]],inventory__Data[stock_on_hand],"&lt;=0")</f>
        <v>30</v>
      </c>
    </row>
    <row r="640" spans="1:9" x14ac:dyDescent="0.3">
      <c r="A640" s="1">
        <v>45785</v>
      </c>
      <c r="B640" t="s">
        <v>18</v>
      </c>
      <c r="C640">
        <v>392</v>
      </c>
      <c r="D640">
        <v>0.15</v>
      </c>
      <c r="E640">
        <v>0</v>
      </c>
      <c r="F640">
        <v>5</v>
      </c>
      <c r="G640" t="b">
        <v>0</v>
      </c>
      <c r="H640">
        <f>IF(inventory__Data[[#This Row],[stock_on_hand]]&lt;=0,1,0)</f>
        <v>0</v>
      </c>
      <c r="I640">
        <f>COUNTIFS(inventory__Data[product_id],inventory__Data[[#This Row],[product_id]],inventory__Data[stock_on_hand],"&lt;=0")</f>
        <v>30</v>
      </c>
    </row>
    <row r="641" spans="1:9" x14ac:dyDescent="0.3">
      <c r="A641" s="1">
        <v>45785</v>
      </c>
      <c r="B641" t="s">
        <v>21</v>
      </c>
      <c r="C641">
        <v>190</v>
      </c>
      <c r="D641">
        <v>0.03</v>
      </c>
      <c r="E641">
        <v>0</v>
      </c>
      <c r="F641">
        <v>2</v>
      </c>
      <c r="G641" t="b">
        <v>0</v>
      </c>
      <c r="H641">
        <f>IF(inventory__Data[[#This Row],[stock_on_hand]]&lt;=0,1,0)</f>
        <v>0</v>
      </c>
      <c r="I641">
        <f>COUNTIFS(inventory__Data[product_id],inventory__Data[[#This Row],[product_id]],inventory__Data[stock_on_hand],"&lt;=0")</f>
        <v>29</v>
      </c>
    </row>
    <row r="642" spans="1:9" x14ac:dyDescent="0.3">
      <c r="A642" s="1">
        <v>45786</v>
      </c>
      <c r="B642" t="s">
        <v>9</v>
      </c>
      <c r="C642">
        <v>0</v>
      </c>
      <c r="D642">
        <v>0.05</v>
      </c>
      <c r="E642">
        <v>0</v>
      </c>
      <c r="F642">
        <v>2</v>
      </c>
      <c r="G642" t="b">
        <v>0</v>
      </c>
      <c r="H642">
        <f>IF(inventory__Data[[#This Row],[stock_on_hand]]&lt;=0,1,0)</f>
        <v>1</v>
      </c>
      <c r="I642">
        <f>COUNTIFS(inventory__Data[product_id],inventory__Data[[#This Row],[product_id]],inventory__Data[stock_on_hand],"&lt;=0")</f>
        <v>25</v>
      </c>
    </row>
    <row r="643" spans="1:9" x14ac:dyDescent="0.3">
      <c r="A643" s="1">
        <v>45786</v>
      </c>
      <c r="B643" t="s">
        <v>12</v>
      </c>
      <c r="C643">
        <v>622</v>
      </c>
      <c r="D643">
        <v>0.02</v>
      </c>
      <c r="E643">
        <v>0</v>
      </c>
      <c r="F643">
        <v>2</v>
      </c>
      <c r="G643" t="b">
        <v>0</v>
      </c>
      <c r="H643">
        <f>IF(inventory__Data[[#This Row],[stock_on_hand]]&lt;=0,1,0)</f>
        <v>0</v>
      </c>
      <c r="I643">
        <f>COUNTIFS(inventory__Data[product_id],inventory__Data[[#This Row],[product_id]],inventory__Data[stock_on_hand],"&lt;=0")</f>
        <v>23</v>
      </c>
    </row>
    <row r="644" spans="1:9" x14ac:dyDescent="0.3">
      <c r="A644" s="1">
        <v>45786</v>
      </c>
      <c r="B644" t="s">
        <v>15</v>
      </c>
      <c r="C644">
        <v>607</v>
      </c>
      <c r="D644">
        <v>0.04</v>
      </c>
      <c r="E644">
        <v>0</v>
      </c>
      <c r="F644">
        <v>2</v>
      </c>
      <c r="G644" t="b">
        <v>0</v>
      </c>
      <c r="H644">
        <f>IF(inventory__Data[[#This Row],[stock_on_hand]]&lt;=0,1,0)</f>
        <v>0</v>
      </c>
      <c r="I644">
        <f>COUNTIFS(inventory__Data[product_id],inventory__Data[[#This Row],[product_id]],inventory__Data[stock_on_hand],"&lt;=0")</f>
        <v>30</v>
      </c>
    </row>
    <row r="645" spans="1:9" x14ac:dyDescent="0.3">
      <c r="A645" s="1">
        <v>45786</v>
      </c>
      <c r="B645" t="s">
        <v>18</v>
      </c>
      <c r="C645">
        <v>408</v>
      </c>
      <c r="D645">
        <v>0.15</v>
      </c>
      <c r="E645">
        <v>0</v>
      </c>
      <c r="F645">
        <v>2</v>
      </c>
      <c r="G645" t="b">
        <v>0</v>
      </c>
      <c r="H645">
        <f>IF(inventory__Data[[#This Row],[stock_on_hand]]&lt;=0,1,0)</f>
        <v>0</v>
      </c>
      <c r="I645">
        <f>COUNTIFS(inventory__Data[product_id],inventory__Data[[#This Row],[product_id]],inventory__Data[stock_on_hand],"&lt;=0")</f>
        <v>30</v>
      </c>
    </row>
    <row r="646" spans="1:9" x14ac:dyDescent="0.3">
      <c r="A646" s="1">
        <v>45786</v>
      </c>
      <c r="B646" t="s">
        <v>21</v>
      </c>
      <c r="C646">
        <v>42</v>
      </c>
      <c r="D646">
        <v>0.03</v>
      </c>
      <c r="E646">
        <v>0</v>
      </c>
      <c r="F646">
        <v>5</v>
      </c>
      <c r="G646" t="b">
        <v>0</v>
      </c>
      <c r="H646">
        <f>IF(inventory__Data[[#This Row],[stock_on_hand]]&lt;=0,1,0)</f>
        <v>0</v>
      </c>
      <c r="I646">
        <f>COUNTIFS(inventory__Data[product_id],inventory__Data[[#This Row],[product_id]],inventory__Data[stock_on_hand],"&lt;=0")</f>
        <v>29</v>
      </c>
    </row>
    <row r="647" spans="1:9" x14ac:dyDescent="0.3">
      <c r="A647" s="1">
        <v>45787</v>
      </c>
      <c r="B647" t="s">
        <v>9</v>
      </c>
      <c r="C647">
        <v>864</v>
      </c>
      <c r="D647">
        <v>0.05</v>
      </c>
      <c r="E647">
        <v>0</v>
      </c>
      <c r="F647">
        <v>2</v>
      </c>
      <c r="G647" t="b">
        <v>0</v>
      </c>
      <c r="H647">
        <f>IF(inventory__Data[[#This Row],[stock_on_hand]]&lt;=0,1,0)</f>
        <v>0</v>
      </c>
      <c r="I647">
        <f>COUNTIFS(inventory__Data[product_id],inventory__Data[[#This Row],[product_id]],inventory__Data[stock_on_hand],"&lt;=0")</f>
        <v>25</v>
      </c>
    </row>
    <row r="648" spans="1:9" x14ac:dyDescent="0.3">
      <c r="A648" s="1">
        <v>45787</v>
      </c>
      <c r="B648" t="s">
        <v>12</v>
      </c>
      <c r="C648">
        <v>429</v>
      </c>
      <c r="D648">
        <v>0.02</v>
      </c>
      <c r="E648">
        <v>0</v>
      </c>
      <c r="F648">
        <v>5</v>
      </c>
      <c r="G648" t="b">
        <v>0</v>
      </c>
      <c r="H648">
        <f>IF(inventory__Data[[#This Row],[stock_on_hand]]&lt;=0,1,0)</f>
        <v>0</v>
      </c>
      <c r="I648">
        <f>COUNTIFS(inventory__Data[product_id],inventory__Data[[#This Row],[product_id]],inventory__Data[stock_on_hand],"&lt;=0")</f>
        <v>23</v>
      </c>
    </row>
    <row r="649" spans="1:9" x14ac:dyDescent="0.3">
      <c r="A649" s="1">
        <v>45787</v>
      </c>
      <c r="B649" t="s">
        <v>15</v>
      </c>
      <c r="C649">
        <v>320</v>
      </c>
      <c r="D649">
        <v>0.04</v>
      </c>
      <c r="E649">
        <v>0</v>
      </c>
      <c r="F649">
        <v>2</v>
      </c>
      <c r="G649" t="b">
        <v>0</v>
      </c>
      <c r="H649">
        <f>IF(inventory__Data[[#This Row],[stock_on_hand]]&lt;=0,1,0)</f>
        <v>0</v>
      </c>
      <c r="I649">
        <f>COUNTIFS(inventory__Data[product_id],inventory__Data[[#This Row],[product_id]],inventory__Data[stock_on_hand],"&lt;=0")</f>
        <v>30</v>
      </c>
    </row>
    <row r="650" spans="1:9" x14ac:dyDescent="0.3">
      <c r="A650" s="1">
        <v>45787</v>
      </c>
      <c r="B650" t="s">
        <v>18</v>
      </c>
      <c r="C650">
        <v>724</v>
      </c>
      <c r="D650">
        <v>0.15</v>
      </c>
      <c r="E650">
        <v>0</v>
      </c>
      <c r="F650">
        <v>10</v>
      </c>
      <c r="G650" t="b">
        <v>0</v>
      </c>
      <c r="H650">
        <f>IF(inventory__Data[[#This Row],[stock_on_hand]]&lt;=0,1,0)</f>
        <v>0</v>
      </c>
      <c r="I650">
        <f>COUNTIFS(inventory__Data[product_id],inventory__Data[[#This Row],[product_id]],inventory__Data[stock_on_hand],"&lt;=0")</f>
        <v>30</v>
      </c>
    </row>
    <row r="651" spans="1:9" x14ac:dyDescent="0.3">
      <c r="A651" s="1">
        <v>45787</v>
      </c>
      <c r="B651" t="s">
        <v>21</v>
      </c>
      <c r="C651">
        <v>474</v>
      </c>
      <c r="D651">
        <v>0.03</v>
      </c>
      <c r="E651">
        <v>0</v>
      </c>
      <c r="F651">
        <v>2</v>
      </c>
      <c r="G651" t="b">
        <v>0</v>
      </c>
      <c r="H651">
        <f>IF(inventory__Data[[#This Row],[stock_on_hand]]&lt;=0,1,0)</f>
        <v>0</v>
      </c>
      <c r="I651">
        <f>COUNTIFS(inventory__Data[product_id],inventory__Data[[#This Row],[product_id]],inventory__Data[stock_on_hand],"&lt;=0")</f>
        <v>29</v>
      </c>
    </row>
    <row r="652" spans="1:9" x14ac:dyDescent="0.3">
      <c r="A652" s="1">
        <v>45788</v>
      </c>
      <c r="B652" t="s">
        <v>9</v>
      </c>
      <c r="C652">
        <v>348</v>
      </c>
      <c r="D652">
        <v>0.05</v>
      </c>
      <c r="E652">
        <v>0</v>
      </c>
      <c r="F652">
        <v>5</v>
      </c>
      <c r="G652" t="b">
        <v>0</v>
      </c>
      <c r="H652">
        <f>IF(inventory__Data[[#This Row],[stock_on_hand]]&lt;=0,1,0)</f>
        <v>0</v>
      </c>
      <c r="I652">
        <f>COUNTIFS(inventory__Data[product_id],inventory__Data[[#This Row],[product_id]],inventory__Data[stock_on_hand],"&lt;=0")</f>
        <v>25</v>
      </c>
    </row>
    <row r="653" spans="1:9" x14ac:dyDescent="0.3">
      <c r="A653" s="1">
        <v>45788</v>
      </c>
      <c r="B653" t="s">
        <v>12</v>
      </c>
      <c r="C653">
        <v>115</v>
      </c>
      <c r="D653">
        <v>0.02</v>
      </c>
      <c r="E653">
        <v>0</v>
      </c>
      <c r="F653">
        <v>5</v>
      </c>
      <c r="G653" t="b">
        <v>0</v>
      </c>
      <c r="H653">
        <f>IF(inventory__Data[[#This Row],[stock_on_hand]]&lt;=0,1,0)</f>
        <v>0</v>
      </c>
      <c r="I653">
        <f>COUNTIFS(inventory__Data[product_id],inventory__Data[[#This Row],[product_id]],inventory__Data[stock_on_hand],"&lt;=0")</f>
        <v>23</v>
      </c>
    </row>
    <row r="654" spans="1:9" x14ac:dyDescent="0.3">
      <c r="A654" s="1">
        <v>45788</v>
      </c>
      <c r="B654" t="s">
        <v>15</v>
      </c>
      <c r="C654">
        <v>211</v>
      </c>
      <c r="D654">
        <v>0.04</v>
      </c>
      <c r="E654">
        <v>0</v>
      </c>
      <c r="F654">
        <v>5</v>
      </c>
      <c r="G654" t="b">
        <v>0</v>
      </c>
      <c r="H654">
        <f>IF(inventory__Data[[#This Row],[stock_on_hand]]&lt;=0,1,0)</f>
        <v>0</v>
      </c>
      <c r="I654">
        <f>COUNTIFS(inventory__Data[product_id],inventory__Data[[#This Row],[product_id]],inventory__Data[stock_on_hand],"&lt;=0")</f>
        <v>30</v>
      </c>
    </row>
    <row r="655" spans="1:9" x14ac:dyDescent="0.3">
      <c r="A655" s="1">
        <v>45788</v>
      </c>
      <c r="B655" t="s">
        <v>18</v>
      </c>
      <c r="C655">
        <v>882</v>
      </c>
      <c r="D655">
        <v>0.15</v>
      </c>
      <c r="E655">
        <v>0</v>
      </c>
      <c r="F655">
        <v>2</v>
      </c>
      <c r="G655" t="b">
        <v>0</v>
      </c>
      <c r="H655">
        <f>IF(inventory__Data[[#This Row],[stock_on_hand]]&lt;=0,1,0)</f>
        <v>0</v>
      </c>
      <c r="I655">
        <f>COUNTIFS(inventory__Data[product_id],inventory__Data[[#This Row],[product_id]],inventory__Data[stock_on_hand],"&lt;=0")</f>
        <v>30</v>
      </c>
    </row>
    <row r="656" spans="1:9" x14ac:dyDescent="0.3">
      <c r="A656" s="1">
        <v>45788</v>
      </c>
      <c r="B656" t="s">
        <v>21</v>
      </c>
      <c r="C656">
        <v>726</v>
      </c>
      <c r="D656">
        <v>0.03</v>
      </c>
      <c r="E656">
        <v>0</v>
      </c>
      <c r="F656">
        <v>2</v>
      </c>
      <c r="G656" t="b">
        <v>0</v>
      </c>
      <c r="H656">
        <f>IF(inventory__Data[[#This Row],[stock_on_hand]]&lt;=0,1,0)</f>
        <v>0</v>
      </c>
      <c r="I656">
        <f>COUNTIFS(inventory__Data[product_id],inventory__Data[[#This Row],[product_id]],inventory__Data[stock_on_hand],"&lt;=0")</f>
        <v>29</v>
      </c>
    </row>
    <row r="657" spans="1:9" x14ac:dyDescent="0.3">
      <c r="A657" s="1">
        <v>45789</v>
      </c>
      <c r="B657" t="s">
        <v>9</v>
      </c>
      <c r="C657">
        <v>177</v>
      </c>
      <c r="D657">
        <v>0.05</v>
      </c>
      <c r="E657">
        <v>0</v>
      </c>
      <c r="F657">
        <v>2</v>
      </c>
      <c r="G657" t="b">
        <v>0</v>
      </c>
      <c r="H657">
        <f>IF(inventory__Data[[#This Row],[stock_on_hand]]&lt;=0,1,0)</f>
        <v>0</v>
      </c>
      <c r="I657">
        <f>COUNTIFS(inventory__Data[product_id],inventory__Data[[#This Row],[product_id]],inventory__Data[stock_on_hand],"&lt;=0")</f>
        <v>25</v>
      </c>
    </row>
    <row r="658" spans="1:9" x14ac:dyDescent="0.3">
      <c r="A658" s="1">
        <v>45789</v>
      </c>
      <c r="B658" t="s">
        <v>12</v>
      </c>
      <c r="C658">
        <v>809</v>
      </c>
      <c r="D658">
        <v>0.02</v>
      </c>
      <c r="E658">
        <v>0</v>
      </c>
      <c r="F658">
        <v>5</v>
      </c>
      <c r="G658" t="b">
        <v>0</v>
      </c>
      <c r="H658">
        <f>IF(inventory__Data[[#This Row],[stock_on_hand]]&lt;=0,1,0)</f>
        <v>0</v>
      </c>
      <c r="I658">
        <f>COUNTIFS(inventory__Data[product_id],inventory__Data[[#This Row],[product_id]],inventory__Data[stock_on_hand],"&lt;=0")</f>
        <v>23</v>
      </c>
    </row>
    <row r="659" spans="1:9" x14ac:dyDescent="0.3">
      <c r="A659" s="1">
        <v>45789</v>
      </c>
      <c r="B659" t="s">
        <v>15</v>
      </c>
      <c r="C659">
        <v>578</v>
      </c>
      <c r="D659">
        <v>0.04</v>
      </c>
      <c r="E659">
        <v>0</v>
      </c>
      <c r="F659">
        <v>5</v>
      </c>
      <c r="G659" t="b">
        <v>0</v>
      </c>
      <c r="H659">
        <f>IF(inventory__Data[[#This Row],[stock_on_hand]]&lt;=0,1,0)</f>
        <v>0</v>
      </c>
      <c r="I659">
        <f>COUNTIFS(inventory__Data[product_id],inventory__Data[[#This Row],[product_id]],inventory__Data[stock_on_hand],"&lt;=0")</f>
        <v>30</v>
      </c>
    </row>
    <row r="660" spans="1:9" x14ac:dyDescent="0.3">
      <c r="A660" s="1">
        <v>45789</v>
      </c>
      <c r="B660" t="s">
        <v>18</v>
      </c>
      <c r="C660">
        <v>558</v>
      </c>
      <c r="D660">
        <v>0.15</v>
      </c>
      <c r="E660">
        <v>0</v>
      </c>
      <c r="F660">
        <v>5</v>
      </c>
      <c r="G660" t="b">
        <v>0</v>
      </c>
      <c r="H660">
        <f>IF(inventory__Data[[#This Row],[stock_on_hand]]&lt;=0,1,0)</f>
        <v>0</v>
      </c>
      <c r="I660">
        <f>COUNTIFS(inventory__Data[product_id],inventory__Data[[#This Row],[product_id]],inventory__Data[stock_on_hand],"&lt;=0")</f>
        <v>30</v>
      </c>
    </row>
    <row r="661" spans="1:9" x14ac:dyDescent="0.3">
      <c r="A661" s="1">
        <v>45789</v>
      </c>
      <c r="B661" t="s">
        <v>21</v>
      </c>
      <c r="C661">
        <v>520</v>
      </c>
      <c r="D661">
        <v>0.03</v>
      </c>
      <c r="E661">
        <v>0</v>
      </c>
      <c r="F661">
        <v>2</v>
      </c>
      <c r="G661" t="b">
        <v>0</v>
      </c>
      <c r="H661">
        <f>IF(inventory__Data[[#This Row],[stock_on_hand]]&lt;=0,1,0)</f>
        <v>0</v>
      </c>
      <c r="I661">
        <f>COUNTIFS(inventory__Data[product_id],inventory__Data[[#This Row],[product_id]],inventory__Data[stock_on_hand],"&lt;=0")</f>
        <v>29</v>
      </c>
    </row>
    <row r="662" spans="1:9" x14ac:dyDescent="0.3">
      <c r="A662" s="1">
        <v>45790</v>
      </c>
      <c r="B662" t="s">
        <v>9</v>
      </c>
      <c r="C662">
        <v>534</v>
      </c>
      <c r="D662">
        <v>0.05</v>
      </c>
      <c r="E662">
        <v>0</v>
      </c>
      <c r="F662">
        <v>5</v>
      </c>
      <c r="G662" t="b">
        <v>0</v>
      </c>
      <c r="H662">
        <f>IF(inventory__Data[[#This Row],[stock_on_hand]]&lt;=0,1,0)</f>
        <v>0</v>
      </c>
      <c r="I662">
        <f>COUNTIFS(inventory__Data[product_id],inventory__Data[[#This Row],[product_id]],inventory__Data[stock_on_hand],"&lt;=0")</f>
        <v>25</v>
      </c>
    </row>
    <row r="663" spans="1:9" x14ac:dyDescent="0.3">
      <c r="A663" s="1">
        <v>45790</v>
      </c>
      <c r="B663" t="s">
        <v>12</v>
      </c>
      <c r="C663">
        <v>0</v>
      </c>
      <c r="D663">
        <v>0.02</v>
      </c>
      <c r="E663">
        <v>0</v>
      </c>
      <c r="F663">
        <v>2</v>
      </c>
      <c r="G663" t="b">
        <v>0</v>
      </c>
      <c r="H663">
        <f>IF(inventory__Data[[#This Row],[stock_on_hand]]&lt;=0,1,0)</f>
        <v>1</v>
      </c>
      <c r="I663">
        <f>COUNTIFS(inventory__Data[product_id],inventory__Data[[#This Row],[product_id]],inventory__Data[stock_on_hand],"&lt;=0")</f>
        <v>23</v>
      </c>
    </row>
    <row r="664" spans="1:9" x14ac:dyDescent="0.3">
      <c r="A664" s="1">
        <v>45790</v>
      </c>
      <c r="B664" t="s">
        <v>15</v>
      </c>
      <c r="C664">
        <v>0</v>
      </c>
      <c r="D664">
        <v>0.04</v>
      </c>
      <c r="E664">
        <v>0</v>
      </c>
      <c r="F664">
        <v>2</v>
      </c>
      <c r="G664" t="b">
        <v>0</v>
      </c>
      <c r="H664">
        <f>IF(inventory__Data[[#This Row],[stock_on_hand]]&lt;=0,1,0)</f>
        <v>1</v>
      </c>
      <c r="I664">
        <f>COUNTIFS(inventory__Data[product_id],inventory__Data[[#This Row],[product_id]],inventory__Data[stock_on_hand],"&lt;=0")</f>
        <v>30</v>
      </c>
    </row>
    <row r="665" spans="1:9" x14ac:dyDescent="0.3">
      <c r="A665" s="1">
        <v>45790</v>
      </c>
      <c r="B665" t="s">
        <v>18</v>
      </c>
      <c r="C665">
        <v>0</v>
      </c>
      <c r="D665">
        <v>0.15</v>
      </c>
      <c r="E665">
        <v>0</v>
      </c>
      <c r="F665">
        <v>2</v>
      </c>
      <c r="G665" t="b">
        <v>0</v>
      </c>
      <c r="H665">
        <f>IF(inventory__Data[[#This Row],[stock_on_hand]]&lt;=0,1,0)</f>
        <v>1</v>
      </c>
      <c r="I665">
        <f>COUNTIFS(inventory__Data[product_id],inventory__Data[[#This Row],[product_id]],inventory__Data[stock_on_hand],"&lt;=0")</f>
        <v>30</v>
      </c>
    </row>
    <row r="666" spans="1:9" x14ac:dyDescent="0.3">
      <c r="A666" s="1">
        <v>45790</v>
      </c>
      <c r="B666" t="s">
        <v>21</v>
      </c>
      <c r="C666">
        <v>0</v>
      </c>
      <c r="D666">
        <v>0.03</v>
      </c>
      <c r="E666">
        <v>0</v>
      </c>
      <c r="F666">
        <v>5</v>
      </c>
      <c r="G666" t="b">
        <v>0</v>
      </c>
      <c r="H666">
        <f>IF(inventory__Data[[#This Row],[stock_on_hand]]&lt;=0,1,0)</f>
        <v>1</v>
      </c>
      <c r="I666">
        <f>COUNTIFS(inventory__Data[product_id],inventory__Data[[#This Row],[product_id]],inventory__Data[stock_on_hand],"&lt;=0")</f>
        <v>29</v>
      </c>
    </row>
    <row r="667" spans="1:9" x14ac:dyDescent="0.3">
      <c r="A667" s="1">
        <v>45791</v>
      </c>
      <c r="B667" t="s">
        <v>9</v>
      </c>
      <c r="C667">
        <v>502</v>
      </c>
      <c r="D667">
        <v>0.05</v>
      </c>
      <c r="E667">
        <v>0</v>
      </c>
      <c r="F667">
        <v>5</v>
      </c>
      <c r="G667" t="b">
        <v>0</v>
      </c>
      <c r="H667">
        <f>IF(inventory__Data[[#This Row],[stock_on_hand]]&lt;=0,1,0)</f>
        <v>0</v>
      </c>
      <c r="I667">
        <f>COUNTIFS(inventory__Data[product_id],inventory__Data[[#This Row],[product_id]],inventory__Data[stock_on_hand],"&lt;=0")</f>
        <v>25</v>
      </c>
    </row>
    <row r="668" spans="1:9" x14ac:dyDescent="0.3">
      <c r="A668" s="1">
        <v>45791</v>
      </c>
      <c r="B668" t="s">
        <v>12</v>
      </c>
      <c r="C668">
        <v>186</v>
      </c>
      <c r="D668">
        <v>0.02</v>
      </c>
      <c r="E668">
        <v>0</v>
      </c>
      <c r="F668">
        <v>2</v>
      </c>
      <c r="G668" t="b">
        <v>0</v>
      </c>
      <c r="H668">
        <f>IF(inventory__Data[[#This Row],[stock_on_hand]]&lt;=0,1,0)</f>
        <v>0</v>
      </c>
      <c r="I668">
        <f>COUNTIFS(inventory__Data[product_id],inventory__Data[[#This Row],[product_id]],inventory__Data[stock_on_hand],"&lt;=0")</f>
        <v>23</v>
      </c>
    </row>
    <row r="669" spans="1:9" x14ac:dyDescent="0.3">
      <c r="A669" s="1">
        <v>45791</v>
      </c>
      <c r="B669" t="s">
        <v>15</v>
      </c>
      <c r="C669">
        <v>479</v>
      </c>
      <c r="D669">
        <v>0.04</v>
      </c>
      <c r="E669">
        <v>0</v>
      </c>
      <c r="F669">
        <v>5</v>
      </c>
      <c r="G669" t="b">
        <v>0</v>
      </c>
      <c r="H669">
        <f>IF(inventory__Data[[#This Row],[stock_on_hand]]&lt;=0,1,0)</f>
        <v>0</v>
      </c>
      <c r="I669">
        <f>COUNTIFS(inventory__Data[product_id],inventory__Data[[#This Row],[product_id]],inventory__Data[stock_on_hand],"&lt;=0")</f>
        <v>30</v>
      </c>
    </row>
    <row r="670" spans="1:9" x14ac:dyDescent="0.3">
      <c r="A670" s="1">
        <v>45791</v>
      </c>
      <c r="B670" t="s">
        <v>18</v>
      </c>
      <c r="C670">
        <v>282</v>
      </c>
      <c r="D670">
        <v>0.15</v>
      </c>
      <c r="E670">
        <v>0</v>
      </c>
      <c r="F670">
        <v>2</v>
      </c>
      <c r="G670" t="b">
        <v>0</v>
      </c>
      <c r="H670">
        <f>IF(inventory__Data[[#This Row],[stock_on_hand]]&lt;=0,1,0)</f>
        <v>0</v>
      </c>
      <c r="I670">
        <f>COUNTIFS(inventory__Data[product_id],inventory__Data[[#This Row],[product_id]],inventory__Data[stock_on_hand],"&lt;=0")</f>
        <v>30</v>
      </c>
    </row>
    <row r="671" spans="1:9" x14ac:dyDescent="0.3">
      <c r="A671" s="1">
        <v>45791</v>
      </c>
      <c r="B671" t="s">
        <v>21</v>
      </c>
      <c r="C671">
        <v>709</v>
      </c>
      <c r="D671">
        <v>0.03</v>
      </c>
      <c r="E671">
        <v>0</v>
      </c>
      <c r="F671">
        <v>5</v>
      </c>
      <c r="G671" t="b">
        <v>0</v>
      </c>
      <c r="H671">
        <f>IF(inventory__Data[[#This Row],[stock_on_hand]]&lt;=0,1,0)</f>
        <v>0</v>
      </c>
      <c r="I671">
        <f>COUNTIFS(inventory__Data[product_id],inventory__Data[[#This Row],[product_id]],inventory__Data[stock_on_hand],"&lt;=0")</f>
        <v>29</v>
      </c>
    </row>
    <row r="672" spans="1:9" x14ac:dyDescent="0.3">
      <c r="A672" s="1">
        <v>45792</v>
      </c>
      <c r="B672" t="s">
        <v>9</v>
      </c>
      <c r="C672">
        <v>124</v>
      </c>
      <c r="D672">
        <v>0.05</v>
      </c>
      <c r="E672">
        <v>0</v>
      </c>
      <c r="F672">
        <v>5</v>
      </c>
      <c r="G672" t="b">
        <v>0</v>
      </c>
      <c r="H672">
        <f>IF(inventory__Data[[#This Row],[stock_on_hand]]&lt;=0,1,0)</f>
        <v>0</v>
      </c>
      <c r="I672">
        <f>COUNTIFS(inventory__Data[product_id],inventory__Data[[#This Row],[product_id]],inventory__Data[stock_on_hand],"&lt;=0")</f>
        <v>25</v>
      </c>
    </row>
    <row r="673" spans="1:9" x14ac:dyDescent="0.3">
      <c r="A673" s="1">
        <v>45792</v>
      </c>
      <c r="B673" t="s">
        <v>12</v>
      </c>
      <c r="C673">
        <v>589</v>
      </c>
      <c r="D673">
        <v>0.02</v>
      </c>
      <c r="E673">
        <v>0</v>
      </c>
      <c r="F673">
        <v>2</v>
      </c>
      <c r="G673" t="b">
        <v>0</v>
      </c>
      <c r="H673">
        <f>IF(inventory__Data[[#This Row],[stock_on_hand]]&lt;=0,1,0)</f>
        <v>0</v>
      </c>
      <c r="I673">
        <f>COUNTIFS(inventory__Data[product_id],inventory__Data[[#This Row],[product_id]],inventory__Data[stock_on_hand],"&lt;=0")</f>
        <v>23</v>
      </c>
    </row>
    <row r="674" spans="1:9" x14ac:dyDescent="0.3">
      <c r="A674" s="1">
        <v>45792</v>
      </c>
      <c r="B674" t="s">
        <v>15</v>
      </c>
      <c r="C674">
        <v>557</v>
      </c>
      <c r="D674">
        <v>0.04</v>
      </c>
      <c r="E674">
        <v>0</v>
      </c>
      <c r="F674">
        <v>2</v>
      </c>
      <c r="G674" t="b">
        <v>0</v>
      </c>
      <c r="H674">
        <f>IF(inventory__Data[[#This Row],[stock_on_hand]]&lt;=0,1,0)</f>
        <v>0</v>
      </c>
      <c r="I674">
        <f>COUNTIFS(inventory__Data[product_id],inventory__Data[[#This Row],[product_id]],inventory__Data[stock_on_hand],"&lt;=0")</f>
        <v>30</v>
      </c>
    </row>
    <row r="675" spans="1:9" x14ac:dyDescent="0.3">
      <c r="A675" s="1">
        <v>45792</v>
      </c>
      <c r="B675" t="s">
        <v>18</v>
      </c>
      <c r="C675">
        <v>258</v>
      </c>
      <c r="D675">
        <v>0.15</v>
      </c>
      <c r="E675">
        <v>0</v>
      </c>
      <c r="F675">
        <v>5</v>
      </c>
      <c r="G675" t="b">
        <v>0</v>
      </c>
      <c r="H675">
        <f>IF(inventory__Data[[#This Row],[stock_on_hand]]&lt;=0,1,0)</f>
        <v>0</v>
      </c>
      <c r="I675">
        <f>COUNTIFS(inventory__Data[product_id],inventory__Data[[#This Row],[product_id]],inventory__Data[stock_on_hand],"&lt;=0")</f>
        <v>30</v>
      </c>
    </row>
    <row r="676" spans="1:9" x14ac:dyDescent="0.3">
      <c r="A676" s="1">
        <v>45792</v>
      </c>
      <c r="B676" t="s">
        <v>21</v>
      </c>
      <c r="C676">
        <v>678</v>
      </c>
      <c r="D676">
        <v>0.03</v>
      </c>
      <c r="E676">
        <v>0</v>
      </c>
      <c r="F676">
        <v>2</v>
      </c>
      <c r="G676" t="b">
        <v>0</v>
      </c>
      <c r="H676">
        <f>IF(inventory__Data[[#This Row],[stock_on_hand]]&lt;=0,1,0)</f>
        <v>0</v>
      </c>
      <c r="I676">
        <f>COUNTIFS(inventory__Data[product_id],inventory__Data[[#This Row],[product_id]],inventory__Data[stock_on_hand],"&lt;=0")</f>
        <v>29</v>
      </c>
    </row>
    <row r="677" spans="1:9" x14ac:dyDescent="0.3">
      <c r="A677" s="1">
        <v>45793</v>
      </c>
      <c r="B677" t="s">
        <v>9</v>
      </c>
      <c r="C677">
        <v>306</v>
      </c>
      <c r="D677">
        <v>0.05</v>
      </c>
      <c r="E677">
        <v>0</v>
      </c>
      <c r="F677">
        <v>5</v>
      </c>
      <c r="G677" t="b">
        <v>0</v>
      </c>
      <c r="H677">
        <f>IF(inventory__Data[[#This Row],[stock_on_hand]]&lt;=0,1,0)</f>
        <v>0</v>
      </c>
      <c r="I677">
        <f>COUNTIFS(inventory__Data[product_id],inventory__Data[[#This Row],[product_id]],inventory__Data[stock_on_hand],"&lt;=0")</f>
        <v>25</v>
      </c>
    </row>
    <row r="678" spans="1:9" x14ac:dyDescent="0.3">
      <c r="A678" s="1">
        <v>45793</v>
      </c>
      <c r="B678" t="s">
        <v>12</v>
      </c>
      <c r="C678">
        <v>524</v>
      </c>
      <c r="D678">
        <v>0.02</v>
      </c>
      <c r="E678">
        <v>0</v>
      </c>
      <c r="F678">
        <v>2</v>
      </c>
      <c r="G678" t="b">
        <v>0</v>
      </c>
      <c r="H678">
        <f>IF(inventory__Data[[#This Row],[stock_on_hand]]&lt;=0,1,0)</f>
        <v>0</v>
      </c>
      <c r="I678">
        <f>COUNTIFS(inventory__Data[product_id],inventory__Data[[#This Row],[product_id]],inventory__Data[stock_on_hand],"&lt;=0")</f>
        <v>23</v>
      </c>
    </row>
    <row r="679" spans="1:9" x14ac:dyDescent="0.3">
      <c r="A679" s="1">
        <v>45793</v>
      </c>
      <c r="B679" t="s">
        <v>15</v>
      </c>
      <c r="C679">
        <v>0</v>
      </c>
      <c r="D679">
        <v>0.04</v>
      </c>
      <c r="E679">
        <v>0</v>
      </c>
      <c r="F679">
        <v>5</v>
      </c>
      <c r="G679" t="b">
        <v>0</v>
      </c>
      <c r="H679">
        <f>IF(inventory__Data[[#This Row],[stock_on_hand]]&lt;=0,1,0)</f>
        <v>1</v>
      </c>
      <c r="I679">
        <f>COUNTIFS(inventory__Data[product_id],inventory__Data[[#This Row],[product_id]],inventory__Data[stock_on_hand],"&lt;=0")</f>
        <v>30</v>
      </c>
    </row>
    <row r="680" spans="1:9" x14ac:dyDescent="0.3">
      <c r="A680" s="1">
        <v>45793</v>
      </c>
      <c r="B680" t="s">
        <v>18</v>
      </c>
      <c r="C680">
        <v>586</v>
      </c>
      <c r="D680">
        <v>0.15</v>
      </c>
      <c r="E680">
        <v>0</v>
      </c>
      <c r="F680">
        <v>2</v>
      </c>
      <c r="G680" t="b">
        <v>0</v>
      </c>
      <c r="H680">
        <f>IF(inventory__Data[[#This Row],[stock_on_hand]]&lt;=0,1,0)</f>
        <v>0</v>
      </c>
      <c r="I680">
        <f>COUNTIFS(inventory__Data[product_id],inventory__Data[[#This Row],[product_id]],inventory__Data[stock_on_hand],"&lt;=0")</f>
        <v>30</v>
      </c>
    </row>
    <row r="681" spans="1:9" x14ac:dyDescent="0.3">
      <c r="A681" s="1">
        <v>45793</v>
      </c>
      <c r="B681" t="s">
        <v>21</v>
      </c>
      <c r="C681">
        <v>132</v>
      </c>
      <c r="D681">
        <v>0.03</v>
      </c>
      <c r="E681">
        <v>0</v>
      </c>
      <c r="F681">
        <v>5</v>
      </c>
      <c r="G681" t="b">
        <v>0</v>
      </c>
      <c r="H681">
        <f>IF(inventory__Data[[#This Row],[stock_on_hand]]&lt;=0,1,0)</f>
        <v>0</v>
      </c>
      <c r="I681">
        <f>COUNTIFS(inventory__Data[product_id],inventory__Data[[#This Row],[product_id]],inventory__Data[stock_on_hand],"&lt;=0")</f>
        <v>29</v>
      </c>
    </row>
    <row r="682" spans="1:9" x14ac:dyDescent="0.3">
      <c r="A682" s="1">
        <v>45794</v>
      </c>
      <c r="B682" t="s">
        <v>9</v>
      </c>
      <c r="C682">
        <v>705</v>
      </c>
      <c r="D682">
        <v>0.05</v>
      </c>
      <c r="E682">
        <v>0</v>
      </c>
      <c r="F682">
        <v>2</v>
      </c>
      <c r="G682" t="b">
        <v>0</v>
      </c>
      <c r="H682">
        <f>IF(inventory__Data[[#This Row],[stock_on_hand]]&lt;=0,1,0)</f>
        <v>0</v>
      </c>
      <c r="I682">
        <f>COUNTIFS(inventory__Data[product_id],inventory__Data[[#This Row],[product_id]],inventory__Data[stock_on_hand],"&lt;=0")</f>
        <v>25</v>
      </c>
    </row>
    <row r="683" spans="1:9" x14ac:dyDescent="0.3">
      <c r="A683" s="1">
        <v>45794</v>
      </c>
      <c r="B683" t="s">
        <v>12</v>
      </c>
      <c r="C683">
        <v>236</v>
      </c>
      <c r="D683">
        <v>0.02</v>
      </c>
      <c r="E683">
        <v>0</v>
      </c>
      <c r="F683">
        <v>2</v>
      </c>
      <c r="G683" t="b">
        <v>0</v>
      </c>
      <c r="H683">
        <f>IF(inventory__Data[[#This Row],[stock_on_hand]]&lt;=0,1,0)</f>
        <v>0</v>
      </c>
      <c r="I683">
        <f>COUNTIFS(inventory__Data[product_id],inventory__Data[[#This Row],[product_id]],inventory__Data[stock_on_hand],"&lt;=0")</f>
        <v>23</v>
      </c>
    </row>
    <row r="684" spans="1:9" x14ac:dyDescent="0.3">
      <c r="A684" s="1">
        <v>45794</v>
      </c>
      <c r="B684" t="s">
        <v>15</v>
      </c>
      <c r="C684">
        <v>658</v>
      </c>
      <c r="D684">
        <v>0.04</v>
      </c>
      <c r="E684">
        <v>0</v>
      </c>
      <c r="F684">
        <v>2</v>
      </c>
      <c r="G684" t="b">
        <v>0</v>
      </c>
      <c r="H684">
        <f>IF(inventory__Data[[#This Row],[stock_on_hand]]&lt;=0,1,0)</f>
        <v>0</v>
      </c>
      <c r="I684">
        <f>COUNTIFS(inventory__Data[product_id],inventory__Data[[#This Row],[product_id]],inventory__Data[stock_on_hand],"&lt;=0")</f>
        <v>30</v>
      </c>
    </row>
    <row r="685" spans="1:9" x14ac:dyDescent="0.3">
      <c r="A685" s="1">
        <v>45794</v>
      </c>
      <c r="B685" t="s">
        <v>18</v>
      </c>
      <c r="C685">
        <v>0</v>
      </c>
      <c r="D685">
        <v>0.15</v>
      </c>
      <c r="E685">
        <v>0</v>
      </c>
      <c r="F685">
        <v>5</v>
      </c>
      <c r="G685" t="b">
        <v>0</v>
      </c>
      <c r="H685">
        <f>IF(inventory__Data[[#This Row],[stock_on_hand]]&lt;=0,1,0)</f>
        <v>1</v>
      </c>
      <c r="I685">
        <f>COUNTIFS(inventory__Data[product_id],inventory__Data[[#This Row],[product_id]],inventory__Data[stock_on_hand],"&lt;=0")</f>
        <v>30</v>
      </c>
    </row>
    <row r="686" spans="1:9" x14ac:dyDescent="0.3">
      <c r="A686" s="1">
        <v>45794</v>
      </c>
      <c r="B686" t="s">
        <v>21</v>
      </c>
      <c r="C686">
        <v>11</v>
      </c>
      <c r="D686">
        <v>0.03</v>
      </c>
      <c r="E686">
        <v>0</v>
      </c>
      <c r="F686">
        <v>5</v>
      </c>
      <c r="G686" t="b">
        <v>0</v>
      </c>
      <c r="H686">
        <f>IF(inventory__Data[[#This Row],[stock_on_hand]]&lt;=0,1,0)</f>
        <v>0</v>
      </c>
      <c r="I686">
        <f>COUNTIFS(inventory__Data[product_id],inventory__Data[[#This Row],[product_id]],inventory__Data[stock_on_hand],"&lt;=0")</f>
        <v>29</v>
      </c>
    </row>
    <row r="687" spans="1:9" x14ac:dyDescent="0.3">
      <c r="A687" s="1">
        <v>45795</v>
      </c>
      <c r="B687" t="s">
        <v>9</v>
      </c>
      <c r="C687">
        <v>25</v>
      </c>
      <c r="D687">
        <v>0.05</v>
      </c>
      <c r="E687">
        <v>0</v>
      </c>
      <c r="F687">
        <v>5</v>
      </c>
      <c r="G687" t="b">
        <v>0</v>
      </c>
      <c r="H687">
        <f>IF(inventory__Data[[#This Row],[stock_on_hand]]&lt;=0,1,0)</f>
        <v>0</v>
      </c>
      <c r="I687">
        <f>COUNTIFS(inventory__Data[product_id],inventory__Data[[#This Row],[product_id]],inventory__Data[stock_on_hand],"&lt;=0")</f>
        <v>25</v>
      </c>
    </row>
    <row r="688" spans="1:9" x14ac:dyDescent="0.3">
      <c r="A688" s="1">
        <v>45795</v>
      </c>
      <c r="B688" t="s">
        <v>12</v>
      </c>
      <c r="C688">
        <v>0</v>
      </c>
      <c r="D688">
        <v>0.02</v>
      </c>
      <c r="E688">
        <v>0</v>
      </c>
      <c r="F688">
        <v>5</v>
      </c>
      <c r="G688" t="b">
        <v>0</v>
      </c>
      <c r="H688">
        <f>IF(inventory__Data[[#This Row],[stock_on_hand]]&lt;=0,1,0)</f>
        <v>1</v>
      </c>
      <c r="I688">
        <f>COUNTIFS(inventory__Data[product_id],inventory__Data[[#This Row],[product_id]],inventory__Data[stock_on_hand],"&lt;=0")</f>
        <v>23</v>
      </c>
    </row>
    <row r="689" spans="1:9" x14ac:dyDescent="0.3">
      <c r="A689" s="1">
        <v>45795</v>
      </c>
      <c r="B689" t="s">
        <v>15</v>
      </c>
      <c r="C689">
        <v>208</v>
      </c>
      <c r="D689">
        <v>0.04</v>
      </c>
      <c r="E689">
        <v>0</v>
      </c>
      <c r="F689">
        <v>2</v>
      </c>
      <c r="G689" t="b">
        <v>0</v>
      </c>
      <c r="H689">
        <f>IF(inventory__Data[[#This Row],[stock_on_hand]]&lt;=0,1,0)</f>
        <v>0</v>
      </c>
      <c r="I689">
        <f>COUNTIFS(inventory__Data[product_id],inventory__Data[[#This Row],[product_id]],inventory__Data[stock_on_hand],"&lt;=0")</f>
        <v>30</v>
      </c>
    </row>
    <row r="690" spans="1:9" x14ac:dyDescent="0.3">
      <c r="A690" s="1">
        <v>45795</v>
      </c>
      <c r="B690" t="s">
        <v>18</v>
      </c>
      <c r="C690">
        <v>373</v>
      </c>
      <c r="D690">
        <v>0.15</v>
      </c>
      <c r="E690">
        <v>0</v>
      </c>
      <c r="F690">
        <v>2</v>
      </c>
      <c r="G690" t="b">
        <v>0</v>
      </c>
      <c r="H690">
        <f>IF(inventory__Data[[#This Row],[stock_on_hand]]&lt;=0,1,0)</f>
        <v>0</v>
      </c>
      <c r="I690">
        <f>COUNTIFS(inventory__Data[product_id],inventory__Data[[#This Row],[product_id]],inventory__Data[stock_on_hand],"&lt;=0")</f>
        <v>30</v>
      </c>
    </row>
    <row r="691" spans="1:9" x14ac:dyDescent="0.3">
      <c r="A691" s="1">
        <v>45795</v>
      </c>
      <c r="B691" t="s">
        <v>21</v>
      </c>
      <c r="C691">
        <v>324</v>
      </c>
      <c r="D691">
        <v>0.03</v>
      </c>
      <c r="E691">
        <v>0</v>
      </c>
      <c r="F691">
        <v>2</v>
      </c>
      <c r="G691" t="b">
        <v>0</v>
      </c>
      <c r="H691">
        <f>IF(inventory__Data[[#This Row],[stock_on_hand]]&lt;=0,1,0)</f>
        <v>0</v>
      </c>
      <c r="I691">
        <f>COUNTIFS(inventory__Data[product_id],inventory__Data[[#This Row],[product_id]],inventory__Data[stock_on_hand],"&lt;=0")</f>
        <v>29</v>
      </c>
    </row>
    <row r="692" spans="1:9" x14ac:dyDescent="0.3">
      <c r="A692" s="1">
        <v>45796</v>
      </c>
      <c r="B692" t="s">
        <v>9</v>
      </c>
      <c r="C692">
        <v>771</v>
      </c>
      <c r="D692">
        <v>0.05</v>
      </c>
      <c r="E692">
        <v>0</v>
      </c>
      <c r="F692">
        <v>2</v>
      </c>
      <c r="G692" t="b">
        <v>0</v>
      </c>
      <c r="H692">
        <f>IF(inventory__Data[[#This Row],[stock_on_hand]]&lt;=0,1,0)</f>
        <v>0</v>
      </c>
      <c r="I692">
        <f>COUNTIFS(inventory__Data[product_id],inventory__Data[[#This Row],[product_id]],inventory__Data[stock_on_hand],"&lt;=0")</f>
        <v>25</v>
      </c>
    </row>
    <row r="693" spans="1:9" x14ac:dyDescent="0.3">
      <c r="A693" s="1">
        <v>45796</v>
      </c>
      <c r="B693" t="s">
        <v>12</v>
      </c>
      <c r="C693">
        <v>872</v>
      </c>
      <c r="D693">
        <v>0.02</v>
      </c>
      <c r="E693">
        <v>0</v>
      </c>
      <c r="F693">
        <v>2</v>
      </c>
      <c r="G693" t="b">
        <v>0</v>
      </c>
      <c r="H693">
        <f>IF(inventory__Data[[#This Row],[stock_on_hand]]&lt;=0,1,0)</f>
        <v>0</v>
      </c>
      <c r="I693">
        <f>COUNTIFS(inventory__Data[product_id],inventory__Data[[#This Row],[product_id]],inventory__Data[stock_on_hand],"&lt;=0")</f>
        <v>23</v>
      </c>
    </row>
    <row r="694" spans="1:9" x14ac:dyDescent="0.3">
      <c r="A694" s="1">
        <v>45796</v>
      </c>
      <c r="B694" t="s">
        <v>15</v>
      </c>
      <c r="C694">
        <v>387</v>
      </c>
      <c r="D694">
        <v>0.04</v>
      </c>
      <c r="E694">
        <v>0</v>
      </c>
      <c r="F694">
        <v>2</v>
      </c>
      <c r="G694" t="b">
        <v>0</v>
      </c>
      <c r="H694">
        <f>IF(inventory__Data[[#This Row],[stock_on_hand]]&lt;=0,1,0)</f>
        <v>0</v>
      </c>
      <c r="I694">
        <f>COUNTIFS(inventory__Data[product_id],inventory__Data[[#This Row],[product_id]],inventory__Data[stock_on_hand],"&lt;=0")</f>
        <v>30</v>
      </c>
    </row>
    <row r="695" spans="1:9" x14ac:dyDescent="0.3">
      <c r="A695" s="1">
        <v>45796</v>
      </c>
      <c r="B695" t="s">
        <v>18</v>
      </c>
      <c r="C695">
        <v>5</v>
      </c>
      <c r="D695">
        <v>0.15</v>
      </c>
      <c r="E695">
        <v>0</v>
      </c>
      <c r="F695">
        <v>2</v>
      </c>
      <c r="G695" t="b">
        <v>0</v>
      </c>
      <c r="H695">
        <f>IF(inventory__Data[[#This Row],[stock_on_hand]]&lt;=0,1,0)</f>
        <v>0</v>
      </c>
      <c r="I695">
        <f>COUNTIFS(inventory__Data[product_id],inventory__Data[[#This Row],[product_id]],inventory__Data[stock_on_hand],"&lt;=0")</f>
        <v>30</v>
      </c>
    </row>
    <row r="696" spans="1:9" x14ac:dyDescent="0.3">
      <c r="A696" s="1">
        <v>45796</v>
      </c>
      <c r="B696" t="s">
        <v>21</v>
      </c>
      <c r="C696">
        <v>776</v>
      </c>
      <c r="D696">
        <v>0.03</v>
      </c>
      <c r="E696">
        <v>0</v>
      </c>
      <c r="F696">
        <v>10</v>
      </c>
      <c r="G696" t="b">
        <v>0</v>
      </c>
      <c r="H696">
        <f>IF(inventory__Data[[#This Row],[stock_on_hand]]&lt;=0,1,0)</f>
        <v>0</v>
      </c>
      <c r="I696">
        <f>COUNTIFS(inventory__Data[product_id],inventory__Data[[#This Row],[product_id]],inventory__Data[stock_on_hand],"&lt;=0")</f>
        <v>29</v>
      </c>
    </row>
    <row r="697" spans="1:9" x14ac:dyDescent="0.3">
      <c r="A697" s="1">
        <v>45797</v>
      </c>
      <c r="B697" t="s">
        <v>9</v>
      </c>
      <c r="C697">
        <v>591</v>
      </c>
      <c r="D697">
        <v>0.05</v>
      </c>
      <c r="E697">
        <v>0</v>
      </c>
      <c r="F697">
        <v>5</v>
      </c>
      <c r="G697" t="b">
        <v>0</v>
      </c>
      <c r="H697">
        <f>IF(inventory__Data[[#This Row],[stock_on_hand]]&lt;=0,1,0)</f>
        <v>0</v>
      </c>
      <c r="I697">
        <f>COUNTIFS(inventory__Data[product_id],inventory__Data[[#This Row],[product_id]],inventory__Data[stock_on_hand],"&lt;=0")</f>
        <v>25</v>
      </c>
    </row>
    <row r="698" spans="1:9" x14ac:dyDescent="0.3">
      <c r="A698" s="1">
        <v>45797</v>
      </c>
      <c r="B698" t="s">
        <v>12</v>
      </c>
      <c r="C698">
        <v>876</v>
      </c>
      <c r="D698">
        <v>0.02</v>
      </c>
      <c r="E698">
        <v>0</v>
      </c>
      <c r="F698">
        <v>5</v>
      </c>
      <c r="G698" t="b">
        <v>0</v>
      </c>
      <c r="H698">
        <f>IF(inventory__Data[[#This Row],[stock_on_hand]]&lt;=0,1,0)</f>
        <v>0</v>
      </c>
      <c r="I698">
        <f>COUNTIFS(inventory__Data[product_id],inventory__Data[[#This Row],[product_id]],inventory__Data[stock_on_hand],"&lt;=0")</f>
        <v>23</v>
      </c>
    </row>
    <row r="699" spans="1:9" x14ac:dyDescent="0.3">
      <c r="A699" s="1">
        <v>45797</v>
      </c>
      <c r="B699" t="s">
        <v>15</v>
      </c>
      <c r="C699">
        <v>42</v>
      </c>
      <c r="D699">
        <v>0.04</v>
      </c>
      <c r="E699">
        <v>0</v>
      </c>
      <c r="F699">
        <v>2</v>
      </c>
      <c r="G699" t="b">
        <v>0</v>
      </c>
      <c r="H699">
        <f>IF(inventory__Data[[#This Row],[stock_on_hand]]&lt;=0,1,0)</f>
        <v>0</v>
      </c>
      <c r="I699">
        <f>COUNTIFS(inventory__Data[product_id],inventory__Data[[#This Row],[product_id]],inventory__Data[stock_on_hand],"&lt;=0")</f>
        <v>30</v>
      </c>
    </row>
    <row r="700" spans="1:9" x14ac:dyDescent="0.3">
      <c r="A700" s="1">
        <v>45797</v>
      </c>
      <c r="B700" t="s">
        <v>18</v>
      </c>
      <c r="C700">
        <v>674</v>
      </c>
      <c r="D700">
        <v>0.15</v>
      </c>
      <c r="E700">
        <v>0</v>
      </c>
      <c r="F700">
        <v>5</v>
      </c>
      <c r="G700" t="b">
        <v>0</v>
      </c>
      <c r="H700">
        <f>IF(inventory__Data[[#This Row],[stock_on_hand]]&lt;=0,1,0)</f>
        <v>0</v>
      </c>
      <c r="I700">
        <f>COUNTIFS(inventory__Data[product_id],inventory__Data[[#This Row],[product_id]],inventory__Data[stock_on_hand],"&lt;=0")</f>
        <v>30</v>
      </c>
    </row>
    <row r="701" spans="1:9" x14ac:dyDescent="0.3">
      <c r="A701" s="1">
        <v>45797</v>
      </c>
      <c r="B701" t="s">
        <v>21</v>
      </c>
      <c r="C701">
        <v>189</v>
      </c>
      <c r="D701">
        <v>0.03</v>
      </c>
      <c r="E701">
        <v>0</v>
      </c>
      <c r="F701">
        <v>5</v>
      </c>
      <c r="G701" t="b">
        <v>0</v>
      </c>
      <c r="H701">
        <f>IF(inventory__Data[[#This Row],[stock_on_hand]]&lt;=0,1,0)</f>
        <v>0</v>
      </c>
      <c r="I701">
        <f>COUNTIFS(inventory__Data[product_id],inventory__Data[[#This Row],[product_id]],inventory__Data[stock_on_hand],"&lt;=0")</f>
        <v>29</v>
      </c>
    </row>
    <row r="702" spans="1:9" x14ac:dyDescent="0.3">
      <c r="A702" s="1">
        <v>45798</v>
      </c>
      <c r="B702" t="s">
        <v>9</v>
      </c>
      <c r="C702">
        <v>721</v>
      </c>
      <c r="D702">
        <v>0.05</v>
      </c>
      <c r="E702">
        <v>0</v>
      </c>
      <c r="F702">
        <v>2</v>
      </c>
      <c r="G702" t="b">
        <v>0</v>
      </c>
      <c r="H702">
        <f>IF(inventory__Data[[#This Row],[stock_on_hand]]&lt;=0,1,0)</f>
        <v>0</v>
      </c>
      <c r="I702">
        <f>COUNTIFS(inventory__Data[product_id],inventory__Data[[#This Row],[product_id]],inventory__Data[stock_on_hand],"&lt;=0")</f>
        <v>25</v>
      </c>
    </row>
    <row r="703" spans="1:9" x14ac:dyDescent="0.3">
      <c r="A703" s="1">
        <v>45798</v>
      </c>
      <c r="B703" t="s">
        <v>12</v>
      </c>
      <c r="C703">
        <v>803</v>
      </c>
      <c r="D703">
        <v>0.02</v>
      </c>
      <c r="E703">
        <v>0</v>
      </c>
      <c r="F703">
        <v>2</v>
      </c>
      <c r="G703" t="b">
        <v>0</v>
      </c>
      <c r="H703">
        <f>IF(inventory__Data[[#This Row],[stock_on_hand]]&lt;=0,1,0)</f>
        <v>0</v>
      </c>
      <c r="I703">
        <f>COUNTIFS(inventory__Data[product_id],inventory__Data[[#This Row],[product_id]],inventory__Data[stock_on_hand],"&lt;=0")</f>
        <v>23</v>
      </c>
    </row>
    <row r="704" spans="1:9" x14ac:dyDescent="0.3">
      <c r="A704" s="1">
        <v>45798</v>
      </c>
      <c r="B704" t="s">
        <v>15</v>
      </c>
      <c r="C704">
        <v>268</v>
      </c>
      <c r="D704">
        <v>0.04</v>
      </c>
      <c r="E704">
        <v>0</v>
      </c>
      <c r="F704">
        <v>2</v>
      </c>
      <c r="G704" t="b">
        <v>0</v>
      </c>
      <c r="H704">
        <f>IF(inventory__Data[[#This Row],[stock_on_hand]]&lt;=0,1,0)</f>
        <v>0</v>
      </c>
      <c r="I704">
        <f>COUNTIFS(inventory__Data[product_id],inventory__Data[[#This Row],[product_id]],inventory__Data[stock_on_hand],"&lt;=0")</f>
        <v>30</v>
      </c>
    </row>
    <row r="705" spans="1:9" x14ac:dyDescent="0.3">
      <c r="A705" s="1">
        <v>45798</v>
      </c>
      <c r="B705" t="s">
        <v>18</v>
      </c>
      <c r="C705">
        <v>167</v>
      </c>
      <c r="D705">
        <v>0.15</v>
      </c>
      <c r="E705">
        <v>0</v>
      </c>
      <c r="F705">
        <v>2</v>
      </c>
      <c r="G705" t="b">
        <v>0</v>
      </c>
      <c r="H705">
        <f>IF(inventory__Data[[#This Row],[stock_on_hand]]&lt;=0,1,0)</f>
        <v>0</v>
      </c>
      <c r="I705">
        <f>COUNTIFS(inventory__Data[product_id],inventory__Data[[#This Row],[product_id]],inventory__Data[stock_on_hand],"&lt;=0")</f>
        <v>30</v>
      </c>
    </row>
    <row r="706" spans="1:9" x14ac:dyDescent="0.3">
      <c r="A706" s="1">
        <v>45798</v>
      </c>
      <c r="B706" t="s">
        <v>21</v>
      </c>
      <c r="C706">
        <v>400</v>
      </c>
      <c r="D706">
        <v>0.03</v>
      </c>
      <c r="E706">
        <v>0</v>
      </c>
      <c r="F706">
        <v>5</v>
      </c>
      <c r="G706" t="b">
        <v>0</v>
      </c>
      <c r="H706">
        <f>IF(inventory__Data[[#This Row],[stock_on_hand]]&lt;=0,1,0)</f>
        <v>0</v>
      </c>
      <c r="I706">
        <f>COUNTIFS(inventory__Data[product_id],inventory__Data[[#This Row],[product_id]],inventory__Data[stock_on_hand],"&lt;=0")</f>
        <v>29</v>
      </c>
    </row>
    <row r="707" spans="1:9" x14ac:dyDescent="0.3">
      <c r="A707" s="1">
        <v>45799</v>
      </c>
      <c r="B707" t="s">
        <v>9</v>
      </c>
      <c r="C707">
        <v>683</v>
      </c>
      <c r="D707">
        <v>0.05</v>
      </c>
      <c r="E707">
        <v>0</v>
      </c>
      <c r="F707">
        <v>2</v>
      </c>
      <c r="G707" t="b">
        <v>0</v>
      </c>
      <c r="H707">
        <f>IF(inventory__Data[[#This Row],[stock_on_hand]]&lt;=0,1,0)</f>
        <v>0</v>
      </c>
      <c r="I707">
        <f>COUNTIFS(inventory__Data[product_id],inventory__Data[[#This Row],[product_id]],inventory__Data[stock_on_hand],"&lt;=0")</f>
        <v>25</v>
      </c>
    </row>
    <row r="708" spans="1:9" x14ac:dyDescent="0.3">
      <c r="A708" s="1">
        <v>45799</v>
      </c>
      <c r="B708" t="s">
        <v>12</v>
      </c>
      <c r="C708">
        <v>407</v>
      </c>
      <c r="D708">
        <v>0.02</v>
      </c>
      <c r="E708">
        <v>0</v>
      </c>
      <c r="F708">
        <v>2</v>
      </c>
      <c r="G708" t="b">
        <v>0</v>
      </c>
      <c r="H708">
        <f>IF(inventory__Data[[#This Row],[stock_on_hand]]&lt;=0,1,0)</f>
        <v>0</v>
      </c>
      <c r="I708">
        <f>COUNTIFS(inventory__Data[product_id],inventory__Data[[#This Row],[product_id]],inventory__Data[stock_on_hand],"&lt;=0")</f>
        <v>23</v>
      </c>
    </row>
    <row r="709" spans="1:9" x14ac:dyDescent="0.3">
      <c r="A709" s="1">
        <v>45799</v>
      </c>
      <c r="B709" t="s">
        <v>15</v>
      </c>
      <c r="C709">
        <v>233</v>
      </c>
      <c r="D709">
        <v>0.04</v>
      </c>
      <c r="E709">
        <v>0</v>
      </c>
      <c r="F709">
        <v>5</v>
      </c>
      <c r="G709" t="b">
        <v>0</v>
      </c>
      <c r="H709">
        <f>IF(inventory__Data[[#This Row],[stock_on_hand]]&lt;=0,1,0)</f>
        <v>0</v>
      </c>
      <c r="I709">
        <f>COUNTIFS(inventory__Data[product_id],inventory__Data[[#This Row],[product_id]],inventory__Data[stock_on_hand],"&lt;=0")</f>
        <v>30</v>
      </c>
    </row>
    <row r="710" spans="1:9" x14ac:dyDescent="0.3">
      <c r="A710" s="1">
        <v>45799</v>
      </c>
      <c r="B710" t="s">
        <v>18</v>
      </c>
      <c r="C710">
        <v>42</v>
      </c>
      <c r="D710">
        <v>0.15</v>
      </c>
      <c r="E710">
        <v>0</v>
      </c>
      <c r="F710">
        <v>2</v>
      </c>
      <c r="G710" t="b">
        <v>0</v>
      </c>
      <c r="H710">
        <f>IF(inventory__Data[[#This Row],[stock_on_hand]]&lt;=0,1,0)</f>
        <v>0</v>
      </c>
      <c r="I710">
        <f>COUNTIFS(inventory__Data[product_id],inventory__Data[[#This Row],[product_id]],inventory__Data[stock_on_hand],"&lt;=0")</f>
        <v>30</v>
      </c>
    </row>
    <row r="711" spans="1:9" x14ac:dyDescent="0.3">
      <c r="A711" s="1">
        <v>45799</v>
      </c>
      <c r="B711" t="s">
        <v>21</v>
      </c>
      <c r="C711">
        <v>620</v>
      </c>
      <c r="D711">
        <v>0.03</v>
      </c>
      <c r="E711">
        <v>0</v>
      </c>
      <c r="F711">
        <v>2</v>
      </c>
      <c r="G711" t="b">
        <v>0</v>
      </c>
      <c r="H711">
        <f>IF(inventory__Data[[#This Row],[stock_on_hand]]&lt;=0,1,0)</f>
        <v>0</v>
      </c>
      <c r="I711">
        <f>COUNTIFS(inventory__Data[product_id],inventory__Data[[#This Row],[product_id]],inventory__Data[stock_on_hand],"&lt;=0")</f>
        <v>29</v>
      </c>
    </row>
    <row r="712" spans="1:9" x14ac:dyDescent="0.3">
      <c r="A712" s="1">
        <v>45800</v>
      </c>
      <c r="B712" t="s">
        <v>9</v>
      </c>
      <c r="C712">
        <v>205</v>
      </c>
      <c r="D712">
        <v>0.05</v>
      </c>
      <c r="E712">
        <v>0</v>
      </c>
      <c r="F712">
        <v>2</v>
      </c>
      <c r="G712" t="b">
        <v>0</v>
      </c>
      <c r="H712">
        <f>IF(inventory__Data[[#This Row],[stock_on_hand]]&lt;=0,1,0)</f>
        <v>0</v>
      </c>
      <c r="I712">
        <f>COUNTIFS(inventory__Data[product_id],inventory__Data[[#This Row],[product_id]],inventory__Data[stock_on_hand],"&lt;=0")</f>
        <v>25</v>
      </c>
    </row>
    <row r="713" spans="1:9" x14ac:dyDescent="0.3">
      <c r="A713" s="1">
        <v>45800</v>
      </c>
      <c r="B713" t="s">
        <v>12</v>
      </c>
      <c r="C713">
        <v>211</v>
      </c>
      <c r="D713">
        <v>0.02</v>
      </c>
      <c r="E713">
        <v>0</v>
      </c>
      <c r="F713">
        <v>2</v>
      </c>
      <c r="G713" t="b">
        <v>0</v>
      </c>
      <c r="H713">
        <f>IF(inventory__Data[[#This Row],[stock_on_hand]]&lt;=0,1,0)</f>
        <v>0</v>
      </c>
      <c r="I713">
        <f>COUNTIFS(inventory__Data[product_id],inventory__Data[[#This Row],[product_id]],inventory__Data[stock_on_hand],"&lt;=0")</f>
        <v>23</v>
      </c>
    </row>
    <row r="714" spans="1:9" x14ac:dyDescent="0.3">
      <c r="A714" s="1">
        <v>45800</v>
      </c>
      <c r="B714" t="s">
        <v>15</v>
      </c>
      <c r="C714">
        <v>803</v>
      </c>
      <c r="D714">
        <v>0.04</v>
      </c>
      <c r="E714">
        <v>0</v>
      </c>
      <c r="F714">
        <v>15</v>
      </c>
      <c r="G714" t="b">
        <v>0</v>
      </c>
      <c r="H714">
        <f>IF(inventory__Data[[#This Row],[stock_on_hand]]&lt;=0,1,0)</f>
        <v>0</v>
      </c>
      <c r="I714">
        <f>COUNTIFS(inventory__Data[product_id],inventory__Data[[#This Row],[product_id]],inventory__Data[stock_on_hand],"&lt;=0")</f>
        <v>30</v>
      </c>
    </row>
    <row r="715" spans="1:9" x14ac:dyDescent="0.3">
      <c r="A715" s="1">
        <v>45800</v>
      </c>
      <c r="B715" t="s">
        <v>18</v>
      </c>
      <c r="C715">
        <v>17</v>
      </c>
      <c r="D715">
        <v>0.15</v>
      </c>
      <c r="E715">
        <v>0</v>
      </c>
      <c r="F715">
        <v>5</v>
      </c>
      <c r="G715" t="b">
        <v>0</v>
      </c>
      <c r="H715">
        <f>IF(inventory__Data[[#This Row],[stock_on_hand]]&lt;=0,1,0)</f>
        <v>0</v>
      </c>
      <c r="I715">
        <f>COUNTIFS(inventory__Data[product_id],inventory__Data[[#This Row],[product_id]],inventory__Data[stock_on_hand],"&lt;=0")</f>
        <v>30</v>
      </c>
    </row>
    <row r="716" spans="1:9" x14ac:dyDescent="0.3">
      <c r="A716" s="1">
        <v>45800</v>
      </c>
      <c r="B716" t="s">
        <v>21</v>
      </c>
      <c r="C716">
        <v>14</v>
      </c>
      <c r="D716">
        <v>0.03</v>
      </c>
      <c r="E716">
        <v>0</v>
      </c>
      <c r="F716">
        <v>10</v>
      </c>
      <c r="G716" t="b">
        <v>0</v>
      </c>
      <c r="H716">
        <f>IF(inventory__Data[[#This Row],[stock_on_hand]]&lt;=0,1,0)</f>
        <v>0</v>
      </c>
      <c r="I716">
        <f>COUNTIFS(inventory__Data[product_id],inventory__Data[[#This Row],[product_id]],inventory__Data[stock_on_hand],"&lt;=0")</f>
        <v>29</v>
      </c>
    </row>
    <row r="717" spans="1:9" x14ac:dyDescent="0.3">
      <c r="A717" s="1">
        <v>45801</v>
      </c>
      <c r="B717" t="s">
        <v>9</v>
      </c>
      <c r="C717">
        <v>18</v>
      </c>
      <c r="D717">
        <v>0.05</v>
      </c>
      <c r="E717">
        <v>0</v>
      </c>
      <c r="F717">
        <v>2</v>
      </c>
      <c r="G717" t="b">
        <v>0</v>
      </c>
      <c r="H717">
        <f>IF(inventory__Data[[#This Row],[stock_on_hand]]&lt;=0,1,0)</f>
        <v>0</v>
      </c>
      <c r="I717">
        <f>COUNTIFS(inventory__Data[product_id],inventory__Data[[#This Row],[product_id]],inventory__Data[stock_on_hand],"&lt;=0")</f>
        <v>25</v>
      </c>
    </row>
    <row r="718" spans="1:9" x14ac:dyDescent="0.3">
      <c r="A718" s="1">
        <v>45801</v>
      </c>
      <c r="B718" t="s">
        <v>12</v>
      </c>
      <c r="C718">
        <v>694</v>
      </c>
      <c r="D718">
        <v>0.02</v>
      </c>
      <c r="E718">
        <v>0</v>
      </c>
      <c r="F718">
        <v>5</v>
      </c>
      <c r="G718" t="b">
        <v>0</v>
      </c>
      <c r="H718">
        <f>IF(inventory__Data[[#This Row],[stock_on_hand]]&lt;=0,1,0)</f>
        <v>0</v>
      </c>
      <c r="I718">
        <f>COUNTIFS(inventory__Data[product_id],inventory__Data[[#This Row],[product_id]],inventory__Data[stock_on_hand],"&lt;=0")</f>
        <v>23</v>
      </c>
    </row>
    <row r="719" spans="1:9" x14ac:dyDescent="0.3">
      <c r="A719" s="1">
        <v>45801</v>
      </c>
      <c r="B719" t="s">
        <v>15</v>
      </c>
      <c r="C719">
        <v>651</v>
      </c>
      <c r="D719">
        <v>0.04</v>
      </c>
      <c r="E719">
        <v>0</v>
      </c>
      <c r="F719">
        <v>5</v>
      </c>
      <c r="G719" t="b">
        <v>0</v>
      </c>
      <c r="H719">
        <f>IF(inventory__Data[[#This Row],[stock_on_hand]]&lt;=0,1,0)</f>
        <v>0</v>
      </c>
      <c r="I719">
        <f>COUNTIFS(inventory__Data[product_id],inventory__Data[[#This Row],[product_id]],inventory__Data[stock_on_hand],"&lt;=0")</f>
        <v>30</v>
      </c>
    </row>
    <row r="720" spans="1:9" x14ac:dyDescent="0.3">
      <c r="A720" s="1">
        <v>45801</v>
      </c>
      <c r="B720" t="s">
        <v>18</v>
      </c>
      <c r="C720">
        <v>378</v>
      </c>
      <c r="D720">
        <v>0.15</v>
      </c>
      <c r="E720">
        <v>0</v>
      </c>
      <c r="F720">
        <v>5</v>
      </c>
      <c r="G720" t="b">
        <v>0</v>
      </c>
      <c r="H720">
        <f>IF(inventory__Data[[#This Row],[stock_on_hand]]&lt;=0,1,0)</f>
        <v>0</v>
      </c>
      <c r="I720">
        <f>COUNTIFS(inventory__Data[product_id],inventory__Data[[#This Row],[product_id]],inventory__Data[stock_on_hand],"&lt;=0")</f>
        <v>30</v>
      </c>
    </row>
    <row r="721" spans="1:9" x14ac:dyDescent="0.3">
      <c r="A721" s="1">
        <v>45801</v>
      </c>
      <c r="B721" t="s">
        <v>21</v>
      </c>
      <c r="C721">
        <v>172</v>
      </c>
      <c r="D721">
        <v>0.03</v>
      </c>
      <c r="E721">
        <v>0</v>
      </c>
      <c r="F721">
        <v>2</v>
      </c>
      <c r="G721" t="b">
        <v>0</v>
      </c>
      <c r="H721">
        <f>IF(inventory__Data[[#This Row],[stock_on_hand]]&lt;=0,1,0)</f>
        <v>0</v>
      </c>
      <c r="I721">
        <f>COUNTIFS(inventory__Data[product_id],inventory__Data[[#This Row],[product_id]],inventory__Data[stock_on_hand],"&lt;=0")</f>
        <v>29</v>
      </c>
    </row>
    <row r="722" spans="1:9" x14ac:dyDescent="0.3">
      <c r="A722" s="1">
        <v>45802</v>
      </c>
      <c r="B722" t="s">
        <v>9</v>
      </c>
      <c r="C722">
        <v>449</v>
      </c>
      <c r="D722">
        <v>0.05</v>
      </c>
      <c r="E722">
        <v>0</v>
      </c>
      <c r="F722">
        <v>2</v>
      </c>
      <c r="G722" t="b">
        <v>0</v>
      </c>
      <c r="H722">
        <f>IF(inventory__Data[[#This Row],[stock_on_hand]]&lt;=0,1,0)</f>
        <v>0</v>
      </c>
      <c r="I722">
        <f>COUNTIFS(inventory__Data[product_id],inventory__Data[[#This Row],[product_id]],inventory__Data[stock_on_hand],"&lt;=0")</f>
        <v>25</v>
      </c>
    </row>
    <row r="723" spans="1:9" x14ac:dyDescent="0.3">
      <c r="A723" s="1">
        <v>45802</v>
      </c>
      <c r="B723" t="s">
        <v>12</v>
      </c>
      <c r="C723">
        <v>356</v>
      </c>
      <c r="D723">
        <v>0.02</v>
      </c>
      <c r="E723">
        <v>0</v>
      </c>
      <c r="F723">
        <v>5</v>
      </c>
      <c r="G723" t="b">
        <v>0</v>
      </c>
      <c r="H723">
        <f>IF(inventory__Data[[#This Row],[stock_on_hand]]&lt;=0,1,0)</f>
        <v>0</v>
      </c>
      <c r="I723">
        <f>COUNTIFS(inventory__Data[product_id],inventory__Data[[#This Row],[product_id]],inventory__Data[stock_on_hand],"&lt;=0")</f>
        <v>23</v>
      </c>
    </row>
    <row r="724" spans="1:9" x14ac:dyDescent="0.3">
      <c r="A724" s="1">
        <v>45802</v>
      </c>
      <c r="B724" t="s">
        <v>15</v>
      </c>
      <c r="C724">
        <v>0</v>
      </c>
      <c r="D724">
        <v>0.04</v>
      </c>
      <c r="E724">
        <v>0</v>
      </c>
      <c r="F724">
        <v>5</v>
      </c>
      <c r="G724" t="b">
        <v>0</v>
      </c>
      <c r="H724">
        <f>IF(inventory__Data[[#This Row],[stock_on_hand]]&lt;=0,1,0)</f>
        <v>1</v>
      </c>
      <c r="I724">
        <f>COUNTIFS(inventory__Data[product_id],inventory__Data[[#This Row],[product_id]],inventory__Data[stock_on_hand],"&lt;=0")</f>
        <v>30</v>
      </c>
    </row>
    <row r="725" spans="1:9" x14ac:dyDescent="0.3">
      <c r="A725" s="1">
        <v>45802</v>
      </c>
      <c r="B725" t="s">
        <v>18</v>
      </c>
      <c r="C725">
        <v>0</v>
      </c>
      <c r="D725">
        <v>0.15</v>
      </c>
      <c r="E725">
        <v>0</v>
      </c>
      <c r="F725">
        <v>10</v>
      </c>
      <c r="G725" t="b">
        <v>0</v>
      </c>
      <c r="H725">
        <f>IF(inventory__Data[[#This Row],[stock_on_hand]]&lt;=0,1,0)</f>
        <v>1</v>
      </c>
      <c r="I725">
        <f>COUNTIFS(inventory__Data[product_id],inventory__Data[[#This Row],[product_id]],inventory__Data[stock_on_hand],"&lt;=0")</f>
        <v>30</v>
      </c>
    </row>
    <row r="726" spans="1:9" x14ac:dyDescent="0.3">
      <c r="A726" s="1">
        <v>45802</v>
      </c>
      <c r="B726" t="s">
        <v>21</v>
      </c>
      <c r="C726">
        <v>73</v>
      </c>
      <c r="D726">
        <v>0.03</v>
      </c>
      <c r="E726">
        <v>0</v>
      </c>
      <c r="F726">
        <v>5</v>
      </c>
      <c r="G726" t="b">
        <v>0</v>
      </c>
      <c r="H726">
        <f>IF(inventory__Data[[#This Row],[stock_on_hand]]&lt;=0,1,0)</f>
        <v>0</v>
      </c>
      <c r="I726">
        <f>COUNTIFS(inventory__Data[product_id],inventory__Data[[#This Row],[product_id]],inventory__Data[stock_on_hand],"&lt;=0")</f>
        <v>29</v>
      </c>
    </row>
    <row r="727" spans="1:9" x14ac:dyDescent="0.3">
      <c r="A727" s="1">
        <v>45803</v>
      </c>
      <c r="B727" t="s">
        <v>9</v>
      </c>
      <c r="C727">
        <v>363</v>
      </c>
      <c r="D727">
        <v>0.05</v>
      </c>
      <c r="E727">
        <v>0</v>
      </c>
      <c r="F727">
        <v>2</v>
      </c>
      <c r="G727" t="b">
        <v>0</v>
      </c>
      <c r="H727">
        <f>IF(inventory__Data[[#This Row],[stock_on_hand]]&lt;=0,1,0)</f>
        <v>0</v>
      </c>
      <c r="I727">
        <f>COUNTIFS(inventory__Data[product_id],inventory__Data[[#This Row],[product_id]],inventory__Data[stock_on_hand],"&lt;=0")</f>
        <v>25</v>
      </c>
    </row>
    <row r="728" spans="1:9" x14ac:dyDescent="0.3">
      <c r="A728" s="1">
        <v>45803</v>
      </c>
      <c r="B728" t="s">
        <v>12</v>
      </c>
      <c r="C728">
        <v>683</v>
      </c>
      <c r="D728">
        <v>0.02</v>
      </c>
      <c r="E728">
        <v>0</v>
      </c>
      <c r="F728">
        <v>2</v>
      </c>
      <c r="G728" t="b">
        <v>0</v>
      </c>
      <c r="H728">
        <f>IF(inventory__Data[[#This Row],[stock_on_hand]]&lt;=0,1,0)</f>
        <v>0</v>
      </c>
      <c r="I728">
        <f>COUNTIFS(inventory__Data[product_id],inventory__Data[[#This Row],[product_id]],inventory__Data[stock_on_hand],"&lt;=0")</f>
        <v>23</v>
      </c>
    </row>
    <row r="729" spans="1:9" x14ac:dyDescent="0.3">
      <c r="A729" s="1">
        <v>45803</v>
      </c>
      <c r="B729" t="s">
        <v>15</v>
      </c>
      <c r="C729">
        <v>13</v>
      </c>
      <c r="D729">
        <v>0.04</v>
      </c>
      <c r="E729">
        <v>0</v>
      </c>
      <c r="F729">
        <v>5</v>
      </c>
      <c r="G729" t="b">
        <v>0</v>
      </c>
      <c r="H729">
        <f>IF(inventory__Data[[#This Row],[stock_on_hand]]&lt;=0,1,0)</f>
        <v>0</v>
      </c>
      <c r="I729">
        <f>COUNTIFS(inventory__Data[product_id],inventory__Data[[#This Row],[product_id]],inventory__Data[stock_on_hand],"&lt;=0")</f>
        <v>30</v>
      </c>
    </row>
    <row r="730" spans="1:9" x14ac:dyDescent="0.3">
      <c r="A730" s="1">
        <v>45803</v>
      </c>
      <c r="B730" t="s">
        <v>18</v>
      </c>
      <c r="C730">
        <v>746</v>
      </c>
      <c r="D730">
        <v>0.15</v>
      </c>
      <c r="E730">
        <v>0</v>
      </c>
      <c r="F730">
        <v>5</v>
      </c>
      <c r="G730" t="b">
        <v>0</v>
      </c>
      <c r="H730">
        <f>IF(inventory__Data[[#This Row],[stock_on_hand]]&lt;=0,1,0)</f>
        <v>0</v>
      </c>
      <c r="I730">
        <f>COUNTIFS(inventory__Data[product_id],inventory__Data[[#This Row],[product_id]],inventory__Data[stock_on_hand],"&lt;=0")</f>
        <v>30</v>
      </c>
    </row>
    <row r="731" spans="1:9" x14ac:dyDescent="0.3">
      <c r="A731" s="1">
        <v>45803</v>
      </c>
      <c r="B731" t="s">
        <v>21</v>
      </c>
      <c r="C731">
        <v>225</v>
      </c>
      <c r="D731">
        <v>0.03</v>
      </c>
      <c r="E731">
        <v>0</v>
      </c>
      <c r="F731">
        <v>2</v>
      </c>
      <c r="G731" t="b">
        <v>0</v>
      </c>
      <c r="H731">
        <f>IF(inventory__Data[[#This Row],[stock_on_hand]]&lt;=0,1,0)</f>
        <v>0</v>
      </c>
      <c r="I731">
        <f>COUNTIFS(inventory__Data[product_id],inventory__Data[[#This Row],[product_id]],inventory__Data[stock_on_hand],"&lt;=0")</f>
        <v>29</v>
      </c>
    </row>
    <row r="732" spans="1:9" x14ac:dyDescent="0.3">
      <c r="A732" s="1">
        <v>45804</v>
      </c>
      <c r="B732" t="s">
        <v>9</v>
      </c>
      <c r="C732">
        <v>402</v>
      </c>
      <c r="D732">
        <v>0.05</v>
      </c>
      <c r="E732">
        <v>0</v>
      </c>
      <c r="F732">
        <v>5</v>
      </c>
      <c r="G732" t="b">
        <v>0</v>
      </c>
      <c r="H732">
        <f>IF(inventory__Data[[#This Row],[stock_on_hand]]&lt;=0,1,0)</f>
        <v>0</v>
      </c>
      <c r="I732">
        <f>COUNTIFS(inventory__Data[product_id],inventory__Data[[#This Row],[product_id]],inventory__Data[stock_on_hand],"&lt;=0")</f>
        <v>25</v>
      </c>
    </row>
    <row r="733" spans="1:9" x14ac:dyDescent="0.3">
      <c r="A733" s="1">
        <v>45804</v>
      </c>
      <c r="B733" t="s">
        <v>12</v>
      </c>
      <c r="C733">
        <v>780</v>
      </c>
      <c r="D733">
        <v>0.02</v>
      </c>
      <c r="E733">
        <v>0</v>
      </c>
      <c r="F733">
        <v>2</v>
      </c>
      <c r="G733" t="b">
        <v>0</v>
      </c>
      <c r="H733">
        <f>IF(inventory__Data[[#This Row],[stock_on_hand]]&lt;=0,1,0)</f>
        <v>0</v>
      </c>
      <c r="I733">
        <f>COUNTIFS(inventory__Data[product_id],inventory__Data[[#This Row],[product_id]],inventory__Data[stock_on_hand],"&lt;=0")</f>
        <v>23</v>
      </c>
    </row>
    <row r="734" spans="1:9" x14ac:dyDescent="0.3">
      <c r="A734" s="1">
        <v>45804</v>
      </c>
      <c r="B734" t="s">
        <v>15</v>
      </c>
      <c r="C734">
        <v>873</v>
      </c>
      <c r="D734">
        <v>0.04</v>
      </c>
      <c r="E734">
        <v>0</v>
      </c>
      <c r="F734">
        <v>5</v>
      </c>
      <c r="G734" t="b">
        <v>0</v>
      </c>
      <c r="H734">
        <f>IF(inventory__Data[[#This Row],[stock_on_hand]]&lt;=0,1,0)</f>
        <v>0</v>
      </c>
      <c r="I734">
        <f>COUNTIFS(inventory__Data[product_id],inventory__Data[[#This Row],[product_id]],inventory__Data[stock_on_hand],"&lt;=0")</f>
        <v>30</v>
      </c>
    </row>
    <row r="735" spans="1:9" x14ac:dyDescent="0.3">
      <c r="A735" s="1">
        <v>45804</v>
      </c>
      <c r="B735" t="s">
        <v>18</v>
      </c>
      <c r="C735">
        <v>553</v>
      </c>
      <c r="D735">
        <v>0.15</v>
      </c>
      <c r="E735">
        <v>0</v>
      </c>
      <c r="F735">
        <v>5</v>
      </c>
      <c r="G735" t="b">
        <v>0</v>
      </c>
      <c r="H735">
        <f>IF(inventory__Data[[#This Row],[stock_on_hand]]&lt;=0,1,0)</f>
        <v>0</v>
      </c>
      <c r="I735">
        <f>COUNTIFS(inventory__Data[product_id],inventory__Data[[#This Row],[product_id]],inventory__Data[stock_on_hand],"&lt;=0")</f>
        <v>30</v>
      </c>
    </row>
    <row r="736" spans="1:9" x14ac:dyDescent="0.3">
      <c r="A736" s="1">
        <v>45804</v>
      </c>
      <c r="B736" t="s">
        <v>21</v>
      </c>
      <c r="C736">
        <v>524</v>
      </c>
      <c r="D736">
        <v>0.03</v>
      </c>
      <c r="E736">
        <v>0</v>
      </c>
      <c r="F736">
        <v>15</v>
      </c>
      <c r="G736" t="b">
        <v>0</v>
      </c>
      <c r="H736">
        <f>IF(inventory__Data[[#This Row],[stock_on_hand]]&lt;=0,1,0)</f>
        <v>0</v>
      </c>
      <c r="I736">
        <f>COUNTIFS(inventory__Data[product_id],inventory__Data[[#This Row],[product_id]],inventory__Data[stock_on_hand],"&lt;=0")</f>
        <v>29</v>
      </c>
    </row>
    <row r="737" spans="1:9" x14ac:dyDescent="0.3">
      <c r="A737" s="1">
        <v>45805</v>
      </c>
      <c r="B737" t="s">
        <v>9</v>
      </c>
      <c r="C737">
        <v>359</v>
      </c>
      <c r="D737">
        <v>0.05</v>
      </c>
      <c r="E737">
        <v>0</v>
      </c>
      <c r="F737">
        <v>5</v>
      </c>
      <c r="G737" t="b">
        <v>0</v>
      </c>
      <c r="H737">
        <f>IF(inventory__Data[[#This Row],[stock_on_hand]]&lt;=0,1,0)</f>
        <v>0</v>
      </c>
      <c r="I737">
        <f>COUNTIFS(inventory__Data[product_id],inventory__Data[[#This Row],[product_id]],inventory__Data[stock_on_hand],"&lt;=0")</f>
        <v>25</v>
      </c>
    </row>
    <row r="738" spans="1:9" x14ac:dyDescent="0.3">
      <c r="A738" s="1">
        <v>45805</v>
      </c>
      <c r="B738" t="s">
        <v>12</v>
      </c>
      <c r="C738">
        <v>259</v>
      </c>
      <c r="D738">
        <v>0.02</v>
      </c>
      <c r="E738">
        <v>0</v>
      </c>
      <c r="F738">
        <v>5</v>
      </c>
      <c r="G738" t="b">
        <v>0</v>
      </c>
      <c r="H738">
        <f>IF(inventory__Data[[#This Row],[stock_on_hand]]&lt;=0,1,0)</f>
        <v>0</v>
      </c>
      <c r="I738">
        <f>COUNTIFS(inventory__Data[product_id],inventory__Data[[#This Row],[product_id]],inventory__Data[stock_on_hand],"&lt;=0")</f>
        <v>23</v>
      </c>
    </row>
    <row r="739" spans="1:9" x14ac:dyDescent="0.3">
      <c r="A739" s="1">
        <v>45805</v>
      </c>
      <c r="B739" t="s">
        <v>15</v>
      </c>
      <c r="C739">
        <v>282</v>
      </c>
      <c r="D739">
        <v>0.04</v>
      </c>
      <c r="E739">
        <v>0</v>
      </c>
      <c r="F739">
        <v>5</v>
      </c>
      <c r="G739" t="b">
        <v>0</v>
      </c>
      <c r="H739">
        <f>IF(inventory__Data[[#This Row],[stock_on_hand]]&lt;=0,1,0)</f>
        <v>0</v>
      </c>
      <c r="I739">
        <f>COUNTIFS(inventory__Data[product_id],inventory__Data[[#This Row],[product_id]],inventory__Data[stock_on_hand],"&lt;=0")</f>
        <v>30</v>
      </c>
    </row>
    <row r="740" spans="1:9" x14ac:dyDescent="0.3">
      <c r="A740" s="1">
        <v>45805</v>
      </c>
      <c r="B740" t="s">
        <v>18</v>
      </c>
      <c r="C740">
        <v>869</v>
      </c>
      <c r="D740">
        <v>0.15</v>
      </c>
      <c r="E740">
        <v>0</v>
      </c>
      <c r="F740">
        <v>2</v>
      </c>
      <c r="G740" t="b">
        <v>0</v>
      </c>
      <c r="H740">
        <f>IF(inventory__Data[[#This Row],[stock_on_hand]]&lt;=0,1,0)</f>
        <v>0</v>
      </c>
      <c r="I740">
        <f>COUNTIFS(inventory__Data[product_id],inventory__Data[[#This Row],[product_id]],inventory__Data[stock_on_hand],"&lt;=0")</f>
        <v>30</v>
      </c>
    </row>
    <row r="741" spans="1:9" x14ac:dyDescent="0.3">
      <c r="A741" s="1">
        <v>45805</v>
      </c>
      <c r="B741" t="s">
        <v>21</v>
      </c>
      <c r="C741">
        <v>0</v>
      </c>
      <c r="D741">
        <v>0.03</v>
      </c>
      <c r="E741">
        <v>0</v>
      </c>
      <c r="F741">
        <v>5</v>
      </c>
      <c r="G741" t="b">
        <v>0</v>
      </c>
      <c r="H741">
        <f>IF(inventory__Data[[#This Row],[stock_on_hand]]&lt;=0,1,0)</f>
        <v>1</v>
      </c>
      <c r="I741">
        <f>COUNTIFS(inventory__Data[product_id],inventory__Data[[#This Row],[product_id]],inventory__Data[stock_on_hand],"&lt;=0")</f>
        <v>29</v>
      </c>
    </row>
    <row r="742" spans="1:9" x14ac:dyDescent="0.3">
      <c r="A742" s="1">
        <v>45806</v>
      </c>
      <c r="B742" t="s">
        <v>9</v>
      </c>
      <c r="C742">
        <v>456</v>
      </c>
      <c r="D742">
        <v>0.05</v>
      </c>
      <c r="E742">
        <v>0</v>
      </c>
      <c r="F742">
        <v>2</v>
      </c>
      <c r="G742" t="b">
        <v>0</v>
      </c>
      <c r="H742">
        <f>IF(inventory__Data[[#This Row],[stock_on_hand]]&lt;=0,1,0)</f>
        <v>0</v>
      </c>
      <c r="I742">
        <f>COUNTIFS(inventory__Data[product_id],inventory__Data[[#This Row],[product_id]],inventory__Data[stock_on_hand],"&lt;=0")</f>
        <v>25</v>
      </c>
    </row>
    <row r="743" spans="1:9" x14ac:dyDescent="0.3">
      <c r="A743" s="1">
        <v>45806</v>
      </c>
      <c r="B743" t="s">
        <v>12</v>
      </c>
      <c r="C743">
        <v>505</v>
      </c>
      <c r="D743">
        <v>0.02</v>
      </c>
      <c r="E743">
        <v>0</v>
      </c>
      <c r="F743">
        <v>2</v>
      </c>
      <c r="G743" t="b">
        <v>0</v>
      </c>
      <c r="H743">
        <f>IF(inventory__Data[[#This Row],[stock_on_hand]]&lt;=0,1,0)</f>
        <v>0</v>
      </c>
      <c r="I743">
        <f>COUNTIFS(inventory__Data[product_id],inventory__Data[[#This Row],[product_id]],inventory__Data[stock_on_hand],"&lt;=0")</f>
        <v>23</v>
      </c>
    </row>
    <row r="744" spans="1:9" x14ac:dyDescent="0.3">
      <c r="A744" s="1">
        <v>45806</v>
      </c>
      <c r="B744" t="s">
        <v>15</v>
      </c>
      <c r="C744">
        <v>829</v>
      </c>
      <c r="D744">
        <v>0.04</v>
      </c>
      <c r="E744">
        <v>0</v>
      </c>
      <c r="F744">
        <v>2</v>
      </c>
      <c r="G744" t="b">
        <v>0</v>
      </c>
      <c r="H744">
        <f>IF(inventory__Data[[#This Row],[stock_on_hand]]&lt;=0,1,0)</f>
        <v>0</v>
      </c>
      <c r="I744">
        <f>COUNTIFS(inventory__Data[product_id],inventory__Data[[#This Row],[product_id]],inventory__Data[stock_on_hand],"&lt;=0")</f>
        <v>30</v>
      </c>
    </row>
    <row r="745" spans="1:9" x14ac:dyDescent="0.3">
      <c r="A745" s="1">
        <v>45806</v>
      </c>
      <c r="B745" t="s">
        <v>18</v>
      </c>
      <c r="C745">
        <v>64</v>
      </c>
      <c r="D745">
        <v>0.15</v>
      </c>
      <c r="E745">
        <v>0</v>
      </c>
      <c r="F745">
        <v>2</v>
      </c>
      <c r="G745" t="b">
        <v>0</v>
      </c>
      <c r="H745">
        <f>IF(inventory__Data[[#This Row],[stock_on_hand]]&lt;=0,1,0)</f>
        <v>0</v>
      </c>
      <c r="I745">
        <f>COUNTIFS(inventory__Data[product_id],inventory__Data[[#This Row],[product_id]],inventory__Data[stock_on_hand],"&lt;=0")</f>
        <v>30</v>
      </c>
    </row>
    <row r="746" spans="1:9" x14ac:dyDescent="0.3">
      <c r="A746" s="1">
        <v>45806</v>
      </c>
      <c r="B746" t="s">
        <v>21</v>
      </c>
      <c r="C746">
        <v>613</v>
      </c>
      <c r="D746">
        <v>0.03</v>
      </c>
      <c r="E746">
        <v>0</v>
      </c>
      <c r="F746">
        <v>2</v>
      </c>
      <c r="G746" t="b">
        <v>0</v>
      </c>
      <c r="H746">
        <f>IF(inventory__Data[[#This Row],[stock_on_hand]]&lt;=0,1,0)</f>
        <v>0</v>
      </c>
      <c r="I746">
        <f>COUNTIFS(inventory__Data[product_id],inventory__Data[[#This Row],[product_id]],inventory__Data[stock_on_hand],"&lt;=0")</f>
        <v>29</v>
      </c>
    </row>
    <row r="747" spans="1:9" x14ac:dyDescent="0.3">
      <c r="A747" s="1">
        <v>45807</v>
      </c>
      <c r="B747" t="s">
        <v>9</v>
      </c>
      <c r="C747">
        <v>258</v>
      </c>
      <c r="D747">
        <v>0.05</v>
      </c>
      <c r="E747">
        <v>0</v>
      </c>
      <c r="F747">
        <v>5</v>
      </c>
      <c r="G747" t="b">
        <v>0</v>
      </c>
      <c r="H747">
        <f>IF(inventory__Data[[#This Row],[stock_on_hand]]&lt;=0,1,0)</f>
        <v>0</v>
      </c>
      <c r="I747">
        <f>COUNTIFS(inventory__Data[product_id],inventory__Data[[#This Row],[product_id]],inventory__Data[stock_on_hand],"&lt;=0")</f>
        <v>25</v>
      </c>
    </row>
    <row r="748" spans="1:9" x14ac:dyDescent="0.3">
      <c r="A748" s="1">
        <v>45807</v>
      </c>
      <c r="B748" t="s">
        <v>12</v>
      </c>
      <c r="C748">
        <v>199</v>
      </c>
      <c r="D748">
        <v>0.02</v>
      </c>
      <c r="E748">
        <v>0</v>
      </c>
      <c r="F748">
        <v>5</v>
      </c>
      <c r="G748" t="b">
        <v>0</v>
      </c>
      <c r="H748">
        <f>IF(inventory__Data[[#This Row],[stock_on_hand]]&lt;=0,1,0)</f>
        <v>0</v>
      </c>
      <c r="I748">
        <f>COUNTIFS(inventory__Data[product_id],inventory__Data[[#This Row],[product_id]],inventory__Data[stock_on_hand],"&lt;=0")</f>
        <v>23</v>
      </c>
    </row>
    <row r="749" spans="1:9" x14ac:dyDescent="0.3">
      <c r="A749" s="1">
        <v>45807</v>
      </c>
      <c r="B749" t="s">
        <v>15</v>
      </c>
      <c r="C749">
        <v>204</v>
      </c>
      <c r="D749">
        <v>0.04</v>
      </c>
      <c r="E749">
        <v>0</v>
      </c>
      <c r="F749">
        <v>2</v>
      </c>
      <c r="G749" t="b">
        <v>0</v>
      </c>
      <c r="H749">
        <f>IF(inventory__Data[[#This Row],[stock_on_hand]]&lt;=0,1,0)</f>
        <v>0</v>
      </c>
      <c r="I749">
        <f>COUNTIFS(inventory__Data[product_id],inventory__Data[[#This Row],[product_id]],inventory__Data[stock_on_hand],"&lt;=0")</f>
        <v>30</v>
      </c>
    </row>
    <row r="750" spans="1:9" x14ac:dyDescent="0.3">
      <c r="A750" s="1">
        <v>45807</v>
      </c>
      <c r="B750" t="s">
        <v>18</v>
      </c>
      <c r="C750">
        <v>89</v>
      </c>
      <c r="D750">
        <v>0.15</v>
      </c>
      <c r="E750">
        <v>0</v>
      </c>
      <c r="F750">
        <v>2</v>
      </c>
      <c r="G750" t="b">
        <v>0</v>
      </c>
      <c r="H750">
        <f>IF(inventory__Data[[#This Row],[stock_on_hand]]&lt;=0,1,0)</f>
        <v>0</v>
      </c>
      <c r="I750">
        <f>COUNTIFS(inventory__Data[product_id],inventory__Data[[#This Row],[product_id]],inventory__Data[stock_on_hand],"&lt;=0")</f>
        <v>30</v>
      </c>
    </row>
    <row r="751" spans="1:9" x14ac:dyDescent="0.3">
      <c r="A751" s="1">
        <v>45807</v>
      </c>
      <c r="B751" t="s">
        <v>21</v>
      </c>
      <c r="C751">
        <v>276</v>
      </c>
      <c r="D751">
        <v>0.03</v>
      </c>
      <c r="E751">
        <v>0</v>
      </c>
      <c r="F751">
        <v>5</v>
      </c>
      <c r="G751" t="b">
        <v>0</v>
      </c>
      <c r="H751">
        <f>IF(inventory__Data[[#This Row],[stock_on_hand]]&lt;=0,1,0)</f>
        <v>0</v>
      </c>
      <c r="I751">
        <f>COUNTIFS(inventory__Data[product_id],inventory__Data[[#This Row],[product_id]],inventory__Data[stock_on_hand],"&lt;=0")</f>
        <v>29</v>
      </c>
    </row>
    <row r="752" spans="1:9" x14ac:dyDescent="0.3">
      <c r="A752" s="1">
        <v>45808</v>
      </c>
      <c r="B752" t="s">
        <v>9</v>
      </c>
      <c r="C752">
        <v>463</v>
      </c>
      <c r="D752">
        <v>0.05</v>
      </c>
      <c r="E752">
        <v>0</v>
      </c>
      <c r="F752">
        <v>2</v>
      </c>
      <c r="G752" t="b">
        <v>0</v>
      </c>
      <c r="H752">
        <f>IF(inventory__Data[[#This Row],[stock_on_hand]]&lt;=0,1,0)</f>
        <v>0</v>
      </c>
      <c r="I752">
        <f>COUNTIFS(inventory__Data[product_id],inventory__Data[[#This Row],[product_id]],inventory__Data[stock_on_hand],"&lt;=0")</f>
        <v>25</v>
      </c>
    </row>
    <row r="753" spans="1:9" x14ac:dyDescent="0.3">
      <c r="A753" s="1">
        <v>45808</v>
      </c>
      <c r="B753" t="s">
        <v>12</v>
      </c>
      <c r="C753">
        <v>62</v>
      </c>
      <c r="D753">
        <v>0.02</v>
      </c>
      <c r="E753">
        <v>0</v>
      </c>
      <c r="F753">
        <v>2</v>
      </c>
      <c r="G753" t="b">
        <v>0</v>
      </c>
      <c r="H753">
        <f>IF(inventory__Data[[#This Row],[stock_on_hand]]&lt;=0,1,0)</f>
        <v>0</v>
      </c>
      <c r="I753">
        <f>COUNTIFS(inventory__Data[product_id],inventory__Data[[#This Row],[product_id]],inventory__Data[stock_on_hand],"&lt;=0")</f>
        <v>23</v>
      </c>
    </row>
    <row r="754" spans="1:9" x14ac:dyDescent="0.3">
      <c r="A754" s="1">
        <v>45808</v>
      </c>
      <c r="B754" t="s">
        <v>15</v>
      </c>
      <c r="C754">
        <v>250</v>
      </c>
      <c r="D754">
        <v>0.04</v>
      </c>
      <c r="E754">
        <v>0</v>
      </c>
      <c r="F754">
        <v>10</v>
      </c>
      <c r="G754" t="b">
        <v>0</v>
      </c>
      <c r="H754">
        <f>IF(inventory__Data[[#This Row],[stock_on_hand]]&lt;=0,1,0)</f>
        <v>0</v>
      </c>
      <c r="I754">
        <f>COUNTIFS(inventory__Data[product_id],inventory__Data[[#This Row],[product_id]],inventory__Data[stock_on_hand],"&lt;=0")</f>
        <v>30</v>
      </c>
    </row>
    <row r="755" spans="1:9" x14ac:dyDescent="0.3">
      <c r="A755" s="1">
        <v>45808</v>
      </c>
      <c r="B755" t="s">
        <v>18</v>
      </c>
      <c r="C755">
        <v>754</v>
      </c>
      <c r="D755">
        <v>0.15</v>
      </c>
      <c r="E755">
        <v>0</v>
      </c>
      <c r="F755">
        <v>15</v>
      </c>
      <c r="G755" t="b">
        <v>0</v>
      </c>
      <c r="H755">
        <f>IF(inventory__Data[[#This Row],[stock_on_hand]]&lt;=0,1,0)</f>
        <v>0</v>
      </c>
      <c r="I755">
        <f>COUNTIFS(inventory__Data[product_id],inventory__Data[[#This Row],[product_id]],inventory__Data[stock_on_hand],"&lt;=0")</f>
        <v>30</v>
      </c>
    </row>
    <row r="756" spans="1:9" x14ac:dyDescent="0.3">
      <c r="A756" s="1">
        <v>45808</v>
      </c>
      <c r="B756" t="s">
        <v>21</v>
      </c>
      <c r="C756">
        <v>6</v>
      </c>
      <c r="D756">
        <v>0.03</v>
      </c>
      <c r="E756">
        <v>0</v>
      </c>
      <c r="F756">
        <v>2</v>
      </c>
      <c r="G756" t="b">
        <v>0</v>
      </c>
      <c r="H756">
        <f>IF(inventory__Data[[#This Row],[stock_on_hand]]&lt;=0,1,0)</f>
        <v>0</v>
      </c>
      <c r="I756">
        <f>COUNTIFS(inventory__Data[product_id],inventory__Data[[#This Row],[product_id]],inventory__Data[stock_on_hand],"&lt;=0")</f>
        <v>29</v>
      </c>
    </row>
    <row r="757" spans="1:9" x14ac:dyDescent="0.3">
      <c r="A757" s="1">
        <v>45809</v>
      </c>
      <c r="B757" t="s">
        <v>9</v>
      </c>
      <c r="C757">
        <v>840</v>
      </c>
      <c r="D757">
        <v>0.05</v>
      </c>
      <c r="E757">
        <v>0</v>
      </c>
      <c r="F757">
        <v>5</v>
      </c>
      <c r="G757" t="b">
        <v>0</v>
      </c>
      <c r="H757">
        <f>IF(inventory__Data[[#This Row],[stock_on_hand]]&lt;=0,1,0)</f>
        <v>0</v>
      </c>
      <c r="I757">
        <f>COUNTIFS(inventory__Data[product_id],inventory__Data[[#This Row],[product_id]],inventory__Data[stock_on_hand],"&lt;=0")</f>
        <v>25</v>
      </c>
    </row>
    <row r="758" spans="1:9" x14ac:dyDescent="0.3">
      <c r="A758" s="1">
        <v>45809</v>
      </c>
      <c r="B758" t="s">
        <v>12</v>
      </c>
      <c r="C758">
        <v>0</v>
      </c>
      <c r="D758">
        <v>0.02</v>
      </c>
      <c r="E758">
        <v>0</v>
      </c>
      <c r="F758">
        <v>5</v>
      </c>
      <c r="G758" t="b">
        <v>0</v>
      </c>
      <c r="H758">
        <f>IF(inventory__Data[[#This Row],[stock_on_hand]]&lt;=0,1,0)</f>
        <v>1</v>
      </c>
      <c r="I758">
        <f>COUNTIFS(inventory__Data[product_id],inventory__Data[[#This Row],[product_id]],inventory__Data[stock_on_hand],"&lt;=0")</f>
        <v>23</v>
      </c>
    </row>
    <row r="759" spans="1:9" x14ac:dyDescent="0.3">
      <c r="A759" s="1">
        <v>45809</v>
      </c>
      <c r="B759" t="s">
        <v>15</v>
      </c>
      <c r="C759">
        <v>475</v>
      </c>
      <c r="D759">
        <v>0.04</v>
      </c>
      <c r="E759">
        <v>0</v>
      </c>
      <c r="F759">
        <v>5</v>
      </c>
      <c r="G759" t="b">
        <v>0</v>
      </c>
      <c r="H759">
        <f>IF(inventory__Data[[#This Row],[stock_on_hand]]&lt;=0,1,0)</f>
        <v>0</v>
      </c>
      <c r="I759">
        <f>COUNTIFS(inventory__Data[product_id],inventory__Data[[#This Row],[product_id]],inventory__Data[stock_on_hand],"&lt;=0")</f>
        <v>30</v>
      </c>
    </row>
    <row r="760" spans="1:9" x14ac:dyDescent="0.3">
      <c r="A760" s="1">
        <v>45809</v>
      </c>
      <c r="B760" t="s">
        <v>18</v>
      </c>
      <c r="C760">
        <v>884</v>
      </c>
      <c r="D760">
        <v>0.15</v>
      </c>
      <c r="E760">
        <v>0</v>
      </c>
      <c r="F760">
        <v>5</v>
      </c>
      <c r="G760" t="b">
        <v>0</v>
      </c>
      <c r="H760">
        <f>IF(inventory__Data[[#This Row],[stock_on_hand]]&lt;=0,1,0)</f>
        <v>0</v>
      </c>
      <c r="I760">
        <f>COUNTIFS(inventory__Data[product_id],inventory__Data[[#This Row],[product_id]],inventory__Data[stock_on_hand],"&lt;=0")</f>
        <v>30</v>
      </c>
    </row>
    <row r="761" spans="1:9" x14ac:dyDescent="0.3">
      <c r="A761" s="1">
        <v>45809</v>
      </c>
      <c r="B761" t="s">
        <v>21</v>
      </c>
      <c r="C761">
        <v>0</v>
      </c>
      <c r="D761">
        <v>0.03</v>
      </c>
      <c r="E761">
        <v>0</v>
      </c>
      <c r="F761">
        <v>10</v>
      </c>
      <c r="G761" t="b">
        <v>0</v>
      </c>
      <c r="H761">
        <f>IF(inventory__Data[[#This Row],[stock_on_hand]]&lt;=0,1,0)</f>
        <v>1</v>
      </c>
      <c r="I761">
        <f>COUNTIFS(inventory__Data[product_id],inventory__Data[[#This Row],[product_id]],inventory__Data[stock_on_hand],"&lt;=0")</f>
        <v>29</v>
      </c>
    </row>
    <row r="762" spans="1:9" x14ac:dyDescent="0.3">
      <c r="A762" s="1">
        <v>45810</v>
      </c>
      <c r="B762" t="s">
        <v>9</v>
      </c>
      <c r="C762">
        <v>0</v>
      </c>
      <c r="D762">
        <v>0.05</v>
      </c>
      <c r="E762">
        <v>0</v>
      </c>
      <c r="F762">
        <v>2</v>
      </c>
      <c r="G762" t="b">
        <v>0</v>
      </c>
      <c r="H762">
        <f>IF(inventory__Data[[#This Row],[stock_on_hand]]&lt;=0,1,0)</f>
        <v>1</v>
      </c>
      <c r="I762">
        <f>COUNTIFS(inventory__Data[product_id],inventory__Data[[#This Row],[product_id]],inventory__Data[stock_on_hand],"&lt;=0")</f>
        <v>25</v>
      </c>
    </row>
    <row r="763" spans="1:9" x14ac:dyDescent="0.3">
      <c r="A763" s="1">
        <v>45810</v>
      </c>
      <c r="B763" t="s">
        <v>12</v>
      </c>
      <c r="C763">
        <v>478</v>
      </c>
      <c r="D763">
        <v>0.02</v>
      </c>
      <c r="E763">
        <v>0</v>
      </c>
      <c r="F763">
        <v>5</v>
      </c>
      <c r="G763" t="b">
        <v>0</v>
      </c>
      <c r="H763">
        <f>IF(inventory__Data[[#This Row],[stock_on_hand]]&lt;=0,1,0)</f>
        <v>0</v>
      </c>
      <c r="I763">
        <f>COUNTIFS(inventory__Data[product_id],inventory__Data[[#This Row],[product_id]],inventory__Data[stock_on_hand],"&lt;=0")</f>
        <v>23</v>
      </c>
    </row>
    <row r="764" spans="1:9" x14ac:dyDescent="0.3">
      <c r="A764" s="1">
        <v>45810</v>
      </c>
      <c r="B764" t="s">
        <v>15</v>
      </c>
      <c r="C764">
        <v>679</v>
      </c>
      <c r="D764">
        <v>0.04</v>
      </c>
      <c r="E764">
        <v>0</v>
      </c>
      <c r="F764">
        <v>15</v>
      </c>
      <c r="G764" t="b">
        <v>0</v>
      </c>
      <c r="H764">
        <f>IF(inventory__Data[[#This Row],[stock_on_hand]]&lt;=0,1,0)</f>
        <v>0</v>
      </c>
      <c r="I764">
        <f>COUNTIFS(inventory__Data[product_id],inventory__Data[[#This Row],[product_id]],inventory__Data[stock_on_hand],"&lt;=0")</f>
        <v>30</v>
      </c>
    </row>
    <row r="765" spans="1:9" x14ac:dyDescent="0.3">
      <c r="A765" s="1">
        <v>45810</v>
      </c>
      <c r="B765" t="s">
        <v>18</v>
      </c>
      <c r="C765">
        <v>182</v>
      </c>
      <c r="D765">
        <v>0.15</v>
      </c>
      <c r="E765">
        <v>0</v>
      </c>
      <c r="F765">
        <v>2</v>
      </c>
      <c r="G765" t="b">
        <v>0</v>
      </c>
      <c r="H765">
        <f>IF(inventory__Data[[#This Row],[stock_on_hand]]&lt;=0,1,0)</f>
        <v>0</v>
      </c>
      <c r="I765">
        <f>COUNTIFS(inventory__Data[product_id],inventory__Data[[#This Row],[product_id]],inventory__Data[stock_on_hand],"&lt;=0")</f>
        <v>30</v>
      </c>
    </row>
    <row r="766" spans="1:9" x14ac:dyDescent="0.3">
      <c r="A766" s="1">
        <v>45810</v>
      </c>
      <c r="B766" t="s">
        <v>21</v>
      </c>
      <c r="C766">
        <v>831</v>
      </c>
      <c r="D766">
        <v>0.03</v>
      </c>
      <c r="E766">
        <v>0</v>
      </c>
      <c r="F766">
        <v>5</v>
      </c>
      <c r="G766" t="b">
        <v>0</v>
      </c>
      <c r="H766">
        <f>IF(inventory__Data[[#This Row],[stock_on_hand]]&lt;=0,1,0)</f>
        <v>0</v>
      </c>
      <c r="I766">
        <f>COUNTIFS(inventory__Data[product_id],inventory__Data[[#This Row],[product_id]],inventory__Data[stock_on_hand],"&lt;=0")</f>
        <v>29</v>
      </c>
    </row>
    <row r="767" spans="1:9" x14ac:dyDescent="0.3">
      <c r="A767" s="1">
        <v>45811</v>
      </c>
      <c r="B767" t="s">
        <v>9</v>
      </c>
      <c r="C767">
        <v>598</v>
      </c>
      <c r="D767">
        <v>0.05</v>
      </c>
      <c r="E767">
        <v>0</v>
      </c>
      <c r="F767">
        <v>2</v>
      </c>
      <c r="G767" t="b">
        <v>0</v>
      </c>
      <c r="H767">
        <f>IF(inventory__Data[[#This Row],[stock_on_hand]]&lt;=0,1,0)</f>
        <v>0</v>
      </c>
      <c r="I767">
        <f>COUNTIFS(inventory__Data[product_id],inventory__Data[[#This Row],[product_id]],inventory__Data[stock_on_hand],"&lt;=0")</f>
        <v>25</v>
      </c>
    </row>
    <row r="768" spans="1:9" x14ac:dyDescent="0.3">
      <c r="A768" s="1">
        <v>45811</v>
      </c>
      <c r="B768" t="s">
        <v>12</v>
      </c>
      <c r="C768">
        <v>649</v>
      </c>
      <c r="D768">
        <v>0.02</v>
      </c>
      <c r="E768">
        <v>0</v>
      </c>
      <c r="F768">
        <v>2</v>
      </c>
      <c r="G768" t="b">
        <v>0</v>
      </c>
      <c r="H768">
        <f>IF(inventory__Data[[#This Row],[stock_on_hand]]&lt;=0,1,0)</f>
        <v>0</v>
      </c>
      <c r="I768">
        <f>COUNTIFS(inventory__Data[product_id],inventory__Data[[#This Row],[product_id]],inventory__Data[stock_on_hand],"&lt;=0")</f>
        <v>23</v>
      </c>
    </row>
    <row r="769" spans="1:9" x14ac:dyDescent="0.3">
      <c r="A769" s="1">
        <v>45811</v>
      </c>
      <c r="B769" t="s">
        <v>15</v>
      </c>
      <c r="C769">
        <v>0</v>
      </c>
      <c r="D769">
        <v>0.04</v>
      </c>
      <c r="E769">
        <v>0</v>
      </c>
      <c r="F769">
        <v>2</v>
      </c>
      <c r="G769" t="b">
        <v>0</v>
      </c>
      <c r="H769">
        <f>IF(inventory__Data[[#This Row],[stock_on_hand]]&lt;=0,1,0)</f>
        <v>1</v>
      </c>
      <c r="I769">
        <f>COUNTIFS(inventory__Data[product_id],inventory__Data[[#This Row],[product_id]],inventory__Data[stock_on_hand],"&lt;=0")</f>
        <v>30</v>
      </c>
    </row>
    <row r="770" spans="1:9" x14ac:dyDescent="0.3">
      <c r="A770" s="1">
        <v>45811</v>
      </c>
      <c r="B770" t="s">
        <v>18</v>
      </c>
      <c r="C770">
        <v>563</v>
      </c>
      <c r="D770">
        <v>0.15</v>
      </c>
      <c r="E770">
        <v>0</v>
      </c>
      <c r="F770">
        <v>5</v>
      </c>
      <c r="G770" t="b">
        <v>0</v>
      </c>
      <c r="H770">
        <f>IF(inventory__Data[[#This Row],[stock_on_hand]]&lt;=0,1,0)</f>
        <v>0</v>
      </c>
      <c r="I770">
        <f>COUNTIFS(inventory__Data[product_id],inventory__Data[[#This Row],[product_id]],inventory__Data[stock_on_hand],"&lt;=0")</f>
        <v>30</v>
      </c>
    </row>
    <row r="771" spans="1:9" x14ac:dyDescent="0.3">
      <c r="A771" s="1">
        <v>45811</v>
      </c>
      <c r="B771" t="s">
        <v>21</v>
      </c>
      <c r="C771">
        <v>623</v>
      </c>
      <c r="D771">
        <v>0.03</v>
      </c>
      <c r="E771">
        <v>0</v>
      </c>
      <c r="F771">
        <v>2</v>
      </c>
      <c r="G771" t="b">
        <v>0</v>
      </c>
      <c r="H771">
        <f>IF(inventory__Data[[#This Row],[stock_on_hand]]&lt;=0,1,0)</f>
        <v>0</v>
      </c>
      <c r="I771">
        <f>COUNTIFS(inventory__Data[product_id],inventory__Data[[#This Row],[product_id]],inventory__Data[stock_on_hand],"&lt;=0")</f>
        <v>29</v>
      </c>
    </row>
    <row r="772" spans="1:9" x14ac:dyDescent="0.3">
      <c r="A772" s="1">
        <v>45812</v>
      </c>
      <c r="B772" t="s">
        <v>9</v>
      </c>
      <c r="C772">
        <v>94</v>
      </c>
      <c r="D772">
        <v>0.05</v>
      </c>
      <c r="E772">
        <v>0</v>
      </c>
      <c r="F772">
        <v>2</v>
      </c>
      <c r="G772" t="b">
        <v>0</v>
      </c>
      <c r="H772">
        <f>IF(inventory__Data[[#This Row],[stock_on_hand]]&lt;=0,1,0)</f>
        <v>0</v>
      </c>
      <c r="I772">
        <f>COUNTIFS(inventory__Data[product_id],inventory__Data[[#This Row],[product_id]],inventory__Data[stock_on_hand],"&lt;=0")</f>
        <v>25</v>
      </c>
    </row>
    <row r="773" spans="1:9" x14ac:dyDescent="0.3">
      <c r="A773" s="1">
        <v>45812</v>
      </c>
      <c r="B773" t="s">
        <v>12</v>
      </c>
      <c r="C773">
        <v>237</v>
      </c>
      <c r="D773">
        <v>0.02</v>
      </c>
      <c r="E773">
        <v>0</v>
      </c>
      <c r="F773">
        <v>2</v>
      </c>
      <c r="G773" t="b">
        <v>0</v>
      </c>
      <c r="H773">
        <f>IF(inventory__Data[[#This Row],[stock_on_hand]]&lt;=0,1,0)</f>
        <v>0</v>
      </c>
      <c r="I773">
        <f>COUNTIFS(inventory__Data[product_id],inventory__Data[[#This Row],[product_id]],inventory__Data[stock_on_hand],"&lt;=0")</f>
        <v>23</v>
      </c>
    </row>
    <row r="774" spans="1:9" x14ac:dyDescent="0.3">
      <c r="A774" s="1">
        <v>45812</v>
      </c>
      <c r="B774" t="s">
        <v>15</v>
      </c>
      <c r="C774">
        <v>855</v>
      </c>
      <c r="D774">
        <v>0.04</v>
      </c>
      <c r="E774">
        <v>0</v>
      </c>
      <c r="F774">
        <v>5</v>
      </c>
      <c r="G774" t="b">
        <v>0</v>
      </c>
      <c r="H774">
        <f>IF(inventory__Data[[#This Row],[stock_on_hand]]&lt;=0,1,0)</f>
        <v>0</v>
      </c>
      <c r="I774">
        <f>COUNTIFS(inventory__Data[product_id],inventory__Data[[#This Row],[product_id]],inventory__Data[stock_on_hand],"&lt;=0")</f>
        <v>30</v>
      </c>
    </row>
    <row r="775" spans="1:9" x14ac:dyDescent="0.3">
      <c r="A775" s="1">
        <v>45812</v>
      </c>
      <c r="B775" t="s">
        <v>18</v>
      </c>
      <c r="C775">
        <v>670</v>
      </c>
      <c r="D775">
        <v>0.15</v>
      </c>
      <c r="E775">
        <v>0</v>
      </c>
      <c r="F775">
        <v>5</v>
      </c>
      <c r="G775" t="b">
        <v>0</v>
      </c>
      <c r="H775">
        <f>IF(inventory__Data[[#This Row],[stock_on_hand]]&lt;=0,1,0)</f>
        <v>0</v>
      </c>
      <c r="I775">
        <f>COUNTIFS(inventory__Data[product_id],inventory__Data[[#This Row],[product_id]],inventory__Data[stock_on_hand],"&lt;=0")</f>
        <v>30</v>
      </c>
    </row>
    <row r="776" spans="1:9" x14ac:dyDescent="0.3">
      <c r="A776" s="1">
        <v>45812</v>
      </c>
      <c r="B776" t="s">
        <v>21</v>
      </c>
      <c r="C776">
        <v>90</v>
      </c>
      <c r="D776">
        <v>0.03</v>
      </c>
      <c r="E776">
        <v>0</v>
      </c>
      <c r="F776">
        <v>2</v>
      </c>
      <c r="G776" t="b">
        <v>0</v>
      </c>
      <c r="H776">
        <f>IF(inventory__Data[[#This Row],[stock_on_hand]]&lt;=0,1,0)</f>
        <v>0</v>
      </c>
      <c r="I776">
        <f>COUNTIFS(inventory__Data[product_id],inventory__Data[[#This Row],[product_id]],inventory__Data[stock_on_hand],"&lt;=0")</f>
        <v>29</v>
      </c>
    </row>
    <row r="777" spans="1:9" x14ac:dyDescent="0.3">
      <c r="A777" s="1">
        <v>45813</v>
      </c>
      <c r="B777" t="s">
        <v>9</v>
      </c>
      <c r="C777">
        <v>874</v>
      </c>
      <c r="D777">
        <v>0.05</v>
      </c>
      <c r="E777">
        <v>0</v>
      </c>
      <c r="F777">
        <v>5</v>
      </c>
      <c r="G777" t="b">
        <v>0</v>
      </c>
      <c r="H777">
        <f>IF(inventory__Data[[#This Row],[stock_on_hand]]&lt;=0,1,0)</f>
        <v>0</v>
      </c>
      <c r="I777">
        <f>COUNTIFS(inventory__Data[product_id],inventory__Data[[#This Row],[product_id]],inventory__Data[stock_on_hand],"&lt;=0")</f>
        <v>25</v>
      </c>
    </row>
    <row r="778" spans="1:9" x14ac:dyDescent="0.3">
      <c r="A778" s="1">
        <v>45813</v>
      </c>
      <c r="B778" t="s">
        <v>12</v>
      </c>
      <c r="C778">
        <v>87</v>
      </c>
      <c r="D778">
        <v>0.02</v>
      </c>
      <c r="E778">
        <v>0</v>
      </c>
      <c r="F778">
        <v>10</v>
      </c>
      <c r="G778" t="b">
        <v>0</v>
      </c>
      <c r="H778">
        <f>IF(inventory__Data[[#This Row],[stock_on_hand]]&lt;=0,1,0)</f>
        <v>0</v>
      </c>
      <c r="I778">
        <f>COUNTIFS(inventory__Data[product_id],inventory__Data[[#This Row],[product_id]],inventory__Data[stock_on_hand],"&lt;=0")</f>
        <v>23</v>
      </c>
    </row>
    <row r="779" spans="1:9" x14ac:dyDescent="0.3">
      <c r="A779" s="1">
        <v>45813</v>
      </c>
      <c r="B779" t="s">
        <v>15</v>
      </c>
      <c r="C779">
        <v>126</v>
      </c>
      <c r="D779">
        <v>0.04</v>
      </c>
      <c r="E779">
        <v>0</v>
      </c>
      <c r="F779">
        <v>2</v>
      </c>
      <c r="G779" t="b">
        <v>0</v>
      </c>
      <c r="H779">
        <f>IF(inventory__Data[[#This Row],[stock_on_hand]]&lt;=0,1,0)</f>
        <v>0</v>
      </c>
      <c r="I779">
        <f>COUNTIFS(inventory__Data[product_id],inventory__Data[[#This Row],[product_id]],inventory__Data[stock_on_hand],"&lt;=0")</f>
        <v>30</v>
      </c>
    </row>
    <row r="780" spans="1:9" x14ac:dyDescent="0.3">
      <c r="A780" s="1">
        <v>45813</v>
      </c>
      <c r="B780" t="s">
        <v>18</v>
      </c>
      <c r="C780">
        <v>57</v>
      </c>
      <c r="D780">
        <v>0.15</v>
      </c>
      <c r="E780">
        <v>0</v>
      </c>
      <c r="F780">
        <v>2</v>
      </c>
      <c r="G780" t="b">
        <v>0</v>
      </c>
      <c r="H780">
        <f>IF(inventory__Data[[#This Row],[stock_on_hand]]&lt;=0,1,0)</f>
        <v>0</v>
      </c>
      <c r="I780">
        <f>COUNTIFS(inventory__Data[product_id],inventory__Data[[#This Row],[product_id]],inventory__Data[stock_on_hand],"&lt;=0")</f>
        <v>30</v>
      </c>
    </row>
    <row r="781" spans="1:9" x14ac:dyDescent="0.3">
      <c r="A781" s="1">
        <v>45813</v>
      </c>
      <c r="B781" t="s">
        <v>21</v>
      </c>
      <c r="C781">
        <v>453</v>
      </c>
      <c r="D781">
        <v>0.03</v>
      </c>
      <c r="E781">
        <v>0</v>
      </c>
      <c r="F781">
        <v>2</v>
      </c>
      <c r="G781" t="b">
        <v>0</v>
      </c>
      <c r="H781">
        <f>IF(inventory__Data[[#This Row],[stock_on_hand]]&lt;=0,1,0)</f>
        <v>0</v>
      </c>
      <c r="I781">
        <f>COUNTIFS(inventory__Data[product_id],inventory__Data[[#This Row],[product_id]],inventory__Data[stock_on_hand],"&lt;=0")</f>
        <v>29</v>
      </c>
    </row>
    <row r="782" spans="1:9" x14ac:dyDescent="0.3">
      <c r="A782" s="1">
        <v>45814</v>
      </c>
      <c r="B782" t="s">
        <v>9</v>
      </c>
      <c r="C782">
        <v>784</v>
      </c>
      <c r="D782">
        <v>0.05</v>
      </c>
      <c r="E782">
        <v>0</v>
      </c>
      <c r="F782">
        <v>2</v>
      </c>
      <c r="G782" t="b">
        <v>0</v>
      </c>
      <c r="H782">
        <f>IF(inventory__Data[[#This Row],[stock_on_hand]]&lt;=0,1,0)</f>
        <v>0</v>
      </c>
      <c r="I782">
        <f>COUNTIFS(inventory__Data[product_id],inventory__Data[[#This Row],[product_id]],inventory__Data[stock_on_hand],"&lt;=0")</f>
        <v>25</v>
      </c>
    </row>
    <row r="783" spans="1:9" x14ac:dyDescent="0.3">
      <c r="A783" s="1">
        <v>45814</v>
      </c>
      <c r="B783" t="s">
        <v>12</v>
      </c>
      <c r="C783">
        <v>517</v>
      </c>
      <c r="D783">
        <v>0.02</v>
      </c>
      <c r="E783">
        <v>0</v>
      </c>
      <c r="F783">
        <v>2</v>
      </c>
      <c r="G783" t="b">
        <v>0</v>
      </c>
      <c r="H783">
        <f>IF(inventory__Data[[#This Row],[stock_on_hand]]&lt;=0,1,0)</f>
        <v>0</v>
      </c>
      <c r="I783">
        <f>COUNTIFS(inventory__Data[product_id],inventory__Data[[#This Row],[product_id]],inventory__Data[stock_on_hand],"&lt;=0")</f>
        <v>23</v>
      </c>
    </row>
    <row r="784" spans="1:9" x14ac:dyDescent="0.3">
      <c r="A784" s="1">
        <v>45814</v>
      </c>
      <c r="B784" t="s">
        <v>15</v>
      </c>
      <c r="C784">
        <v>400</v>
      </c>
      <c r="D784">
        <v>0.04</v>
      </c>
      <c r="E784">
        <v>0</v>
      </c>
      <c r="F784">
        <v>5</v>
      </c>
      <c r="G784" t="b">
        <v>0</v>
      </c>
      <c r="H784">
        <f>IF(inventory__Data[[#This Row],[stock_on_hand]]&lt;=0,1,0)</f>
        <v>0</v>
      </c>
      <c r="I784">
        <f>COUNTIFS(inventory__Data[product_id],inventory__Data[[#This Row],[product_id]],inventory__Data[stock_on_hand],"&lt;=0")</f>
        <v>30</v>
      </c>
    </row>
    <row r="785" spans="1:9" x14ac:dyDescent="0.3">
      <c r="A785" s="1">
        <v>45814</v>
      </c>
      <c r="B785" t="s">
        <v>18</v>
      </c>
      <c r="C785">
        <v>770</v>
      </c>
      <c r="D785">
        <v>0.15</v>
      </c>
      <c r="E785">
        <v>0</v>
      </c>
      <c r="F785">
        <v>2</v>
      </c>
      <c r="G785" t="b">
        <v>0</v>
      </c>
      <c r="H785">
        <f>IF(inventory__Data[[#This Row],[stock_on_hand]]&lt;=0,1,0)</f>
        <v>0</v>
      </c>
      <c r="I785">
        <f>COUNTIFS(inventory__Data[product_id],inventory__Data[[#This Row],[product_id]],inventory__Data[stock_on_hand],"&lt;=0")</f>
        <v>30</v>
      </c>
    </row>
    <row r="786" spans="1:9" x14ac:dyDescent="0.3">
      <c r="A786" s="1">
        <v>45814</v>
      </c>
      <c r="B786" t="s">
        <v>21</v>
      </c>
      <c r="C786">
        <v>120</v>
      </c>
      <c r="D786">
        <v>0.03</v>
      </c>
      <c r="E786">
        <v>0</v>
      </c>
      <c r="F786">
        <v>5</v>
      </c>
      <c r="G786" t="b">
        <v>0</v>
      </c>
      <c r="H786">
        <f>IF(inventory__Data[[#This Row],[stock_on_hand]]&lt;=0,1,0)</f>
        <v>0</v>
      </c>
      <c r="I786">
        <f>COUNTIFS(inventory__Data[product_id],inventory__Data[[#This Row],[product_id]],inventory__Data[stock_on_hand],"&lt;=0")</f>
        <v>29</v>
      </c>
    </row>
    <row r="787" spans="1:9" x14ac:dyDescent="0.3">
      <c r="A787" s="1">
        <v>45815</v>
      </c>
      <c r="B787" t="s">
        <v>9</v>
      </c>
      <c r="C787">
        <v>51</v>
      </c>
      <c r="D787">
        <v>0.05</v>
      </c>
      <c r="E787">
        <v>0</v>
      </c>
      <c r="F787">
        <v>5</v>
      </c>
      <c r="G787" t="b">
        <v>0</v>
      </c>
      <c r="H787">
        <f>IF(inventory__Data[[#This Row],[stock_on_hand]]&lt;=0,1,0)</f>
        <v>0</v>
      </c>
      <c r="I787">
        <f>COUNTIFS(inventory__Data[product_id],inventory__Data[[#This Row],[product_id]],inventory__Data[stock_on_hand],"&lt;=0")</f>
        <v>25</v>
      </c>
    </row>
    <row r="788" spans="1:9" x14ac:dyDescent="0.3">
      <c r="A788" s="1">
        <v>45815</v>
      </c>
      <c r="B788" t="s">
        <v>12</v>
      </c>
      <c r="C788">
        <v>818</v>
      </c>
      <c r="D788">
        <v>0.02</v>
      </c>
      <c r="E788">
        <v>0</v>
      </c>
      <c r="F788">
        <v>2</v>
      </c>
      <c r="G788" t="b">
        <v>0</v>
      </c>
      <c r="H788">
        <f>IF(inventory__Data[[#This Row],[stock_on_hand]]&lt;=0,1,0)</f>
        <v>0</v>
      </c>
      <c r="I788">
        <f>COUNTIFS(inventory__Data[product_id],inventory__Data[[#This Row],[product_id]],inventory__Data[stock_on_hand],"&lt;=0")</f>
        <v>23</v>
      </c>
    </row>
    <row r="789" spans="1:9" x14ac:dyDescent="0.3">
      <c r="A789" s="1">
        <v>45815</v>
      </c>
      <c r="B789" t="s">
        <v>15</v>
      </c>
      <c r="C789">
        <v>439</v>
      </c>
      <c r="D789">
        <v>0.04</v>
      </c>
      <c r="E789">
        <v>0</v>
      </c>
      <c r="F789">
        <v>5</v>
      </c>
      <c r="G789" t="b">
        <v>0</v>
      </c>
      <c r="H789">
        <f>IF(inventory__Data[[#This Row],[stock_on_hand]]&lt;=0,1,0)</f>
        <v>0</v>
      </c>
      <c r="I789">
        <f>COUNTIFS(inventory__Data[product_id],inventory__Data[[#This Row],[product_id]],inventory__Data[stock_on_hand],"&lt;=0")</f>
        <v>30</v>
      </c>
    </row>
    <row r="790" spans="1:9" x14ac:dyDescent="0.3">
      <c r="A790" s="1">
        <v>45815</v>
      </c>
      <c r="B790" t="s">
        <v>18</v>
      </c>
      <c r="C790">
        <v>864</v>
      </c>
      <c r="D790">
        <v>0.15</v>
      </c>
      <c r="E790">
        <v>0</v>
      </c>
      <c r="F790">
        <v>2</v>
      </c>
      <c r="G790" t="b">
        <v>0</v>
      </c>
      <c r="H790">
        <f>IF(inventory__Data[[#This Row],[stock_on_hand]]&lt;=0,1,0)</f>
        <v>0</v>
      </c>
      <c r="I790">
        <f>COUNTIFS(inventory__Data[product_id],inventory__Data[[#This Row],[product_id]],inventory__Data[stock_on_hand],"&lt;=0")</f>
        <v>30</v>
      </c>
    </row>
    <row r="791" spans="1:9" x14ac:dyDescent="0.3">
      <c r="A791" s="1">
        <v>45815</v>
      </c>
      <c r="B791" t="s">
        <v>21</v>
      </c>
      <c r="C791">
        <v>11</v>
      </c>
      <c r="D791">
        <v>0.03</v>
      </c>
      <c r="E791">
        <v>0</v>
      </c>
      <c r="F791">
        <v>2</v>
      </c>
      <c r="G791" t="b">
        <v>0</v>
      </c>
      <c r="H791">
        <f>IF(inventory__Data[[#This Row],[stock_on_hand]]&lt;=0,1,0)</f>
        <v>0</v>
      </c>
      <c r="I791">
        <f>COUNTIFS(inventory__Data[product_id],inventory__Data[[#This Row],[product_id]],inventory__Data[stock_on_hand],"&lt;=0")</f>
        <v>29</v>
      </c>
    </row>
    <row r="792" spans="1:9" x14ac:dyDescent="0.3">
      <c r="A792" s="1">
        <v>45816</v>
      </c>
      <c r="B792" t="s">
        <v>9</v>
      </c>
      <c r="C792">
        <v>594</v>
      </c>
      <c r="D792">
        <v>0.05</v>
      </c>
      <c r="E792">
        <v>0</v>
      </c>
      <c r="F792">
        <v>2</v>
      </c>
      <c r="G792" t="b">
        <v>0</v>
      </c>
      <c r="H792">
        <f>IF(inventory__Data[[#This Row],[stock_on_hand]]&lt;=0,1,0)</f>
        <v>0</v>
      </c>
      <c r="I792">
        <f>COUNTIFS(inventory__Data[product_id],inventory__Data[[#This Row],[product_id]],inventory__Data[stock_on_hand],"&lt;=0")</f>
        <v>25</v>
      </c>
    </row>
    <row r="793" spans="1:9" x14ac:dyDescent="0.3">
      <c r="A793" s="1">
        <v>45816</v>
      </c>
      <c r="B793" t="s">
        <v>12</v>
      </c>
      <c r="C793">
        <v>542</v>
      </c>
      <c r="D793">
        <v>0.02</v>
      </c>
      <c r="E793">
        <v>0</v>
      </c>
      <c r="F793">
        <v>2</v>
      </c>
      <c r="G793" t="b">
        <v>0</v>
      </c>
      <c r="H793">
        <f>IF(inventory__Data[[#This Row],[stock_on_hand]]&lt;=0,1,0)</f>
        <v>0</v>
      </c>
      <c r="I793">
        <f>COUNTIFS(inventory__Data[product_id],inventory__Data[[#This Row],[product_id]],inventory__Data[stock_on_hand],"&lt;=0")</f>
        <v>23</v>
      </c>
    </row>
    <row r="794" spans="1:9" x14ac:dyDescent="0.3">
      <c r="A794" s="1">
        <v>45816</v>
      </c>
      <c r="B794" t="s">
        <v>15</v>
      </c>
      <c r="C794">
        <v>515</v>
      </c>
      <c r="D794">
        <v>0.04</v>
      </c>
      <c r="E794">
        <v>0</v>
      </c>
      <c r="F794">
        <v>5</v>
      </c>
      <c r="G794" t="b">
        <v>0</v>
      </c>
      <c r="H794">
        <f>IF(inventory__Data[[#This Row],[stock_on_hand]]&lt;=0,1,0)</f>
        <v>0</v>
      </c>
      <c r="I794">
        <f>COUNTIFS(inventory__Data[product_id],inventory__Data[[#This Row],[product_id]],inventory__Data[stock_on_hand],"&lt;=0")</f>
        <v>30</v>
      </c>
    </row>
    <row r="795" spans="1:9" x14ac:dyDescent="0.3">
      <c r="A795" s="1">
        <v>45816</v>
      </c>
      <c r="B795" t="s">
        <v>18</v>
      </c>
      <c r="C795">
        <v>632</v>
      </c>
      <c r="D795">
        <v>0.15</v>
      </c>
      <c r="E795">
        <v>0</v>
      </c>
      <c r="F795">
        <v>15</v>
      </c>
      <c r="G795" t="b">
        <v>0</v>
      </c>
      <c r="H795">
        <f>IF(inventory__Data[[#This Row],[stock_on_hand]]&lt;=0,1,0)</f>
        <v>0</v>
      </c>
      <c r="I795">
        <f>COUNTIFS(inventory__Data[product_id],inventory__Data[[#This Row],[product_id]],inventory__Data[stock_on_hand],"&lt;=0")</f>
        <v>30</v>
      </c>
    </row>
    <row r="796" spans="1:9" x14ac:dyDescent="0.3">
      <c r="A796" s="1">
        <v>45816</v>
      </c>
      <c r="B796" t="s">
        <v>21</v>
      </c>
      <c r="C796">
        <v>163</v>
      </c>
      <c r="D796">
        <v>0.03</v>
      </c>
      <c r="E796">
        <v>0</v>
      </c>
      <c r="F796">
        <v>2</v>
      </c>
      <c r="G796" t="b">
        <v>0</v>
      </c>
      <c r="H796">
        <f>IF(inventory__Data[[#This Row],[stock_on_hand]]&lt;=0,1,0)</f>
        <v>0</v>
      </c>
      <c r="I796">
        <f>COUNTIFS(inventory__Data[product_id],inventory__Data[[#This Row],[product_id]],inventory__Data[stock_on_hand],"&lt;=0")</f>
        <v>29</v>
      </c>
    </row>
    <row r="797" spans="1:9" x14ac:dyDescent="0.3">
      <c r="A797" s="1">
        <v>45817</v>
      </c>
      <c r="B797" t="s">
        <v>9</v>
      </c>
      <c r="C797">
        <v>314</v>
      </c>
      <c r="D797">
        <v>0.05</v>
      </c>
      <c r="E797">
        <v>0</v>
      </c>
      <c r="F797">
        <v>2</v>
      </c>
      <c r="G797" t="b">
        <v>0</v>
      </c>
      <c r="H797">
        <f>IF(inventory__Data[[#This Row],[stock_on_hand]]&lt;=0,1,0)</f>
        <v>0</v>
      </c>
      <c r="I797">
        <f>COUNTIFS(inventory__Data[product_id],inventory__Data[[#This Row],[product_id]],inventory__Data[stock_on_hand],"&lt;=0")</f>
        <v>25</v>
      </c>
    </row>
    <row r="798" spans="1:9" x14ac:dyDescent="0.3">
      <c r="A798" s="1">
        <v>45817</v>
      </c>
      <c r="B798" t="s">
        <v>12</v>
      </c>
      <c r="C798">
        <v>616</v>
      </c>
      <c r="D798">
        <v>0.02</v>
      </c>
      <c r="E798">
        <v>0</v>
      </c>
      <c r="F798">
        <v>5</v>
      </c>
      <c r="G798" t="b">
        <v>0</v>
      </c>
      <c r="H798">
        <f>IF(inventory__Data[[#This Row],[stock_on_hand]]&lt;=0,1,0)</f>
        <v>0</v>
      </c>
      <c r="I798">
        <f>COUNTIFS(inventory__Data[product_id],inventory__Data[[#This Row],[product_id]],inventory__Data[stock_on_hand],"&lt;=0")</f>
        <v>23</v>
      </c>
    </row>
    <row r="799" spans="1:9" x14ac:dyDescent="0.3">
      <c r="A799" s="1">
        <v>45817</v>
      </c>
      <c r="B799" t="s">
        <v>15</v>
      </c>
      <c r="C799">
        <v>602</v>
      </c>
      <c r="D799">
        <v>0.04</v>
      </c>
      <c r="E799">
        <v>0</v>
      </c>
      <c r="F799">
        <v>2</v>
      </c>
      <c r="G799" t="b">
        <v>0</v>
      </c>
      <c r="H799">
        <f>IF(inventory__Data[[#This Row],[stock_on_hand]]&lt;=0,1,0)</f>
        <v>0</v>
      </c>
      <c r="I799">
        <f>COUNTIFS(inventory__Data[product_id],inventory__Data[[#This Row],[product_id]],inventory__Data[stock_on_hand],"&lt;=0")</f>
        <v>30</v>
      </c>
    </row>
    <row r="800" spans="1:9" x14ac:dyDescent="0.3">
      <c r="A800" s="1">
        <v>45817</v>
      </c>
      <c r="B800" t="s">
        <v>18</v>
      </c>
      <c r="C800">
        <v>843</v>
      </c>
      <c r="D800">
        <v>0.15</v>
      </c>
      <c r="E800">
        <v>0</v>
      </c>
      <c r="F800">
        <v>2</v>
      </c>
      <c r="G800" t="b">
        <v>0</v>
      </c>
      <c r="H800">
        <f>IF(inventory__Data[[#This Row],[stock_on_hand]]&lt;=0,1,0)</f>
        <v>0</v>
      </c>
      <c r="I800">
        <f>COUNTIFS(inventory__Data[product_id],inventory__Data[[#This Row],[product_id]],inventory__Data[stock_on_hand],"&lt;=0")</f>
        <v>30</v>
      </c>
    </row>
    <row r="801" spans="1:9" x14ac:dyDescent="0.3">
      <c r="A801" s="1">
        <v>45817</v>
      </c>
      <c r="B801" t="s">
        <v>21</v>
      </c>
      <c r="C801">
        <v>0</v>
      </c>
      <c r="D801">
        <v>0.03</v>
      </c>
      <c r="E801">
        <v>0</v>
      </c>
      <c r="F801">
        <v>2</v>
      </c>
      <c r="G801" t="b">
        <v>0</v>
      </c>
      <c r="H801">
        <f>IF(inventory__Data[[#This Row],[stock_on_hand]]&lt;=0,1,0)</f>
        <v>1</v>
      </c>
      <c r="I801">
        <f>COUNTIFS(inventory__Data[product_id],inventory__Data[[#This Row],[product_id]],inventory__Data[stock_on_hand],"&lt;=0")</f>
        <v>29</v>
      </c>
    </row>
    <row r="802" spans="1:9" x14ac:dyDescent="0.3">
      <c r="A802" s="1">
        <v>45818</v>
      </c>
      <c r="B802" t="s">
        <v>9</v>
      </c>
      <c r="C802">
        <v>531</v>
      </c>
      <c r="D802">
        <v>0.05</v>
      </c>
      <c r="E802">
        <v>0</v>
      </c>
      <c r="F802">
        <v>2</v>
      </c>
      <c r="G802" t="b">
        <v>0</v>
      </c>
      <c r="H802">
        <f>IF(inventory__Data[[#This Row],[stock_on_hand]]&lt;=0,1,0)</f>
        <v>0</v>
      </c>
      <c r="I802">
        <f>COUNTIFS(inventory__Data[product_id],inventory__Data[[#This Row],[product_id]],inventory__Data[stock_on_hand],"&lt;=0")</f>
        <v>25</v>
      </c>
    </row>
    <row r="803" spans="1:9" x14ac:dyDescent="0.3">
      <c r="A803" s="1">
        <v>45818</v>
      </c>
      <c r="B803" t="s">
        <v>12</v>
      </c>
      <c r="C803">
        <v>187</v>
      </c>
      <c r="D803">
        <v>0.02</v>
      </c>
      <c r="E803">
        <v>0</v>
      </c>
      <c r="F803">
        <v>2</v>
      </c>
      <c r="G803" t="b">
        <v>0</v>
      </c>
      <c r="H803">
        <f>IF(inventory__Data[[#This Row],[stock_on_hand]]&lt;=0,1,0)</f>
        <v>0</v>
      </c>
      <c r="I803">
        <f>COUNTIFS(inventory__Data[product_id],inventory__Data[[#This Row],[product_id]],inventory__Data[stock_on_hand],"&lt;=0")</f>
        <v>23</v>
      </c>
    </row>
    <row r="804" spans="1:9" x14ac:dyDescent="0.3">
      <c r="A804" s="1">
        <v>45818</v>
      </c>
      <c r="B804" t="s">
        <v>15</v>
      </c>
      <c r="C804">
        <v>759</v>
      </c>
      <c r="D804">
        <v>0.04</v>
      </c>
      <c r="E804">
        <v>0</v>
      </c>
      <c r="F804">
        <v>5</v>
      </c>
      <c r="G804" t="b">
        <v>0</v>
      </c>
      <c r="H804">
        <f>IF(inventory__Data[[#This Row],[stock_on_hand]]&lt;=0,1,0)</f>
        <v>0</v>
      </c>
      <c r="I804">
        <f>COUNTIFS(inventory__Data[product_id],inventory__Data[[#This Row],[product_id]],inventory__Data[stock_on_hand],"&lt;=0")</f>
        <v>30</v>
      </c>
    </row>
    <row r="805" spans="1:9" x14ac:dyDescent="0.3">
      <c r="A805" s="1">
        <v>45818</v>
      </c>
      <c r="B805" t="s">
        <v>18</v>
      </c>
      <c r="C805">
        <v>785</v>
      </c>
      <c r="D805">
        <v>0.15</v>
      </c>
      <c r="E805">
        <v>0</v>
      </c>
      <c r="F805">
        <v>10</v>
      </c>
      <c r="G805" t="b">
        <v>0</v>
      </c>
      <c r="H805">
        <f>IF(inventory__Data[[#This Row],[stock_on_hand]]&lt;=0,1,0)</f>
        <v>0</v>
      </c>
      <c r="I805">
        <f>COUNTIFS(inventory__Data[product_id],inventory__Data[[#This Row],[product_id]],inventory__Data[stock_on_hand],"&lt;=0")</f>
        <v>30</v>
      </c>
    </row>
    <row r="806" spans="1:9" x14ac:dyDescent="0.3">
      <c r="A806" s="1">
        <v>45818</v>
      </c>
      <c r="B806" t="s">
        <v>21</v>
      </c>
      <c r="C806">
        <v>497</v>
      </c>
      <c r="D806">
        <v>0.03</v>
      </c>
      <c r="E806">
        <v>0</v>
      </c>
      <c r="F806">
        <v>5</v>
      </c>
      <c r="G806" t="b">
        <v>0</v>
      </c>
      <c r="H806">
        <f>IF(inventory__Data[[#This Row],[stock_on_hand]]&lt;=0,1,0)</f>
        <v>0</v>
      </c>
      <c r="I806">
        <f>COUNTIFS(inventory__Data[product_id],inventory__Data[[#This Row],[product_id]],inventory__Data[stock_on_hand],"&lt;=0")</f>
        <v>29</v>
      </c>
    </row>
    <row r="807" spans="1:9" x14ac:dyDescent="0.3">
      <c r="A807" s="1">
        <v>45819</v>
      </c>
      <c r="B807" t="s">
        <v>9</v>
      </c>
      <c r="C807">
        <v>242</v>
      </c>
      <c r="D807">
        <v>0.05</v>
      </c>
      <c r="E807">
        <v>0</v>
      </c>
      <c r="F807">
        <v>5</v>
      </c>
      <c r="G807" t="b">
        <v>0</v>
      </c>
      <c r="H807">
        <f>IF(inventory__Data[[#This Row],[stock_on_hand]]&lt;=0,1,0)</f>
        <v>0</v>
      </c>
      <c r="I807">
        <f>COUNTIFS(inventory__Data[product_id],inventory__Data[[#This Row],[product_id]],inventory__Data[stock_on_hand],"&lt;=0")</f>
        <v>25</v>
      </c>
    </row>
    <row r="808" spans="1:9" x14ac:dyDescent="0.3">
      <c r="A808" s="1">
        <v>45819</v>
      </c>
      <c r="B808" t="s">
        <v>12</v>
      </c>
      <c r="C808">
        <v>362</v>
      </c>
      <c r="D808">
        <v>0.02</v>
      </c>
      <c r="E808">
        <v>0</v>
      </c>
      <c r="F808">
        <v>2</v>
      </c>
      <c r="G808" t="b">
        <v>0</v>
      </c>
      <c r="H808">
        <f>IF(inventory__Data[[#This Row],[stock_on_hand]]&lt;=0,1,0)</f>
        <v>0</v>
      </c>
      <c r="I808">
        <f>COUNTIFS(inventory__Data[product_id],inventory__Data[[#This Row],[product_id]],inventory__Data[stock_on_hand],"&lt;=0")</f>
        <v>23</v>
      </c>
    </row>
    <row r="809" spans="1:9" x14ac:dyDescent="0.3">
      <c r="A809" s="1">
        <v>45819</v>
      </c>
      <c r="B809" t="s">
        <v>15</v>
      </c>
      <c r="C809">
        <v>0</v>
      </c>
      <c r="D809">
        <v>0.04</v>
      </c>
      <c r="E809">
        <v>0</v>
      </c>
      <c r="F809">
        <v>2</v>
      </c>
      <c r="G809" t="b">
        <v>0</v>
      </c>
      <c r="H809">
        <f>IF(inventory__Data[[#This Row],[stock_on_hand]]&lt;=0,1,0)</f>
        <v>1</v>
      </c>
      <c r="I809">
        <f>COUNTIFS(inventory__Data[product_id],inventory__Data[[#This Row],[product_id]],inventory__Data[stock_on_hand],"&lt;=0")</f>
        <v>30</v>
      </c>
    </row>
    <row r="810" spans="1:9" x14ac:dyDescent="0.3">
      <c r="A810" s="1">
        <v>45819</v>
      </c>
      <c r="B810" t="s">
        <v>18</v>
      </c>
      <c r="C810">
        <v>468</v>
      </c>
      <c r="D810">
        <v>0.15</v>
      </c>
      <c r="E810">
        <v>0</v>
      </c>
      <c r="F810">
        <v>5</v>
      </c>
      <c r="G810" t="b">
        <v>0</v>
      </c>
      <c r="H810">
        <f>IF(inventory__Data[[#This Row],[stock_on_hand]]&lt;=0,1,0)</f>
        <v>0</v>
      </c>
      <c r="I810">
        <f>COUNTIFS(inventory__Data[product_id],inventory__Data[[#This Row],[product_id]],inventory__Data[stock_on_hand],"&lt;=0")</f>
        <v>30</v>
      </c>
    </row>
    <row r="811" spans="1:9" x14ac:dyDescent="0.3">
      <c r="A811" s="1">
        <v>45819</v>
      </c>
      <c r="B811" t="s">
        <v>21</v>
      </c>
      <c r="C811">
        <v>373</v>
      </c>
      <c r="D811">
        <v>0.03</v>
      </c>
      <c r="E811">
        <v>0</v>
      </c>
      <c r="F811">
        <v>5</v>
      </c>
      <c r="G811" t="b">
        <v>0</v>
      </c>
      <c r="H811">
        <f>IF(inventory__Data[[#This Row],[stock_on_hand]]&lt;=0,1,0)</f>
        <v>0</v>
      </c>
      <c r="I811">
        <f>COUNTIFS(inventory__Data[product_id],inventory__Data[[#This Row],[product_id]],inventory__Data[stock_on_hand],"&lt;=0")</f>
        <v>29</v>
      </c>
    </row>
    <row r="812" spans="1:9" x14ac:dyDescent="0.3">
      <c r="A812" s="1">
        <v>45820</v>
      </c>
      <c r="B812" t="s">
        <v>9</v>
      </c>
      <c r="C812">
        <v>557</v>
      </c>
      <c r="D812">
        <v>0.05</v>
      </c>
      <c r="E812">
        <v>0</v>
      </c>
      <c r="F812">
        <v>2</v>
      </c>
      <c r="G812" t="b">
        <v>0</v>
      </c>
      <c r="H812">
        <f>IF(inventory__Data[[#This Row],[stock_on_hand]]&lt;=0,1,0)</f>
        <v>0</v>
      </c>
      <c r="I812">
        <f>COUNTIFS(inventory__Data[product_id],inventory__Data[[#This Row],[product_id]],inventory__Data[stock_on_hand],"&lt;=0")</f>
        <v>25</v>
      </c>
    </row>
    <row r="813" spans="1:9" x14ac:dyDescent="0.3">
      <c r="A813" s="1">
        <v>45820</v>
      </c>
      <c r="B813" t="s">
        <v>12</v>
      </c>
      <c r="C813">
        <v>449</v>
      </c>
      <c r="D813">
        <v>0.02</v>
      </c>
      <c r="E813">
        <v>0</v>
      </c>
      <c r="F813">
        <v>2</v>
      </c>
      <c r="G813" t="b">
        <v>0</v>
      </c>
      <c r="H813">
        <f>IF(inventory__Data[[#This Row],[stock_on_hand]]&lt;=0,1,0)</f>
        <v>0</v>
      </c>
      <c r="I813">
        <f>COUNTIFS(inventory__Data[product_id],inventory__Data[[#This Row],[product_id]],inventory__Data[stock_on_hand],"&lt;=0")</f>
        <v>23</v>
      </c>
    </row>
    <row r="814" spans="1:9" x14ac:dyDescent="0.3">
      <c r="A814" s="1">
        <v>45820</v>
      </c>
      <c r="B814" t="s">
        <v>15</v>
      </c>
      <c r="C814">
        <v>83</v>
      </c>
      <c r="D814">
        <v>0.04</v>
      </c>
      <c r="E814">
        <v>0</v>
      </c>
      <c r="F814">
        <v>5</v>
      </c>
      <c r="G814" t="b">
        <v>0</v>
      </c>
      <c r="H814">
        <f>IF(inventory__Data[[#This Row],[stock_on_hand]]&lt;=0,1,0)</f>
        <v>0</v>
      </c>
      <c r="I814">
        <f>COUNTIFS(inventory__Data[product_id],inventory__Data[[#This Row],[product_id]],inventory__Data[stock_on_hand],"&lt;=0")</f>
        <v>30</v>
      </c>
    </row>
    <row r="815" spans="1:9" x14ac:dyDescent="0.3">
      <c r="A815" s="1">
        <v>45820</v>
      </c>
      <c r="B815" t="s">
        <v>18</v>
      </c>
      <c r="C815">
        <v>318</v>
      </c>
      <c r="D815">
        <v>0.15</v>
      </c>
      <c r="E815">
        <v>0</v>
      </c>
      <c r="F815">
        <v>2</v>
      </c>
      <c r="G815" t="b">
        <v>0</v>
      </c>
      <c r="H815">
        <f>IF(inventory__Data[[#This Row],[stock_on_hand]]&lt;=0,1,0)</f>
        <v>0</v>
      </c>
      <c r="I815">
        <f>COUNTIFS(inventory__Data[product_id],inventory__Data[[#This Row],[product_id]],inventory__Data[stock_on_hand],"&lt;=0")</f>
        <v>30</v>
      </c>
    </row>
    <row r="816" spans="1:9" x14ac:dyDescent="0.3">
      <c r="A816" s="1">
        <v>45820</v>
      </c>
      <c r="B816" t="s">
        <v>21</v>
      </c>
      <c r="C816">
        <v>836</v>
      </c>
      <c r="D816">
        <v>0.03</v>
      </c>
      <c r="E816">
        <v>0</v>
      </c>
      <c r="F816">
        <v>15</v>
      </c>
      <c r="G816" t="b">
        <v>0</v>
      </c>
      <c r="H816">
        <f>IF(inventory__Data[[#This Row],[stock_on_hand]]&lt;=0,1,0)</f>
        <v>0</v>
      </c>
      <c r="I816">
        <f>COUNTIFS(inventory__Data[product_id],inventory__Data[[#This Row],[product_id]],inventory__Data[stock_on_hand],"&lt;=0")</f>
        <v>29</v>
      </c>
    </row>
    <row r="817" spans="1:9" x14ac:dyDescent="0.3">
      <c r="A817" s="1">
        <v>45821</v>
      </c>
      <c r="B817" t="s">
        <v>9</v>
      </c>
      <c r="C817">
        <v>142</v>
      </c>
      <c r="D817">
        <v>0.05</v>
      </c>
      <c r="E817">
        <v>0</v>
      </c>
      <c r="F817">
        <v>2</v>
      </c>
      <c r="G817" t="b">
        <v>0</v>
      </c>
      <c r="H817">
        <f>IF(inventory__Data[[#This Row],[stock_on_hand]]&lt;=0,1,0)</f>
        <v>0</v>
      </c>
      <c r="I817">
        <f>COUNTIFS(inventory__Data[product_id],inventory__Data[[#This Row],[product_id]],inventory__Data[stock_on_hand],"&lt;=0")</f>
        <v>25</v>
      </c>
    </row>
    <row r="818" spans="1:9" x14ac:dyDescent="0.3">
      <c r="A818" s="1">
        <v>45821</v>
      </c>
      <c r="B818" t="s">
        <v>12</v>
      </c>
      <c r="C818">
        <v>408</v>
      </c>
      <c r="D818">
        <v>0.02</v>
      </c>
      <c r="E818">
        <v>0</v>
      </c>
      <c r="F818">
        <v>2</v>
      </c>
      <c r="G818" t="b">
        <v>0</v>
      </c>
      <c r="H818">
        <f>IF(inventory__Data[[#This Row],[stock_on_hand]]&lt;=0,1,0)</f>
        <v>0</v>
      </c>
      <c r="I818">
        <f>COUNTIFS(inventory__Data[product_id],inventory__Data[[#This Row],[product_id]],inventory__Data[stock_on_hand],"&lt;=0")</f>
        <v>23</v>
      </c>
    </row>
    <row r="819" spans="1:9" x14ac:dyDescent="0.3">
      <c r="A819" s="1">
        <v>45821</v>
      </c>
      <c r="B819" t="s">
        <v>15</v>
      </c>
      <c r="C819">
        <v>96</v>
      </c>
      <c r="D819">
        <v>0.04</v>
      </c>
      <c r="E819">
        <v>0</v>
      </c>
      <c r="F819">
        <v>2</v>
      </c>
      <c r="G819" t="b">
        <v>0</v>
      </c>
      <c r="H819">
        <f>IF(inventory__Data[[#This Row],[stock_on_hand]]&lt;=0,1,0)</f>
        <v>0</v>
      </c>
      <c r="I819">
        <f>COUNTIFS(inventory__Data[product_id],inventory__Data[[#This Row],[product_id]],inventory__Data[stock_on_hand],"&lt;=0")</f>
        <v>30</v>
      </c>
    </row>
    <row r="820" spans="1:9" x14ac:dyDescent="0.3">
      <c r="A820" s="1">
        <v>45821</v>
      </c>
      <c r="B820" t="s">
        <v>18</v>
      </c>
      <c r="C820">
        <v>212</v>
      </c>
      <c r="D820">
        <v>0.15</v>
      </c>
      <c r="E820">
        <v>0</v>
      </c>
      <c r="F820">
        <v>10</v>
      </c>
      <c r="G820" t="b">
        <v>0</v>
      </c>
      <c r="H820">
        <f>IF(inventory__Data[[#This Row],[stock_on_hand]]&lt;=0,1,0)</f>
        <v>0</v>
      </c>
      <c r="I820">
        <f>COUNTIFS(inventory__Data[product_id],inventory__Data[[#This Row],[product_id]],inventory__Data[stock_on_hand],"&lt;=0")</f>
        <v>30</v>
      </c>
    </row>
    <row r="821" spans="1:9" x14ac:dyDescent="0.3">
      <c r="A821" s="1">
        <v>45821</v>
      </c>
      <c r="B821" t="s">
        <v>21</v>
      </c>
      <c r="C821">
        <v>0</v>
      </c>
      <c r="D821">
        <v>0.03</v>
      </c>
      <c r="E821">
        <v>0</v>
      </c>
      <c r="F821">
        <v>5</v>
      </c>
      <c r="G821" t="b">
        <v>0</v>
      </c>
      <c r="H821">
        <f>IF(inventory__Data[[#This Row],[stock_on_hand]]&lt;=0,1,0)</f>
        <v>1</v>
      </c>
      <c r="I821">
        <f>COUNTIFS(inventory__Data[product_id],inventory__Data[[#This Row],[product_id]],inventory__Data[stock_on_hand],"&lt;=0")</f>
        <v>29</v>
      </c>
    </row>
    <row r="822" spans="1:9" x14ac:dyDescent="0.3">
      <c r="A822" s="1">
        <v>45822</v>
      </c>
      <c r="B822" t="s">
        <v>9</v>
      </c>
      <c r="C822">
        <v>834</v>
      </c>
      <c r="D822">
        <v>0.05</v>
      </c>
      <c r="E822">
        <v>0</v>
      </c>
      <c r="F822">
        <v>5</v>
      </c>
      <c r="G822" t="b">
        <v>0</v>
      </c>
      <c r="H822">
        <f>IF(inventory__Data[[#This Row],[stock_on_hand]]&lt;=0,1,0)</f>
        <v>0</v>
      </c>
      <c r="I822">
        <f>COUNTIFS(inventory__Data[product_id],inventory__Data[[#This Row],[product_id]],inventory__Data[stock_on_hand],"&lt;=0")</f>
        <v>25</v>
      </c>
    </row>
    <row r="823" spans="1:9" x14ac:dyDescent="0.3">
      <c r="A823" s="1">
        <v>45822</v>
      </c>
      <c r="B823" t="s">
        <v>12</v>
      </c>
      <c r="C823">
        <v>409</v>
      </c>
      <c r="D823">
        <v>0.02</v>
      </c>
      <c r="E823">
        <v>0</v>
      </c>
      <c r="F823">
        <v>2</v>
      </c>
      <c r="G823" t="b">
        <v>0</v>
      </c>
      <c r="H823">
        <f>IF(inventory__Data[[#This Row],[stock_on_hand]]&lt;=0,1,0)</f>
        <v>0</v>
      </c>
      <c r="I823">
        <f>COUNTIFS(inventory__Data[product_id],inventory__Data[[#This Row],[product_id]],inventory__Data[stock_on_hand],"&lt;=0")</f>
        <v>23</v>
      </c>
    </row>
    <row r="824" spans="1:9" x14ac:dyDescent="0.3">
      <c r="A824" s="1">
        <v>45822</v>
      </c>
      <c r="B824" t="s">
        <v>15</v>
      </c>
      <c r="C824">
        <v>838</v>
      </c>
      <c r="D824">
        <v>0.04</v>
      </c>
      <c r="E824">
        <v>0</v>
      </c>
      <c r="F824">
        <v>2</v>
      </c>
      <c r="G824" t="b">
        <v>0</v>
      </c>
      <c r="H824">
        <f>IF(inventory__Data[[#This Row],[stock_on_hand]]&lt;=0,1,0)</f>
        <v>0</v>
      </c>
      <c r="I824">
        <f>COUNTIFS(inventory__Data[product_id],inventory__Data[[#This Row],[product_id]],inventory__Data[stock_on_hand],"&lt;=0")</f>
        <v>30</v>
      </c>
    </row>
    <row r="825" spans="1:9" x14ac:dyDescent="0.3">
      <c r="A825" s="1">
        <v>45822</v>
      </c>
      <c r="B825" t="s">
        <v>18</v>
      </c>
      <c r="C825">
        <v>441</v>
      </c>
      <c r="D825">
        <v>0.15</v>
      </c>
      <c r="E825">
        <v>0</v>
      </c>
      <c r="F825">
        <v>2</v>
      </c>
      <c r="G825" t="b">
        <v>0</v>
      </c>
      <c r="H825">
        <f>IF(inventory__Data[[#This Row],[stock_on_hand]]&lt;=0,1,0)</f>
        <v>0</v>
      </c>
      <c r="I825">
        <f>COUNTIFS(inventory__Data[product_id],inventory__Data[[#This Row],[product_id]],inventory__Data[stock_on_hand],"&lt;=0")</f>
        <v>30</v>
      </c>
    </row>
    <row r="826" spans="1:9" x14ac:dyDescent="0.3">
      <c r="A826" s="1">
        <v>45822</v>
      </c>
      <c r="B826" t="s">
        <v>21</v>
      </c>
      <c r="C826">
        <v>92</v>
      </c>
      <c r="D826">
        <v>0.03</v>
      </c>
      <c r="E826">
        <v>0</v>
      </c>
      <c r="F826">
        <v>2</v>
      </c>
      <c r="G826" t="b">
        <v>0</v>
      </c>
      <c r="H826">
        <f>IF(inventory__Data[[#This Row],[stock_on_hand]]&lt;=0,1,0)</f>
        <v>0</v>
      </c>
      <c r="I826">
        <f>COUNTIFS(inventory__Data[product_id],inventory__Data[[#This Row],[product_id]],inventory__Data[stock_on_hand],"&lt;=0")</f>
        <v>29</v>
      </c>
    </row>
    <row r="827" spans="1:9" x14ac:dyDescent="0.3">
      <c r="A827" s="1">
        <v>45823</v>
      </c>
      <c r="B827" t="s">
        <v>9</v>
      </c>
      <c r="C827">
        <v>811</v>
      </c>
      <c r="D827">
        <v>0.05</v>
      </c>
      <c r="E827">
        <v>0</v>
      </c>
      <c r="F827">
        <v>5</v>
      </c>
      <c r="G827" t="b">
        <v>0</v>
      </c>
      <c r="H827">
        <f>IF(inventory__Data[[#This Row],[stock_on_hand]]&lt;=0,1,0)</f>
        <v>0</v>
      </c>
      <c r="I827">
        <f>COUNTIFS(inventory__Data[product_id],inventory__Data[[#This Row],[product_id]],inventory__Data[stock_on_hand],"&lt;=0")</f>
        <v>25</v>
      </c>
    </row>
    <row r="828" spans="1:9" x14ac:dyDescent="0.3">
      <c r="A828" s="1">
        <v>45823</v>
      </c>
      <c r="B828" t="s">
        <v>12</v>
      </c>
      <c r="C828">
        <v>280</v>
      </c>
      <c r="D828">
        <v>0.02</v>
      </c>
      <c r="E828">
        <v>0</v>
      </c>
      <c r="F828">
        <v>5</v>
      </c>
      <c r="G828" t="b">
        <v>0</v>
      </c>
      <c r="H828">
        <f>IF(inventory__Data[[#This Row],[stock_on_hand]]&lt;=0,1,0)</f>
        <v>0</v>
      </c>
      <c r="I828">
        <f>COUNTIFS(inventory__Data[product_id],inventory__Data[[#This Row],[product_id]],inventory__Data[stock_on_hand],"&lt;=0")</f>
        <v>23</v>
      </c>
    </row>
    <row r="829" spans="1:9" x14ac:dyDescent="0.3">
      <c r="A829" s="1">
        <v>45823</v>
      </c>
      <c r="B829" t="s">
        <v>15</v>
      </c>
      <c r="C829">
        <v>0</v>
      </c>
      <c r="D829">
        <v>0.04</v>
      </c>
      <c r="E829">
        <v>0</v>
      </c>
      <c r="F829">
        <v>2</v>
      </c>
      <c r="G829" t="b">
        <v>0</v>
      </c>
      <c r="H829">
        <f>IF(inventory__Data[[#This Row],[stock_on_hand]]&lt;=0,1,0)</f>
        <v>1</v>
      </c>
      <c r="I829">
        <f>COUNTIFS(inventory__Data[product_id],inventory__Data[[#This Row],[product_id]],inventory__Data[stock_on_hand],"&lt;=0")</f>
        <v>30</v>
      </c>
    </row>
    <row r="830" spans="1:9" x14ac:dyDescent="0.3">
      <c r="A830" s="1">
        <v>45823</v>
      </c>
      <c r="B830" t="s">
        <v>18</v>
      </c>
      <c r="C830">
        <v>823</v>
      </c>
      <c r="D830">
        <v>0.15</v>
      </c>
      <c r="E830">
        <v>0</v>
      </c>
      <c r="F830">
        <v>2</v>
      </c>
      <c r="G830" t="b">
        <v>0</v>
      </c>
      <c r="H830">
        <f>IF(inventory__Data[[#This Row],[stock_on_hand]]&lt;=0,1,0)</f>
        <v>0</v>
      </c>
      <c r="I830">
        <f>COUNTIFS(inventory__Data[product_id],inventory__Data[[#This Row],[product_id]],inventory__Data[stock_on_hand],"&lt;=0")</f>
        <v>30</v>
      </c>
    </row>
    <row r="831" spans="1:9" x14ac:dyDescent="0.3">
      <c r="A831" s="1">
        <v>45823</v>
      </c>
      <c r="B831" t="s">
        <v>21</v>
      </c>
      <c r="C831">
        <v>727</v>
      </c>
      <c r="D831">
        <v>0.03</v>
      </c>
      <c r="E831">
        <v>0</v>
      </c>
      <c r="F831">
        <v>2</v>
      </c>
      <c r="G831" t="b">
        <v>0</v>
      </c>
      <c r="H831">
        <f>IF(inventory__Data[[#This Row],[stock_on_hand]]&lt;=0,1,0)</f>
        <v>0</v>
      </c>
      <c r="I831">
        <f>COUNTIFS(inventory__Data[product_id],inventory__Data[[#This Row],[product_id]],inventory__Data[stock_on_hand],"&lt;=0")</f>
        <v>29</v>
      </c>
    </row>
    <row r="832" spans="1:9" x14ac:dyDescent="0.3">
      <c r="A832" s="1">
        <v>45824</v>
      </c>
      <c r="B832" t="s">
        <v>9</v>
      </c>
      <c r="C832">
        <v>422</v>
      </c>
      <c r="D832">
        <v>0.05</v>
      </c>
      <c r="E832">
        <v>0</v>
      </c>
      <c r="F832">
        <v>2</v>
      </c>
      <c r="G832" t="b">
        <v>0</v>
      </c>
      <c r="H832">
        <f>IF(inventory__Data[[#This Row],[stock_on_hand]]&lt;=0,1,0)</f>
        <v>0</v>
      </c>
      <c r="I832">
        <f>COUNTIFS(inventory__Data[product_id],inventory__Data[[#This Row],[product_id]],inventory__Data[stock_on_hand],"&lt;=0")</f>
        <v>25</v>
      </c>
    </row>
    <row r="833" spans="1:9" x14ac:dyDescent="0.3">
      <c r="A833" s="1">
        <v>45824</v>
      </c>
      <c r="B833" t="s">
        <v>12</v>
      </c>
      <c r="C833">
        <v>491</v>
      </c>
      <c r="D833">
        <v>0.02</v>
      </c>
      <c r="E833">
        <v>0</v>
      </c>
      <c r="F833">
        <v>2</v>
      </c>
      <c r="G833" t="b">
        <v>0</v>
      </c>
      <c r="H833">
        <f>IF(inventory__Data[[#This Row],[stock_on_hand]]&lt;=0,1,0)</f>
        <v>0</v>
      </c>
      <c r="I833">
        <f>COUNTIFS(inventory__Data[product_id],inventory__Data[[#This Row],[product_id]],inventory__Data[stock_on_hand],"&lt;=0")</f>
        <v>23</v>
      </c>
    </row>
    <row r="834" spans="1:9" x14ac:dyDescent="0.3">
      <c r="A834" s="1">
        <v>45824</v>
      </c>
      <c r="B834" t="s">
        <v>15</v>
      </c>
      <c r="C834">
        <v>618</v>
      </c>
      <c r="D834">
        <v>0.04</v>
      </c>
      <c r="E834">
        <v>0</v>
      </c>
      <c r="F834">
        <v>2</v>
      </c>
      <c r="G834" t="b">
        <v>0</v>
      </c>
      <c r="H834">
        <f>IF(inventory__Data[[#This Row],[stock_on_hand]]&lt;=0,1,0)</f>
        <v>0</v>
      </c>
      <c r="I834">
        <f>COUNTIFS(inventory__Data[product_id],inventory__Data[[#This Row],[product_id]],inventory__Data[stock_on_hand],"&lt;=0")</f>
        <v>30</v>
      </c>
    </row>
    <row r="835" spans="1:9" x14ac:dyDescent="0.3">
      <c r="A835" s="1">
        <v>45824</v>
      </c>
      <c r="B835" t="s">
        <v>18</v>
      </c>
      <c r="C835">
        <v>314</v>
      </c>
      <c r="D835">
        <v>0.15</v>
      </c>
      <c r="E835">
        <v>0</v>
      </c>
      <c r="F835">
        <v>2</v>
      </c>
      <c r="G835" t="b">
        <v>0</v>
      </c>
      <c r="H835">
        <f>IF(inventory__Data[[#This Row],[stock_on_hand]]&lt;=0,1,0)</f>
        <v>0</v>
      </c>
      <c r="I835">
        <f>COUNTIFS(inventory__Data[product_id],inventory__Data[[#This Row],[product_id]],inventory__Data[stock_on_hand],"&lt;=0")</f>
        <v>30</v>
      </c>
    </row>
    <row r="836" spans="1:9" x14ac:dyDescent="0.3">
      <c r="A836" s="1">
        <v>45824</v>
      </c>
      <c r="B836" t="s">
        <v>21</v>
      </c>
      <c r="C836">
        <v>896</v>
      </c>
      <c r="D836">
        <v>0.03</v>
      </c>
      <c r="E836">
        <v>0</v>
      </c>
      <c r="F836">
        <v>2</v>
      </c>
      <c r="G836" t="b">
        <v>0</v>
      </c>
      <c r="H836">
        <f>IF(inventory__Data[[#This Row],[stock_on_hand]]&lt;=0,1,0)</f>
        <v>0</v>
      </c>
      <c r="I836">
        <f>COUNTIFS(inventory__Data[product_id],inventory__Data[[#This Row],[product_id]],inventory__Data[stock_on_hand],"&lt;=0")</f>
        <v>29</v>
      </c>
    </row>
    <row r="837" spans="1:9" x14ac:dyDescent="0.3">
      <c r="A837" s="1">
        <v>45825</v>
      </c>
      <c r="B837" t="s">
        <v>9</v>
      </c>
      <c r="C837">
        <v>658</v>
      </c>
      <c r="D837">
        <v>0.05</v>
      </c>
      <c r="E837">
        <v>0</v>
      </c>
      <c r="F837">
        <v>5</v>
      </c>
      <c r="G837" t="b">
        <v>0</v>
      </c>
      <c r="H837">
        <f>IF(inventory__Data[[#This Row],[stock_on_hand]]&lt;=0,1,0)</f>
        <v>0</v>
      </c>
      <c r="I837">
        <f>COUNTIFS(inventory__Data[product_id],inventory__Data[[#This Row],[product_id]],inventory__Data[stock_on_hand],"&lt;=0")</f>
        <v>25</v>
      </c>
    </row>
    <row r="838" spans="1:9" x14ac:dyDescent="0.3">
      <c r="A838" s="1">
        <v>45825</v>
      </c>
      <c r="B838" t="s">
        <v>12</v>
      </c>
      <c r="C838">
        <v>314</v>
      </c>
      <c r="D838">
        <v>0.02</v>
      </c>
      <c r="E838">
        <v>0</v>
      </c>
      <c r="F838">
        <v>5</v>
      </c>
      <c r="G838" t="b">
        <v>0</v>
      </c>
      <c r="H838">
        <f>IF(inventory__Data[[#This Row],[stock_on_hand]]&lt;=0,1,0)</f>
        <v>0</v>
      </c>
      <c r="I838">
        <f>COUNTIFS(inventory__Data[product_id],inventory__Data[[#This Row],[product_id]],inventory__Data[stock_on_hand],"&lt;=0")</f>
        <v>23</v>
      </c>
    </row>
    <row r="839" spans="1:9" x14ac:dyDescent="0.3">
      <c r="A839" s="1">
        <v>45825</v>
      </c>
      <c r="B839" t="s">
        <v>15</v>
      </c>
      <c r="C839">
        <v>301</v>
      </c>
      <c r="D839">
        <v>0.04</v>
      </c>
      <c r="E839">
        <v>0</v>
      </c>
      <c r="F839">
        <v>5</v>
      </c>
      <c r="G839" t="b">
        <v>0</v>
      </c>
      <c r="H839">
        <f>IF(inventory__Data[[#This Row],[stock_on_hand]]&lt;=0,1,0)</f>
        <v>0</v>
      </c>
      <c r="I839">
        <f>COUNTIFS(inventory__Data[product_id],inventory__Data[[#This Row],[product_id]],inventory__Data[stock_on_hand],"&lt;=0")</f>
        <v>30</v>
      </c>
    </row>
    <row r="840" spans="1:9" x14ac:dyDescent="0.3">
      <c r="A840" s="1">
        <v>45825</v>
      </c>
      <c r="B840" t="s">
        <v>18</v>
      </c>
      <c r="C840">
        <v>649</v>
      </c>
      <c r="D840">
        <v>0.15</v>
      </c>
      <c r="E840">
        <v>0</v>
      </c>
      <c r="F840">
        <v>2</v>
      </c>
      <c r="G840" t="b">
        <v>0</v>
      </c>
      <c r="H840">
        <f>IF(inventory__Data[[#This Row],[stock_on_hand]]&lt;=0,1,0)</f>
        <v>0</v>
      </c>
      <c r="I840">
        <f>COUNTIFS(inventory__Data[product_id],inventory__Data[[#This Row],[product_id]],inventory__Data[stock_on_hand],"&lt;=0")</f>
        <v>30</v>
      </c>
    </row>
    <row r="841" spans="1:9" x14ac:dyDescent="0.3">
      <c r="A841" s="1">
        <v>45825</v>
      </c>
      <c r="B841" t="s">
        <v>21</v>
      </c>
      <c r="C841">
        <v>357</v>
      </c>
      <c r="D841">
        <v>0.03</v>
      </c>
      <c r="E841">
        <v>0</v>
      </c>
      <c r="F841">
        <v>2</v>
      </c>
      <c r="G841" t="b">
        <v>0</v>
      </c>
      <c r="H841">
        <f>IF(inventory__Data[[#This Row],[stock_on_hand]]&lt;=0,1,0)</f>
        <v>0</v>
      </c>
      <c r="I841">
        <f>COUNTIFS(inventory__Data[product_id],inventory__Data[[#This Row],[product_id]],inventory__Data[stock_on_hand],"&lt;=0")</f>
        <v>29</v>
      </c>
    </row>
    <row r="842" spans="1:9" x14ac:dyDescent="0.3">
      <c r="A842" s="1">
        <v>45826</v>
      </c>
      <c r="B842" t="s">
        <v>9</v>
      </c>
      <c r="C842">
        <v>532</v>
      </c>
      <c r="D842">
        <v>0.05</v>
      </c>
      <c r="E842">
        <v>0</v>
      </c>
      <c r="F842">
        <v>5</v>
      </c>
      <c r="G842" t="b">
        <v>0</v>
      </c>
      <c r="H842">
        <f>IF(inventory__Data[[#This Row],[stock_on_hand]]&lt;=0,1,0)</f>
        <v>0</v>
      </c>
      <c r="I842">
        <f>COUNTIFS(inventory__Data[product_id],inventory__Data[[#This Row],[product_id]],inventory__Data[stock_on_hand],"&lt;=0")</f>
        <v>25</v>
      </c>
    </row>
    <row r="843" spans="1:9" x14ac:dyDescent="0.3">
      <c r="A843" s="1">
        <v>45826</v>
      </c>
      <c r="B843" t="s">
        <v>12</v>
      </c>
      <c r="C843">
        <v>594</v>
      </c>
      <c r="D843">
        <v>0.02</v>
      </c>
      <c r="E843">
        <v>0</v>
      </c>
      <c r="F843">
        <v>2</v>
      </c>
      <c r="G843" t="b">
        <v>0</v>
      </c>
      <c r="H843">
        <f>IF(inventory__Data[[#This Row],[stock_on_hand]]&lt;=0,1,0)</f>
        <v>0</v>
      </c>
      <c r="I843">
        <f>COUNTIFS(inventory__Data[product_id],inventory__Data[[#This Row],[product_id]],inventory__Data[stock_on_hand],"&lt;=0")</f>
        <v>23</v>
      </c>
    </row>
    <row r="844" spans="1:9" x14ac:dyDescent="0.3">
      <c r="A844" s="1">
        <v>45826</v>
      </c>
      <c r="B844" t="s">
        <v>15</v>
      </c>
      <c r="C844">
        <v>159</v>
      </c>
      <c r="D844">
        <v>0.04</v>
      </c>
      <c r="E844">
        <v>0</v>
      </c>
      <c r="F844">
        <v>2</v>
      </c>
      <c r="G844" t="b">
        <v>0</v>
      </c>
      <c r="H844">
        <f>IF(inventory__Data[[#This Row],[stock_on_hand]]&lt;=0,1,0)</f>
        <v>0</v>
      </c>
      <c r="I844">
        <f>COUNTIFS(inventory__Data[product_id],inventory__Data[[#This Row],[product_id]],inventory__Data[stock_on_hand],"&lt;=0")</f>
        <v>30</v>
      </c>
    </row>
    <row r="845" spans="1:9" x14ac:dyDescent="0.3">
      <c r="A845" s="1">
        <v>45826</v>
      </c>
      <c r="B845" t="s">
        <v>18</v>
      </c>
      <c r="C845">
        <v>505</v>
      </c>
      <c r="D845">
        <v>0.15</v>
      </c>
      <c r="E845">
        <v>0</v>
      </c>
      <c r="F845">
        <v>2</v>
      </c>
      <c r="G845" t="b">
        <v>0</v>
      </c>
      <c r="H845">
        <f>IF(inventory__Data[[#This Row],[stock_on_hand]]&lt;=0,1,0)</f>
        <v>0</v>
      </c>
      <c r="I845">
        <f>COUNTIFS(inventory__Data[product_id],inventory__Data[[#This Row],[product_id]],inventory__Data[stock_on_hand],"&lt;=0")</f>
        <v>30</v>
      </c>
    </row>
    <row r="846" spans="1:9" x14ac:dyDescent="0.3">
      <c r="A846" s="1">
        <v>45826</v>
      </c>
      <c r="B846" t="s">
        <v>21</v>
      </c>
      <c r="C846">
        <v>364</v>
      </c>
      <c r="D846">
        <v>0.03</v>
      </c>
      <c r="E846">
        <v>0</v>
      </c>
      <c r="F846">
        <v>2</v>
      </c>
      <c r="G846" t="b">
        <v>0</v>
      </c>
      <c r="H846">
        <f>IF(inventory__Data[[#This Row],[stock_on_hand]]&lt;=0,1,0)</f>
        <v>0</v>
      </c>
      <c r="I846">
        <f>COUNTIFS(inventory__Data[product_id],inventory__Data[[#This Row],[product_id]],inventory__Data[stock_on_hand],"&lt;=0")</f>
        <v>29</v>
      </c>
    </row>
    <row r="847" spans="1:9" x14ac:dyDescent="0.3">
      <c r="A847" s="1">
        <v>45827</v>
      </c>
      <c r="B847" t="s">
        <v>9</v>
      </c>
      <c r="C847">
        <v>516</v>
      </c>
      <c r="D847">
        <v>0.05</v>
      </c>
      <c r="E847">
        <v>0</v>
      </c>
      <c r="F847">
        <v>2</v>
      </c>
      <c r="G847" t="b">
        <v>0</v>
      </c>
      <c r="H847">
        <f>IF(inventory__Data[[#This Row],[stock_on_hand]]&lt;=0,1,0)</f>
        <v>0</v>
      </c>
      <c r="I847">
        <f>COUNTIFS(inventory__Data[product_id],inventory__Data[[#This Row],[product_id]],inventory__Data[stock_on_hand],"&lt;=0")</f>
        <v>25</v>
      </c>
    </row>
    <row r="848" spans="1:9" x14ac:dyDescent="0.3">
      <c r="A848" s="1">
        <v>45827</v>
      </c>
      <c r="B848" t="s">
        <v>12</v>
      </c>
      <c r="C848">
        <v>408</v>
      </c>
      <c r="D848">
        <v>0.02</v>
      </c>
      <c r="E848">
        <v>0</v>
      </c>
      <c r="F848">
        <v>2</v>
      </c>
      <c r="G848" t="b">
        <v>0</v>
      </c>
      <c r="H848">
        <f>IF(inventory__Data[[#This Row],[stock_on_hand]]&lt;=0,1,0)</f>
        <v>0</v>
      </c>
      <c r="I848">
        <f>COUNTIFS(inventory__Data[product_id],inventory__Data[[#This Row],[product_id]],inventory__Data[stock_on_hand],"&lt;=0")</f>
        <v>23</v>
      </c>
    </row>
    <row r="849" spans="1:9" x14ac:dyDescent="0.3">
      <c r="A849" s="1">
        <v>45827</v>
      </c>
      <c r="B849" t="s">
        <v>15</v>
      </c>
      <c r="C849">
        <v>597</v>
      </c>
      <c r="D849">
        <v>0.04</v>
      </c>
      <c r="E849">
        <v>0</v>
      </c>
      <c r="F849">
        <v>2</v>
      </c>
      <c r="G849" t="b">
        <v>0</v>
      </c>
      <c r="H849">
        <f>IF(inventory__Data[[#This Row],[stock_on_hand]]&lt;=0,1,0)</f>
        <v>0</v>
      </c>
      <c r="I849">
        <f>COUNTIFS(inventory__Data[product_id],inventory__Data[[#This Row],[product_id]],inventory__Data[stock_on_hand],"&lt;=0")</f>
        <v>30</v>
      </c>
    </row>
    <row r="850" spans="1:9" x14ac:dyDescent="0.3">
      <c r="A850" s="1">
        <v>45827</v>
      </c>
      <c r="B850" t="s">
        <v>18</v>
      </c>
      <c r="C850">
        <v>0</v>
      </c>
      <c r="D850">
        <v>0.15</v>
      </c>
      <c r="E850">
        <v>0</v>
      </c>
      <c r="F850">
        <v>2</v>
      </c>
      <c r="G850" t="b">
        <v>0</v>
      </c>
      <c r="H850">
        <f>IF(inventory__Data[[#This Row],[stock_on_hand]]&lt;=0,1,0)</f>
        <v>1</v>
      </c>
      <c r="I850">
        <f>COUNTIFS(inventory__Data[product_id],inventory__Data[[#This Row],[product_id]],inventory__Data[stock_on_hand],"&lt;=0")</f>
        <v>30</v>
      </c>
    </row>
    <row r="851" spans="1:9" x14ac:dyDescent="0.3">
      <c r="A851" s="1">
        <v>45827</v>
      </c>
      <c r="B851" t="s">
        <v>21</v>
      </c>
      <c r="C851">
        <v>333</v>
      </c>
      <c r="D851">
        <v>0.03</v>
      </c>
      <c r="E851">
        <v>0</v>
      </c>
      <c r="F851">
        <v>5</v>
      </c>
      <c r="G851" t="b">
        <v>0</v>
      </c>
      <c r="H851">
        <f>IF(inventory__Data[[#This Row],[stock_on_hand]]&lt;=0,1,0)</f>
        <v>0</v>
      </c>
      <c r="I851">
        <f>COUNTIFS(inventory__Data[product_id],inventory__Data[[#This Row],[product_id]],inventory__Data[stock_on_hand],"&lt;=0")</f>
        <v>29</v>
      </c>
    </row>
    <row r="852" spans="1:9" x14ac:dyDescent="0.3">
      <c r="A852" s="1">
        <v>45828</v>
      </c>
      <c r="B852" t="s">
        <v>9</v>
      </c>
      <c r="C852">
        <v>607</v>
      </c>
      <c r="D852">
        <v>0.05</v>
      </c>
      <c r="E852">
        <v>0</v>
      </c>
      <c r="F852">
        <v>2</v>
      </c>
      <c r="G852" t="b">
        <v>0</v>
      </c>
      <c r="H852">
        <f>IF(inventory__Data[[#This Row],[stock_on_hand]]&lt;=0,1,0)</f>
        <v>0</v>
      </c>
      <c r="I852">
        <f>COUNTIFS(inventory__Data[product_id],inventory__Data[[#This Row],[product_id]],inventory__Data[stock_on_hand],"&lt;=0")</f>
        <v>25</v>
      </c>
    </row>
    <row r="853" spans="1:9" x14ac:dyDescent="0.3">
      <c r="A853" s="1">
        <v>45828</v>
      </c>
      <c r="B853" t="s">
        <v>12</v>
      </c>
      <c r="C853">
        <v>695</v>
      </c>
      <c r="D853">
        <v>0.02</v>
      </c>
      <c r="E853">
        <v>0</v>
      </c>
      <c r="F853">
        <v>15</v>
      </c>
      <c r="G853" t="b">
        <v>0</v>
      </c>
      <c r="H853">
        <f>IF(inventory__Data[[#This Row],[stock_on_hand]]&lt;=0,1,0)</f>
        <v>0</v>
      </c>
      <c r="I853">
        <f>COUNTIFS(inventory__Data[product_id],inventory__Data[[#This Row],[product_id]],inventory__Data[stock_on_hand],"&lt;=0")</f>
        <v>23</v>
      </c>
    </row>
    <row r="854" spans="1:9" x14ac:dyDescent="0.3">
      <c r="A854" s="1">
        <v>45828</v>
      </c>
      <c r="B854" t="s">
        <v>15</v>
      </c>
      <c r="C854">
        <v>850</v>
      </c>
      <c r="D854">
        <v>0.04</v>
      </c>
      <c r="E854">
        <v>0</v>
      </c>
      <c r="F854">
        <v>2</v>
      </c>
      <c r="G854" t="b">
        <v>0</v>
      </c>
      <c r="H854">
        <f>IF(inventory__Data[[#This Row],[stock_on_hand]]&lt;=0,1,0)</f>
        <v>0</v>
      </c>
      <c r="I854">
        <f>COUNTIFS(inventory__Data[product_id],inventory__Data[[#This Row],[product_id]],inventory__Data[stock_on_hand],"&lt;=0")</f>
        <v>30</v>
      </c>
    </row>
    <row r="855" spans="1:9" x14ac:dyDescent="0.3">
      <c r="A855" s="1">
        <v>45828</v>
      </c>
      <c r="B855" t="s">
        <v>18</v>
      </c>
      <c r="C855">
        <v>14</v>
      </c>
      <c r="D855">
        <v>0.15</v>
      </c>
      <c r="E855">
        <v>0</v>
      </c>
      <c r="F855">
        <v>2</v>
      </c>
      <c r="G855" t="b">
        <v>0</v>
      </c>
      <c r="H855">
        <f>IF(inventory__Data[[#This Row],[stock_on_hand]]&lt;=0,1,0)</f>
        <v>0</v>
      </c>
      <c r="I855">
        <f>COUNTIFS(inventory__Data[product_id],inventory__Data[[#This Row],[product_id]],inventory__Data[stock_on_hand],"&lt;=0")</f>
        <v>30</v>
      </c>
    </row>
    <row r="856" spans="1:9" x14ac:dyDescent="0.3">
      <c r="A856" s="1">
        <v>45828</v>
      </c>
      <c r="B856" t="s">
        <v>21</v>
      </c>
      <c r="C856">
        <v>848</v>
      </c>
      <c r="D856">
        <v>0.03</v>
      </c>
      <c r="E856">
        <v>0</v>
      </c>
      <c r="F856">
        <v>2</v>
      </c>
      <c r="G856" t="b">
        <v>0</v>
      </c>
      <c r="H856">
        <f>IF(inventory__Data[[#This Row],[stock_on_hand]]&lt;=0,1,0)</f>
        <v>0</v>
      </c>
      <c r="I856">
        <f>COUNTIFS(inventory__Data[product_id],inventory__Data[[#This Row],[product_id]],inventory__Data[stock_on_hand],"&lt;=0")</f>
        <v>29</v>
      </c>
    </row>
    <row r="857" spans="1:9" x14ac:dyDescent="0.3">
      <c r="A857" s="1">
        <v>45829</v>
      </c>
      <c r="B857" t="s">
        <v>9</v>
      </c>
      <c r="C857">
        <v>274</v>
      </c>
      <c r="D857">
        <v>0.05</v>
      </c>
      <c r="E857">
        <v>0</v>
      </c>
      <c r="F857">
        <v>2</v>
      </c>
      <c r="G857" t="b">
        <v>0</v>
      </c>
      <c r="H857">
        <f>IF(inventory__Data[[#This Row],[stock_on_hand]]&lt;=0,1,0)</f>
        <v>0</v>
      </c>
      <c r="I857">
        <f>COUNTIFS(inventory__Data[product_id],inventory__Data[[#This Row],[product_id]],inventory__Data[stock_on_hand],"&lt;=0")</f>
        <v>25</v>
      </c>
    </row>
    <row r="858" spans="1:9" x14ac:dyDescent="0.3">
      <c r="A858" s="1">
        <v>45829</v>
      </c>
      <c r="B858" t="s">
        <v>12</v>
      </c>
      <c r="C858">
        <v>152</v>
      </c>
      <c r="D858">
        <v>0.02</v>
      </c>
      <c r="E858">
        <v>0</v>
      </c>
      <c r="F858">
        <v>5</v>
      </c>
      <c r="G858" t="b">
        <v>0</v>
      </c>
      <c r="H858">
        <f>IF(inventory__Data[[#This Row],[stock_on_hand]]&lt;=0,1,0)</f>
        <v>0</v>
      </c>
      <c r="I858">
        <f>COUNTIFS(inventory__Data[product_id],inventory__Data[[#This Row],[product_id]],inventory__Data[stock_on_hand],"&lt;=0")</f>
        <v>23</v>
      </c>
    </row>
    <row r="859" spans="1:9" x14ac:dyDescent="0.3">
      <c r="A859" s="1">
        <v>45829</v>
      </c>
      <c r="B859" t="s">
        <v>15</v>
      </c>
      <c r="C859">
        <v>145</v>
      </c>
      <c r="D859">
        <v>0.04</v>
      </c>
      <c r="E859">
        <v>0</v>
      </c>
      <c r="F859">
        <v>2</v>
      </c>
      <c r="G859" t="b">
        <v>0</v>
      </c>
      <c r="H859">
        <f>IF(inventory__Data[[#This Row],[stock_on_hand]]&lt;=0,1,0)</f>
        <v>0</v>
      </c>
      <c r="I859">
        <f>COUNTIFS(inventory__Data[product_id],inventory__Data[[#This Row],[product_id]],inventory__Data[stock_on_hand],"&lt;=0")</f>
        <v>30</v>
      </c>
    </row>
    <row r="860" spans="1:9" x14ac:dyDescent="0.3">
      <c r="A860" s="1">
        <v>45829</v>
      </c>
      <c r="B860" t="s">
        <v>18</v>
      </c>
      <c r="C860">
        <v>877</v>
      </c>
      <c r="D860">
        <v>0.15</v>
      </c>
      <c r="E860">
        <v>0</v>
      </c>
      <c r="F860">
        <v>2</v>
      </c>
      <c r="G860" t="b">
        <v>0</v>
      </c>
      <c r="H860">
        <f>IF(inventory__Data[[#This Row],[stock_on_hand]]&lt;=0,1,0)</f>
        <v>0</v>
      </c>
      <c r="I860">
        <f>COUNTIFS(inventory__Data[product_id],inventory__Data[[#This Row],[product_id]],inventory__Data[stock_on_hand],"&lt;=0")</f>
        <v>30</v>
      </c>
    </row>
    <row r="861" spans="1:9" x14ac:dyDescent="0.3">
      <c r="A861" s="1">
        <v>45829</v>
      </c>
      <c r="B861" t="s">
        <v>21</v>
      </c>
      <c r="C861">
        <v>99</v>
      </c>
      <c r="D861">
        <v>0.03</v>
      </c>
      <c r="E861">
        <v>0</v>
      </c>
      <c r="F861">
        <v>2</v>
      </c>
      <c r="G861" t="b">
        <v>0</v>
      </c>
      <c r="H861">
        <f>IF(inventory__Data[[#This Row],[stock_on_hand]]&lt;=0,1,0)</f>
        <v>0</v>
      </c>
      <c r="I861">
        <f>COUNTIFS(inventory__Data[product_id],inventory__Data[[#This Row],[product_id]],inventory__Data[stock_on_hand],"&lt;=0")</f>
        <v>29</v>
      </c>
    </row>
    <row r="862" spans="1:9" x14ac:dyDescent="0.3">
      <c r="A862" s="1">
        <v>45830</v>
      </c>
      <c r="B862" t="s">
        <v>9</v>
      </c>
      <c r="C862">
        <v>171</v>
      </c>
      <c r="D862">
        <v>0.05</v>
      </c>
      <c r="E862">
        <v>0</v>
      </c>
      <c r="F862">
        <v>5</v>
      </c>
      <c r="G862" t="b">
        <v>0</v>
      </c>
      <c r="H862">
        <f>IF(inventory__Data[[#This Row],[stock_on_hand]]&lt;=0,1,0)</f>
        <v>0</v>
      </c>
      <c r="I862">
        <f>COUNTIFS(inventory__Data[product_id],inventory__Data[[#This Row],[product_id]],inventory__Data[stock_on_hand],"&lt;=0")</f>
        <v>25</v>
      </c>
    </row>
    <row r="863" spans="1:9" x14ac:dyDescent="0.3">
      <c r="A863" s="1">
        <v>45830</v>
      </c>
      <c r="B863" t="s">
        <v>12</v>
      </c>
      <c r="C863">
        <v>54</v>
      </c>
      <c r="D863">
        <v>0.02</v>
      </c>
      <c r="E863">
        <v>0</v>
      </c>
      <c r="F863">
        <v>5</v>
      </c>
      <c r="G863" t="b">
        <v>0</v>
      </c>
      <c r="H863">
        <f>IF(inventory__Data[[#This Row],[stock_on_hand]]&lt;=0,1,0)</f>
        <v>0</v>
      </c>
      <c r="I863">
        <f>COUNTIFS(inventory__Data[product_id],inventory__Data[[#This Row],[product_id]],inventory__Data[stock_on_hand],"&lt;=0")</f>
        <v>23</v>
      </c>
    </row>
    <row r="864" spans="1:9" x14ac:dyDescent="0.3">
      <c r="A864" s="1">
        <v>45830</v>
      </c>
      <c r="B864" t="s">
        <v>15</v>
      </c>
      <c r="C864">
        <v>91</v>
      </c>
      <c r="D864">
        <v>0.04</v>
      </c>
      <c r="E864">
        <v>0</v>
      </c>
      <c r="F864">
        <v>5</v>
      </c>
      <c r="G864" t="b">
        <v>0</v>
      </c>
      <c r="H864">
        <f>IF(inventory__Data[[#This Row],[stock_on_hand]]&lt;=0,1,0)</f>
        <v>0</v>
      </c>
      <c r="I864">
        <f>COUNTIFS(inventory__Data[product_id],inventory__Data[[#This Row],[product_id]],inventory__Data[stock_on_hand],"&lt;=0")</f>
        <v>30</v>
      </c>
    </row>
    <row r="865" spans="1:9" x14ac:dyDescent="0.3">
      <c r="A865" s="1">
        <v>45830</v>
      </c>
      <c r="B865" t="s">
        <v>18</v>
      </c>
      <c r="C865">
        <v>479</v>
      </c>
      <c r="D865">
        <v>0.15</v>
      </c>
      <c r="E865">
        <v>0</v>
      </c>
      <c r="F865">
        <v>15</v>
      </c>
      <c r="G865" t="b">
        <v>0</v>
      </c>
      <c r="H865">
        <f>IF(inventory__Data[[#This Row],[stock_on_hand]]&lt;=0,1,0)</f>
        <v>0</v>
      </c>
      <c r="I865">
        <f>COUNTIFS(inventory__Data[product_id],inventory__Data[[#This Row],[product_id]],inventory__Data[stock_on_hand],"&lt;=0")</f>
        <v>30</v>
      </c>
    </row>
    <row r="866" spans="1:9" x14ac:dyDescent="0.3">
      <c r="A866" s="1">
        <v>45830</v>
      </c>
      <c r="B866" t="s">
        <v>21</v>
      </c>
      <c r="C866">
        <v>0</v>
      </c>
      <c r="D866">
        <v>0.03</v>
      </c>
      <c r="E866">
        <v>0</v>
      </c>
      <c r="F866">
        <v>2</v>
      </c>
      <c r="G866" t="b">
        <v>0</v>
      </c>
      <c r="H866">
        <f>IF(inventory__Data[[#This Row],[stock_on_hand]]&lt;=0,1,0)</f>
        <v>1</v>
      </c>
      <c r="I866">
        <f>COUNTIFS(inventory__Data[product_id],inventory__Data[[#This Row],[product_id]],inventory__Data[stock_on_hand],"&lt;=0")</f>
        <v>29</v>
      </c>
    </row>
    <row r="867" spans="1:9" x14ac:dyDescent="0.3">
      <c r="A867" s="1">
        <v>45831</v>
      </c>
      <c r="B867" t="s">
        <v>9</v>
      </c>
      <c r="C867">
        <v>664</v>
      </c>
      <c r="D867">
        <v>0.05</v>
      </c>
      <c r="E867">
        <v>0</v>
      </c>
      <c r="F867">
        <v>2</v>
      </c>
      <c r="G867" t="b">
        <v>0</v>
      </c>
      <c r="H867">
        <f>IF(inventory__Data[[#This Row],[stock_on_hand]]&lt;=0,1,0)</f>
        <v>0</v>
      </c>
      <c r="I867">
        <f>COUNTIFS(inventory__Data[product_id],inventory__Data[[#This Row],[product_id]],inventory__Data[stock_on_hand],"&lt;=0")</f>
        <v>25</v>
      </c>
    </row>
    <row r="868" spans="1:9" x14ac:dyDescent="0.3">
      <c r="A868" s="1">
        <v>45831</v>
      </c>
      <c r="B868" t="s">
        <v>12</v>
      </c>
      <c r="C868">
        <v>77</v>
      </c>
      <c r="D868">
        <v>0.02</v>
      </c>
      <c r="E868">
        <v>0</v>
      </c>
      <c r="F868">
        <v>2</v>
      </c>
      <c r="G868" t="b">
        <v>0</v>
      </c>
      <c r="H868">
        <f>IF(inventory__Data[[#This Row],[stock_on_hand]]&lt;=0,1,0)</f>
        <v>0</v>
      </c>
      <c r="I868">
        <f>COUNTIFS(inventory__Data[product_id],inventory__Data[[#This Row],[product_id]],inventory__Data[stock_on_hand],"&lt;=0")</f>
        <v>23</v>
      </c>
    </row>
    <row r="869" spans="1:9" x14ac:dyDescent="0.3">
      <c r="A869" s="1">
        <v>45831</v>
      </c>
      <c r="B869" t="s">
        <v>15</v>
      </c>
      <c r="C869">
        <v>102</v>
      </c>
      <c r="D869">
        <v>0.04</v>
      </c>
      <c r="E869">
        <v>0</v>
      </c>
      <c r="F869">
        <v>2</v>
      </c>
      <c r="G869" t="b">
        <v>0</v>
      </c>
      <c r="H869">
        <f>IF(inventory__Data[[#This Row],[stock_on_hand]]&lt;=0,1,0)</f>
        <v>0</v>
      </c>
      <c r="I869">
        <f>COUNTIFS(inventory__Data[product_id],inventory__Data[[#This Row],[product_id]],inventory__Data[stock_on_hand],"&lt;=0")</f>
        <v>30</v>
      </c>
    </row>
    <row r="870" spans="1:9" x14ac:dyDescent="0.3">
      <c r="A870" s="1">
        <v>45831</v>
      </c>
      <c r="B870" t="s">
        <v>18</v>
      </c>
      <c r="C870">
        <v>786</v>
      </c>
      <c r="D870">
        <v>0.15</v>
      </c>
      <c r="E870">
        <v>0</v>
      </c>
      <c r="F870">
        <v>5</v>
      </c>
      <c r="G870" t="b">
        <v>0</v>
      </c>
      <c r="H870">
        <f>IF(inventory__Data[[#This Row],[stock_on_hand]]&lt;=0,1,0)</f>
        <v>0</v>
      </c>
      <c r="I870">
        <f>COUNTIFS(inventory__Data[product_id],inventory__Data[[#This Row],[product_id]],inventory__Data[stock_on_hand],"&lt;=0")</f>
        <v>30</v>
      </c>
    </row>
    <row r="871" spans="1:9" x14ac:dyDescent="0.3">
      <c r="A871" s="1">
        <v>45831</v>
      </c>
      <c r="B871" t="s">
        <v>21</v>
      </c>
      <c r="C871">
        <v>732</v>
      </c>
      <c r="D871">
        <v>0.03</v>
      </c>
      <c r="E871">
        <v>0</v>
      </c>
      <c r="F871">
        <v>5</v>
      </c>
      <c r="G871" t="b">
        <v>0</v>
      </c>
      <c r="H871">
        <f>IF(inventory__Data[[#This Row],[stock_on_hand]]&lt;=0,1,0)</f>
        <v>0</v>
      </c>
      <c r="I871">
        <f>COUNTIFS(inventory__Data[product_id],inventory__Data[[#This Row],[product_id]],inventory__Data[stock_on_hand],"&lt;=0")</f>
        <v>29</v>
      </c>
    </row>
    <row r="872" spans="1:9" x14ac:dyDescent="0.3">
      <c r="A872" s="1">
        <v>45832</v>
      </c>
      <c r="B872" t="s">
        <v>9</v>
      </c>
      <c r="C872">
        <v>475</v>
      </c>
      <c r="D872">
        <v>0.05</v>
      </c>
      <c r="E872">
        <v>0</v>
      </c>
      <c r="F872">
        <v>2</v>
      </c>
      <c r="G872" t="b">
        <v>0</v>
      </c>
      <c r="H872">
        <f>IF(inventory__Data[[#This Row],[stock_on_hand]]&lt;=0,1,0)</f>
        <v>0</v>
      </c>
      <c r="I872">
        <f>COUNTIFS(inventory__Data[product_id],inventory__Data[[#This Row],[product_id]],inventory__Data[stock_on_hand],"&lt;=0")</f>
        <v>25</v>
      </c>
    </row>
    <row r="873" spans="1:9" x14ac:dyDescent="0.3">
      <c r="A873" s="1">
        <v>45832</v>
      </c>
      <c r="B873" t="s">
        <v>12</v>
      </c>
      <c r="C873">
        <v>868</v>
      </c>
      <c r="D873">
        <v>0.02</v>
      </c>
      <c r="E873">
        <v>0</v>
      </c>
      <c r="F873">
        <v>2</v>
      </c>
      <c r="G873" t="b">
        <v>0</v>
      </c>
      <c r="H873">
        <f>IF(inventory__Data[[#This Row],[stock_on_hand]]&lt;=0,1,0)</f>
        <v>0</v>
      </c>
      <c r="I873">
        <f>COUNTIFS(inventory__Data[product_id],inventory__Data[[#This Row],[product_id]],inventory__Data[stock_on_hand],"&lt;=0")</f>
        <v>23</v>
      </c>
    </row>
    <row r="874" spans="1:9" x14ac:dyDescent="0.3">
      <c r="A874" s="1">
        <v>45832</v>
      </c>
      <c r="B874" t="s">
        <v>15</v>
      </c>
      <c r="C874">
        <v>311</v>
      </c>
      <c r="D874">
        <v>0.04</v>
      </c>
      <c r="E874">
        <v>0</v>
      </c>
      <c r="F874">
        <v>2</v>
      </c>
      <c r="G874" t="b">
        <v>0</v>
      </c>
      <c r="H874">
        <f>IF(inventory__Data[[#This Row],[stock_on_hand]]&lt;=0,1,0)</f>
        <v>0</v>
      </c>
      <c r="I874">
        <f>COUNTIFS(inventory__Data[product_id],inventory__Data[[#This Row],[product_id]],inventory__Data[stock_on_hand],"&lt;=0")</f>
        <v>30</v>
      </c>
    </row>
    <row r="875" spans="1:9" x14ac:dyDescent="0.3">
      <c r="A875" s="1">
        <v>45832</v>
      </c>
      <c r="B875" t="s">
        <v>18</v>
      </c>
      <c r="C875">
        <v>381</v>
      </c>
      <c r="D875">
        <v>0.15</v>
      </c>
      <c r="E875">
        <v>0</v>
      </c>
      <c r="F875">
        <v>2</v>
      </c>
      <c r="G875" t="b">
        <v>0</v>
      </c>
      <c r="H875">
        <f>IF(inventory__Data[[#This Row],[stock_on_hand]]&lt;=0,1,0)</f>
        <v>0</v>
      </c>
      <c r="I875">
        <f>COUNTIFS(inventory__Data[product_id],inventory__Data[[#This Row],[product_id]],inventory__Data[stock_on_hand],"&lt;=0")</f>
        <v>30</v>
      </c>
    </row>
    <row r="876" spans="1:9" x14ac:dyDescent="0.3">
      <c r="A876" s="1">
        <v>45832</v>
      </c>
      <c r="B876" t="s">
        <v>21</v>
      </c>
      <c r="C876">
        <v>158</v>
      </c>
      <c r="D876">
        <v>0.03</v>
      </c>
      <c r="E876">
        <v>0</v>
      </c>
      <c r="F876">
        <v>2</v>
      </c>
      <c r="G876" t="b">
        <v>0</v>
      </c>
      <c r="H876">
        <f>IF(inventory__Data[[#This Row],[stock_on_hand]]&lt;=0,1,0)</f>
        <v>0</v>
      </c>
      <c r="I876">
        <f>COUNTIFS(inventory__Data[product_id],inventory__Data[[#This Row],[product_id]],inventory__Data[stock_on_hand],"&lt;=0")</f>
        <v>29</v>
      </c>
    </row>
    <row r="877" spans="1:9" x14ac:dyDescent="0.3">
      <c r="A877" s="1">
        <v>45833</v>
      </c>
      <c r="B877" t="s">
        <v>9</v>
      </c>
      <c r="C877">
        <v>839</v>
      </c>
      <c r="D877">
        <v>0.05</v>
      </c>
      <c r="E877">
        <v>0</v>
      </c>
      <c r="F877">
        <v>2</v>
      </c>
      <c r="G877" t="b">
        <v>0</v>
      </c>
      <c r="H877">
        <f>IF(inventory__Data[[#This Row],[stock_on_hand]]&lt;=0,1,0)</f>
        <v>0</v>
      </c>
      <c r="I877">
        <f>COUNTIFS(inventory__Data[product_id],inventory__Data[[#This Row],[product_id]],inventory__Data[stock_on_hand],"&lt;=0")</f>
        <v>25</v>
      </c>
    </row>
    <row r="878" spans="1:9" x14ac:dyDescent="0.3">
      <c r="A878" s="1">
        <v>45833</v>
      </c>
      <c r="B878" t="s">
        <v>12</v>
      </c>
      <c r="C878">
        <v>655</v>
      </c>
      <c r="D878">
        <v>0.02</v>
      </c>
      <c r="E878">
        <v>0</v>
      </c>
      <c r="F878">
        <v>10</v>
      </c>
      <c r="G878" t="b">
        <v>0</v>
      </c>
      <c r="H878">
        <f>IF(inventory__Data[[#This Row],[stock_on_hand]]&lt;=0,1,0)</f>
        <v>0</v>
      </c>
      <c r="I878">
        <f>COUNTIFS(inventory__Data[product_id],inventory__Data[[#This Row],[product_id]],inventory__Data[stock_on_hand],"&lt;=0")</f>
        <v>23</v>
      </c>
    </row>
    <row r="879" spans="1:9" x14ac:dyDescent="0.3">
      <c r="A879" s="1">
        <v>45833</v>
      </c>
      <c r="B879" t="s">
        <v>15</v>
      </c>
      <c r="C879">
        <v>326</v>
      </c>
      <c r="D879">
        <v>0.04</v>
      </c>
      <c r="E879">
        <v>0</v>
      </c>
      <c r="F879">
        <v>2</v>
      </c>
      <c r="G879" t="b">
        <v>0</v>
      </c>
      <c r="H879">
        <f>IF(inventory__Data[[#This Row],[stock_on_hand]]&lt;=0,1,0)</f>
        <v>0</v>
      </c>
      <c r="I879">
        <f>COUNTIFS(inventory__Data[product_id],inventory__Data[[#This Row],[product_id]],inventory__Data[stock_on_hand],"&lt;=0")</f>
        <v>30</v>
      </c>
    </row>
    <row r="880" spans="1:9" x14ac:dyDescent="0.3">
      <c r="A880" s="1">
        <v>45833</v>
      </c>
      <c r="B880" t="s">
        <v>18</v>
      </c>
      <c r="C880">
        <v>735</v>
      </c>
      <c r="D880">
        <v>0.15</v>
      </c>
      <c r="E880">
        <v>0</v>
      </c>
      <c r="F880">
        <v>2</v>
      </c>
      <c r="G880" t="b">
        <v>0</v>
      </c>
      <c r="H880">
        <f>IF(inventory__Data[[#This Row],[stock_on_hand]]&lt;=0,1,0)</f>
        <v>0</v>
      </c>
      <c r="I880">
        <f>COUNTIFS(inventory__Data[product_id],inventory__Data[[#This Row],[product_id]],inventory__Data[stock_on_hand],"&lt;=0")</f>
        <v>30</v>
      </c>
    </row>
    <row r="881" spans="1:9" x14ac:dyDescent="0.3">
      <c r="A881" s="1">
        <v>45833</v>
      </c>
      <c r="B881" t="s">
        <v>21</v>
      </c>
      <c r="C881">
        <v>680</v>
      </c>
      <c r="D881">
        <v>0.03</v>
      </c>
      <c r="E881">
        <v>0</v>
      </c>
      <c r="F881">
        <v>5</v>
      </c>
      <c r="G881" t="b">
        <v>0</v>
      </c>
      <c r="H881">
        <f>IF(inventory__Data[[#This Row],[stock_on_hand]]&lt;=0,1,0)</f>
        <v>0</v>
      </c>
      <c r="I881">
        <f>COUNTIFS(inventory__Data[product_id],inventory__Data[[#This Row],[product_id]],inventory__Data[stock_on_hand],"&lt;=0")</f>
        <v>29</v>
      </c>
    </row>
    <row r="882" spans="1:9" x14ac:dyDescent="0.3">
      <c r="A882" s="1">
        <v>45834</v>
      </c>
      <c r="B882" t="s">
        <v>9</v>
      </c>
      <c r="C882">
        <v>171</v>
      </c>
      <c r="D882">
        <v>0.05</v>
      </c>
      <c r="E882">
        <v>0</v>
      </c>
      <c r="F882">
        <v>5</v>
      </c>
      <c r="G882" t="b">
        <v>0</v>
      </c>
      <c r="H882">
        <f>IF(inventory__Data[[#This Row],[stock_on_hand]]&lt;=0,1,0)</f>
        <v>0</v>
      </c>
      <c r="I882">
        <f>COUNTIFS(inventory__Data[product_id],inventory__Data[[#This Row],[product_id]],inventory__Data[stock_on_hand],"&lt;=0")</f>
        <v>25</v>
      </c>
    </row>
    <row r="883" spans="1:9" x14ac:dyDescent="0.3">
      <c r="A883" s="1">
        <v>45834</v>
      </c>
      <c r="B883" t="s">
        <v>12</v>
      </c>
      <c r="C883">
        <v>550</v>
      </c>
      <c r="D883">
        <v>0.02</v>
      </c>
      <c r="E883">
        <v>0</v>
      </c>
      <c r="F883">
        <v>2</v>
      </c>
      <c r="G883" t="b">
        <v>0</v>
      </c>
      <c r="H883">
        <f>IF(inventory__Data[[#This Row],[stock_on_hand]]&lt;=0,1,0)</f>
        <v>0</v>
      </c>
      <c r="I883">
        <f>COUNTIFS(inventory__Data[product_id],inventory__Data[[#This Row],[product_id]],inventory__Data[stock_on_hand],"&lt;=0")</f>
        <v>23</v>
      </c>
    </row>
    <row r="884" spans="1:9" x14ac:dyDescent="0.3">
      <c r="A884" s="1">
        <v>45834</v>
      </c>
      <c r="B884" t="s">
        <v>15</v>
      </c>
      <c r="C884">
        <v>323</v>
      </c>
      <c r="D884">
        <v>0.04</v>
      </c>
      <c r="E884">
        <v>0</v>
      </c>
      <c r="F884">
        <v>2</v>
      </c>
      <c r="G884" t="b">
        <v>0</v>
      </c>
      <c r="H884">
        <f>IF(inventory__Data[[#This Row],[stock_on_hand]]&lt;=0,1,0)</f>
        <v>0</v>
      </c>
      <c r="I884">
        <f>COUNTIFS(inventory__Data[product_id],inventory__Data[[#This Row],[product_id]],inventory__Data[stock_on_hand],"&lt;=0")</f>
        <v>30</v>
      </c>
    </row>
    <row r="885" spans="1:9" x14ac:dyDescent="0.3">
      <c r="A885" s="1">
        <v>45834</v>
      </c>
      <c r="B885" t="s">
        <v>18</v>
      </c>
      <c r="C885">
        <v>142</v>
      </c>
      <c r="D885">
        <v>0.15</v>
      </c>
      <c r="E885">
        <v>0</v>
      </c>
      <c r="F885">
        <v>2</v>
      </c>
      <c r="G885" t="b">
        <v>0</v>
      </c>
      <c r="H885">
        <f>IF(inventory__Data[[#This Row],[stock_on_hand]]&lt;=0,1,0)</f>
        <v>0</v>
      </c>
      <c r="I885">
        <f>COUNTIFS(inventory__Data[product_id],inventory__Data[[#This Row],[product_id]],inventory__Data[stock_on_hand],"&lt;=0")</f>
        <v>30</v>
      </c>
    </row>
    <row r="886" spans="1:9" x14ac:dyDescent="0.3">
      <c r="A886" s="1">
        <v>45834</v>
      </c>
      <c r="B886" t="s">
        <v>21</v>
      </c>
      <c r="C886">
        <v>269</v>
      </c>
      <c r="D886">
        <v>0.03</v>
      </c>
      <c r="E886">
        <v>0</v>
      </c>
      <c r="F886">
        <v>5</v>
      </c>
      <c r="G886" t="b">
        <v>0</v>
      </c>
      <c r="H886">
        <f>IF(inventory__Data[[#This Row],[stock_on_hand]]&lt;=0,1,0)</f>
        <v>0</v>
      </c>
      <c r="I886">
        <f>COUNTIFS(inventory__Data[product_id],inventory__Data[[#This Row],[product_id]],inventory__Data[stock_on_hand],"&lt;=0")</f>
        <v>29</v>
      </c>
    </row>
    <row r="887" spans="1:9" x14ac:dyDescent="0.3">
      <c r="A887" s="1">
        <v>45835</v>
      </c>
      <c r="B887" t="s">
        <v>9</v>
      </c>
      <c r="C887">
        <v>241</v>
      </c>
      <c r="D887">
        <v>0.05</v>
      </c>
      <c r="E887">
        <v>0</v>
      </c>
      <c r="F887">
        <v>2</v>
      </c>
      <c r="G887" t="b">
        <v>0</v>
      </c>
      <c r="H887">
        <f>IF(inventory__Data[[#This Row],[stock_on_hand]]&lt;=0,1,0)</f>
        <v>0</v>
      </c>
      <c r="I887">
        <f>COUNTIFS(inventory__Data[product_id],inventory__Data[[#This Row],[product_id]],inventory__Data[stock_on_hand],"&lt;=0")</f>
        <v>25</v>
      </c>
    </row>
    <row r="888" spans="1:9" x14ac:dyDescent="0.3">
      <c r="A888" s="1">
        <v>45835</v>
      </c>
      <c r="B888" t="s">
        <v>12</v>
      </c>
      <c r="C888">
        <v>567</v>
      </c>
      <c r="D888">
        <v>0.02</v>
      </c>
      <c r="E888">
        <v>0</v>
      </c>
      <c r="F888">
        <v>2</v>
      </c>
      <c r="G888" t="b">
        <v>0</v>
      </c>
      <c r="H888">
        <f>IF(inventory__Data[[#This Row],[stock_on_hand]]&lt;=0,1,0)</f>
        <v>0</v>
      </c>
      <c r="I888">
        <f>COUNTIFS(inventory__Data[product_id],inventory__Data[[#This Row],[product_id]],inventory__Data[stock_on_hand],"&lt;=0")</f>
        <v>23</v>
      </c>
    </row>
    <row r="889" spans="1:9" x14ac:dyDescent="0.3">
      <c r="A889" s="1">
        <v>45835</v>
      </c>
      <c r="B889" t="s">
        <v>15</v>
      </c>
      <c r="C889">
        <v>0</v>
      </c>
      <c r="D889">
        <v>0.04</v>
      </c>
      <c r="E889">
        <v>0</v>
      </c>
      <c r="F889">
        <v>5</v>
      </c>
      <c r="G889" t="b">
        <v>0</v>
      </c>
      <c r="H889">
        <f>IF(inventory__Data[[#This Row],[stock_on_hand]]&lt;=0,1,0)</f>
        <v>1</v>
      </c>
      <c r="I889">
        <f>COUNTIFS(inventory__Data[product_id],inventory__Data[[#This Row],[product_id]],inventory__Data[stock_on_hand],"&lt;=0")</f>
        <v>30</v>
      </c>
    </row>
    <row r="890" spans="1:9" x14ac:dyDescent="0.3">
      <c r="A890" s="1">
        <v>45835</v>
      </c>
      <c r="B890" t="s">
        <v>18</v>
      </c>
      <c r="C890">
        <v>334</v>
      </c>
      <c r="D890">
        <v>0.15</v>
      </c>
      <c r="E890">
        <v>0</v>
      </c>
      <c r="F890">
        <v>15</v>
      </c>
      <c r="G890" t="b">
        <v>0</v>
      </c>
      <c r="H890">
        <f>IF(inventory__Data[[#This Row],[stock_on_hand]]&lt;=0,1,0)</f>
        <v>0</v>
      </c>
      <c r="I890">
        <f>COUNTIFS(inventory__Data[product_id],inventory__Data[[#This Row],[product_id]],inventory__Data[stock_on_hand],"&lt;=0")</f>
        <v>30</v>
      </c>
    </row>
    <row r="891" spans="1:9" x14ac:dyDescent="0.3">
      <c r="A891" s="1">
        <v>45835</v>
      </c>
      <c r="B891" t="s">
        <v>21</v>
      </c>
      <c r="C891">
        <v>822</v>
      </c>
      <c r="D891">
        <v>0.03</v>
      </c>
      <c r="E891">
        <v>0</v>
      </c>
      <c r="F891">
        <v>2</v>
      </c>
      <c r="G891" t="b">
        <v>0</v>
      </c>
      <c r="H891">
        <f>IF(inventory__Data[[#This Row],[stock_on_hand]]&lt;=0,1,0)</f>
        <v>0</v>
      </c>
      <c r="I891">
        <f>COUNTIFS(inventory__Data[product_id],inventory__Data[[#This Row],[product_id]],inventory__Data[stock_on_hand],"&lt;=0")</f>
        <v>29</v>
      </c>
    </row>
    <row r="892" spans="1:9" x14ac:dyDescent="0.3">
      <c r="A892" s="1">
        <v>45836</v>
      </c>
      <c r="B892" t="s">
        <v>9</v>
      </c>
      <c r="C892">
        <v>883</v>
      </c>
      <c r="D892">
        <v>0.05</v>
      </c>
      <c r="E892">
        <v>0</v>
      </c>
      <c r="F892">
        <v>2</v>
      </c>
      <c r="G892" t="b">
        <v>0</v>
      </c>
      <c r="H892">
        <f>IF(inventory__Data[[#This Row],[stock_on_hand]]&lt;=0,1,0)</f>
        <v>0</v>
      </c>
      <c r="I892">
        <f>COUNTIFS(inventory__Data[product_id],inventory__Data[[#This Row],[product_id]],inventory__Data[stock_on_hand],"&lt;=0")</f>
        <v>25</v>
      </c>
    </row>
    <row r="893" spans="1:9" x14ac:dyDescent="0.3">
      <c r="A893" s="1">
        <v>45836</v>
      </c>
      <c r="B893" t="s">
        <v>12</v>
      </c>
      <c r="C893">
        <v>654</v>
      </c>
      <c r="D893">
        <v>0.02</v>
      </c>
      <c r="E893">
        <v>0</v>
      </c>
      <c r="F893">
        <v>15</v>
      </c>
      <c r="G893" t="b">
        <v>0</v>
      </c>
      <c r="H893">
        <f>IF(inventory__Data[[#This Row],[stock_on_hand]]&lt;=0,1,0)</f>
        <v>0</v>
      </c>
      <c r="I893">
        <f>COUNTIFS(inventory__Data[product_id],inventory__Data[[#This Row],[product_id]],inventory__Data[stock_on_hand],"&lt;=0")</f>
        <v>23</v>
      </c>
    </row>
    <row r="894" spans="1:9" x14ac:dyDescent="0.3">
      <c r="A894" s="1">
        <v>45836</v>
      </c>
      <c r="B894" t="s">
        <v>15</v>
      </c>
      <c r="C894">
        <v>807</v>
      </c>
      <c r="D894">
        <v>0.04</v>
      </c>
      <c r="E894">
        <v>0</v>
      </c>
      <c r="F894">
        <v>5</v>
      </c>
      <c r="G894" t="b">
        <v>0</v>
      </c>
      <c r="H894">
        <f>IF(inventory__Data[[#This Row],[stock_on_hand]]&lt;=0,1,0)</f>
        <v>0</v>
      </c>
      <c r="I894">
        <f>COUNTIFS(inventory__Data[product_id],inventory__Data[[#This Row],[product_id]],inventory__Data[stock_on_hand],"&lt;=0")</f>
        <v>30</v>
      </c>
    </row>
    <row r="895" spans="1:9" x14ac:dyDescent="0.3">
      <c r="A895" s="1">
        <v>45836</v>
      </c>
      <c r="B895" t="s">
        <v>18</v>
      </c>
      <c r="C895">
        <v>541</v>
      </c>
      <c r="D895">
        <v>0.15</v>
      </c>
      <c r="E895">
        <v>0</v>
      </c>
      <c r="F895">
        <v>2</v>
      </c>
      <c r="G895" t="b">
        <v>0</v>
      </c>
      <c r="H895">
        <f>IF(inventory__Data[[#This Row],[stock_on_hand]]&lt;=0,1,0)</f>
        <v>0</v>
      </c>
      <c r="I895">
        <f>COUNTIFS(inventory__Data[product_id],inventory__Data[[#This Row],[product_id]],inventory__Data[stock_on_hand],"&lt;=0")</f>
        <v>30</v>
      </c>
    </row>
    <row r="896" spans="1:9" x14ac:dyDescent="0.3">
      <c r="A896" s="1">
        <v>45836</v>
      </c>
      <c r="B896" t="s">
        <v>21</v>
      </c>
      <c r="C896">
        <v>874</v>
      </c>
      <c r="D896">
        <v>0.03</v>
      </c>
      <c r="E896">
        <v>0</v>
      </c>
      <c r="F896">
        <v>5</v>
      </c>
      <c r="G896" t="b">
        <v>0</v>
      </c>
      <c r="H896">
        <f>IF(inventory__Data[[#This Row],[stock_on_hand]]&lt;=0,1,0)</f>
        <v>0</v>
      </c>
      <c r="I896">
        <f>COUNTIFS(inventory__Data[product_id],inventory__Data[[#This Row],[product_id]],inventory__Data[stock_on_hand],"&lt;=0")</f>
        <v>29</v>
      </c>
    </row>
    <row r="897" spans="1:9" x14ac:dyDescent="0.3">
      <c r="A897" s="1">
        <v>45837</v>
      </c>
      <c r="B897" t="s">
        <v>9</v>
      </c>
      <c r="C897">
        <v>348</v>
      </c>
      <c r="D897">
        <v>0.05</v>
      </c>
      <c r="E897">
        <v>0</v>
      </c>
      <c r="F897">
        <v>2</v>
      </c>
      <c r="G897" t="b">
        <v>0</v>
      </c>
      <c r="H897">
        <f>IF(inventory__Data[[#This Row],[stock_on_hand]]&lt;=0,1,0)</f>
        <v>0</v>
      </c>
      <c r="I897">
        <f>COUNTIFS(inventory__Data[product_id],inventory__Data[[#This Row],[product_id]],inventory__Data[stock_on_hand],"&lt;=0")</f>
        <v>25</v>
      </c>
    </row>
    <row r="898" spans="1:9" x14ac:dyDescent="0.3">
      <c r="A898" s="1">
        <v>45837</v>
      </c>
      <c r="B898" t="s">
        <v>12</v>
      </c>
      <c r="C898">
        <v>460</v>
      </c>
      <c r="D898">
        <v>0.02</v>
      </c>
      <c r="E898">
        <v>0</v>
      </c>
      <c r="F898">
        <v>2</v>
      </c>
      <c r="G898" t="b">
        <v>0</v>
      </c>
      <c r="H898">
        <f>IF(inventory__Data[[#This Row],[stock_on_hand]]&lt;=0,1,0)</f>
        <v>0</v>
      </c>
      <c r="I898">
        <f>COUNTIFS(inventory__Data[product_id],inventory__Data[[#This Row],[product_id]],inventory__Data[stock_on_hand],"&lt;=0")</f>
        <v>23</v>
      </c>
    </row>
    <row r="899" spans="1:9" x14ac:dyDescent="0.3">
      <c r="A899" s="1">
        <v>45837</v>
      </c>
      <c r="B899" t="s">
        <v>15</v>
      </c>
      <c r="C899">
        <v>120</v>
      </c>
      <c r="D899">
        <v>0.04</v>
      </c>
      <c r="E899">
        <v>0</v>
      </c>
      <c r="F899">
        <v>2</v>
      </c>
      <c r="G899" t="b">
        <v>0</v>
      </c>
      <c r="H899">
        <f>IF(inventory__Data[[#This Row],[stock_on_hand]]&lt;=0,1,0)</f>
        <v>0</v>
      </c>
      <c r="I899">
        <f>COUNTIFS(inventory__Data[product_id],inventory__Data[[#This Row],[product_id]],inventory__Data[stock_on_hand],"&lt;=0")</f>
        <v>30</v>
      </c>
    </row>
    <row r="900" spans="1:9" x14ac:dyDescent="0.3">
      <c r="A900" s="1">
        <v>45837</v>
      </c>
      <c r="B900" t="s">
        <v>18</v>
      </c>
      <c r="C900">
        <v>433</v>
      </c>
      <c r="D900">
        <v>0.15</v>
      </c>
      <c r="E900">
        <v>0</v>
      </c>
      <c r="F900">
        <v>2</v>
      </c>
      <c r="G900" t="b">
        <v>0</v>
      </c>
      <c r="H900">
        <f>IF(inventory__Data[[#This Row],[stock_on_hand]]&lt;=0,1,0)</f>
        <v>0</v>
      </c>
      <c r="I900">
        <f>COUNTIFS(inventory__Data[product_id],inventory__Data[[#This Row],[product_id]],inventory__Data[stock_on_hand],"&lt;=0")</f>
        <v>30</v>
      </c>
    </row>
    <row r="901" spans="1:9" x14ac:dyDescent="0.3">
      <c r="A901" s="1">
        <v>45837</v>
      </c>
      <c r="B901" t="s">
        <v>21</v>
      </c>
      <c r="C901">
        <v>541</v>
      </c>
      <c r="D901">
        <v>0.03</v>
      </c>
      <c r="E901">
        <v>0</v>
      </c>
      <c r="F901">
        <v>2</v>
      </c>
      <c r="G901" t="b">
        <v>0</v>
      </c>
      <c r="H901">
        <f>IF(inventory__Data[[#This Row],[stock_on_hand]]&lt;=0,1,0)</f>
        <v>0</v>
      </c>
      <c r="I901">
        <f>COUNTIFS(inventory__Data[product_id],inventory__Data[[#This Row],[product_id]],inventory__Data[stock_on_hand],"&lt;=0")</f>
        <v>29</v>
      </c>
    </row>
    <row r="902" spans="1:9" x14ac:dyDescent="0.3">
      <c r="A902" s="1">
        <v>45838</v>
      </c>
      <c r="B902" t="s">
        <v>9</v>
      </c>
      <c r="C902">
        <v>0</v>
      </c>
      <c r="D902">
        <v>0.05</v>
      </c>
      <c r="E902">
        <v>0</v>
      </c>
      <c r="F902">
        <v>2</v>
      </c>
      <c r="G902" t="b">
        <v>0</v>
      </c>
      <c r="H902">
        <f>IF(inventory__Data[[#This Row],[stock_on_hand]]&lt;=0,1,0)</f>
        <v>1</v>
      </c>
      <c r="I902">
        <f>COUNTIFS(inventory__Data[product_id],inventory__Data[[#This Row],[product_id]],inventory__Data[stock_on_hand],"&lt;=0")</f>
        <v>25</v>
      </c>
    </row>
    <row r="903" spans="1:9" x14ac:dyDescent="0.3">
      <c r="A903" s="1">
        <v>45838</v>
      </c>
      <c r="B903" t="s">
        <v>12</v>
      </c>
      <c r="C903">
        <v>713</v>
      </c>
      <c r="D903">
        <v>0.02</v>
      </c>
      <c r="E903">
        <v>0</v>
      </c>
      <c r="F903">
        <v>2</v>
      </c>
      <c r="G903" t="b">
        <v>0</v>
      </c>
      <c r="H903">
        <f>IF(inventory__Data[[#This Row],[stock_on_hand]]&lt;=0,1,0)</f>
        <v>0</v>
      </c>
      <c r="I903">
        <f>COUNTIFS(inventory__Data[product_id],inventory__Data[[#This Row],[product_id]],inventory__Data[stock_on_hand],"&lt;=0")</f>
        <v>23</v>
      </c>
    </row>
    <row r="904" spans="1:9" x14ac:dyDescent="0.3">
      <c r="A904" s="1">
        <v>45838</v>
      </c>
      <c r="B904" t="s">
        <v>15</v>
      </c>
      <c r="C904">
        <v>148</v>
      </c>
      <c r="D904">
        <v>0.04</v>
      </c>
      <c r="E904">
        <v>0</v>
      </c>
      <c r="F904">
        <v>5</v>
      </c>
      <c r="G904" t="b">
        <v>0</v>
      </c>
      <c r="H904">
        <f>IF(inventory__Data[[#This Row],[stock_on_hand]]&lt;=0,1,0)</f>
        <v>0</v>
      </c>
      <c r="I904">
        <f>COUNTIFS(inventory__Data[product_id],inventory__Data[[#This Row],[product_id]],inventory__Data[stock_on_hand],"&lt;=0")</f>
        <v>30</v>
      </c>
    </row>
    <row r="905" spans="1:9" x14ac:dyDescent="0.3">
      <c r="A905" s="1">
        <v>45838</v>
      </c>
      <c r="B905" t="s">
        <v>18</v>
      </c>
      <c r="C905">
        <v>338</v>
      </c>
      <c r="D905">
        <v>0.15</v>
      </c>
      <c r="E905">
        <v>0</v>
      </c>
      <c r="F905">
        <v>5</v>
      </c>
      <c r="G905" t="b">
        <v>0</v>
      </c>
      <c r="H905">
        <f>IF(inventory__Data[[#This Row],[stock_on_hand]]&lt;=0,1,0)</f>
        <v>0</v>
      </c>
      <c r="I905">
        <f>COUNTIFS(inventory__Data[product_id],inventory__Data[[#This Row],[product_id]],inventory__Data[stock_on_hand],"&lt;=0")</f>
        <v>30</v>
      </c>
    </row>
    <row r="906" spans="1:9" x14ac:dyDescent="0.3">
      <c r="A906" s="1">
        <v>45838</v>
      </c>
      <c r="B906" t="s">
        <v>21</v>
      </c>
      <c r="C906">
        <v>564</v>
      </c>
      <c r="D906">
        <v>0.03</v>
      </c>
      <c r="E906">
        <v>0</v>
      </c>
      <c r="F906">
        <v>2</v>
      </c>
      <c r="G906" t="b">
        <v>0</v>
      </c>
      <c r="H906">
        <f>IF(inventory__Data[[#This Row],[stock_on_hand]]&lt;=0,1,0)</f>
        <v>0</v>
      </c>
      <c r="I906">
        <f>COUNTIFS(inventory__Data[product_id],inventory__Data[[#This Row],[product_id]],inventory__Data[stock_on_hand],"&lt;=0")</f>
        <v>29</v>
      </c>
    </row>
    <row r="907" spans="1:9" x14ac:dyDescent="0.3">
      <c r="A907" s="1">
        <v>45839</v>
      </c>
      <c r="B907" t="s">
        <v>9</v>
      </c>
      <c r="C907">
        <v>247</v>
      </c>
      <c r="D907">
        <v>0.05</v>
      </c>
      <c r="E907">
        <v>0</v>
      </c>
      <c r="F907">
        <v>5</v>
      </c>
      <c r="G907" t="b">
        <v>0</v>
      </c>
      <c r="H907">
        <f>IF(inventory__Data[[#This Row],[stock_on_hand]]&lt;=0,1,0)</f>
        <v>0</v>
      </c>
      <c r="I907">
        <f>COUNTIFS(inventory__Data[product_id],inventory__Data[[#This Row],[product_id]],inventory__Data[stock_on_hand],"&lt;=0")</f>
        <v>25</v>
      </c>
    </row>
    <row r="908" spans="1:9" x14ac:dyDescent="0.3">
      <c r="A908" s="1">
        <v>45839</v>
      </c>
      <c r="B908" t="s">
        <v>12</v>
      </c>
      <c r="C908">
        <v>306</v>
      </c>
      <c r="D908">
        <v>0.02</v>
      </c>
      <c r="E908">
        <v>0</v>
      </c>
      <c r="F908">
        <v>2</v>
      </c>
      <c r="G908" t="b">
        <v>0</v>
      </c>
      <c r="H908">
        <f>IF(inventory__Data[[#This Row],[stock_on_hand]]&lt;=0,1,0)</f>
        <v>0</v>
      </c>
      <c r="I908">
        <f>COUNTIFS(inventory__Data[product_id],inventory__Data[[#This Row],[product_id]],inventory__Data[stock_on_hand],"&lt;=0")</f>
        <v>23</v>
      </c>
    </row>
    <row r="909" spans="1:9" x14ac:dyDescent="0.3">
      <c r="A909" s="1">
        <v>45839</v>
      </c>
      <c r="B909" t="s">
        <v>15</v>
      </c>
      <c r="C909">
        <v>632</v>
      </c>
      <c r="D909">
        <v>0.04</v>
      </c>
      <c r="E909">
        <v>0</v>
      </c>
      <c r="F909">
        <v>5</v>
      </c>
      <c r="G909" t="b">
        <v>0</v>
      </c>
      <c r="H909">
        <f>IF(inventory__Data[[#This Row],[stock_on_hand]]&lt;=0,1,0)</f>
        <v>0</v>
      </c>
      <c r="I909">
        <f>COUNTIFS(inventory__Data[product_id],inventory__Data[[#This Row],[product_id]],inventory__Data[stock_on_hand],"&lt;=0")</f>
        <v>30</v>
      </c>
    </row>
    <row r="910" spans="1:9" x14ac:dyDescent="0.3">
      <c r="A910" s="1">
        <v>45839</v>
      </c>
      <c r="B910" t="s">
        <v>18</v>
      </c>
      <c r="C910">
        <v>0</v>
      </c>
      <c r="D910">
        <v>0.15</v>
      </c>
      <c r="E910">
        <v>0</v>
      </c>
      <c r="F910">
        <v>5</v>
      </c>
      <c r="G910" t="b">
        <v>0</v>
      </c>
      <c r="H910">
        <f>IF(inventory__Data[[#This Row],[stock_on_hand]]&lt;=0,1,0)</f>
        <v>1</v>
      </c>
      <c r="I910">
        <f>COUNTIFS(inventory__Data[product_id],inventory__Data[[#This Row],[product_id]],inventory__Data[stock_on_hand],"&lt;=0")</f>
        <v>30</v>
      </c>
    </row>
    <row r="911" spans="1:9" x14ac:dyDescent="0.3">
      <c r="A911" s="1">
        <v>45839</v>
      </c>
      <c r="B911" t="s">
        <v>21</v>
      </c>
      <c r="C911">
        <v>201</v>
      </c>
      <c r="D911">
        <v>0.03</v>
      </c>
      <c r="E911">
        <v>0</v>
      </c>
      <c r="F911">
        <v>5</v>
      </c>
      <c r="G911" t="b">
        <v>0</v>
      </c>
      <c r="H911">
        <f>IF(inventory__Data[[#This Row],[stock_on_hand]]&lt;=0,1,0)</f>
        <v>0</v>
      </c>
      <c r="I911">
        <f>COUNTIFS(inventory__Data[product_id],inventory__Data[[#This Row],[product_id]],inventory__Data[stock_on_hand],"&lt;=0")</f>
        <v>29</v>
      </c>
    </row>
    <row r="912" spans="1:9" x14ac:dyDescent="0.3">
      <c r="A912" s="1">
        <v>45840</v>
      </c>
      <c r="B912" t="s">
        <v>9</v>
      </c>
      <c r="C912">
        <v>427</v>
      </c>
      <c r="D912">
        <v>0.05</v>
      </c>
      <c r="E912">
        <v>0</v>
      </c>
      <c r="F912">
        <v>2</v>
      </c>
      <c r="G912" t="b">
        <v>0</v>
      </c>
      <c r="H912">
        <f>IF(inventory__Data[[#This Row],[stock_on_hand]]&lt;=0,1,0)</f>
        <v>0</v>
      </c>
      <c r="I912">
        <f>COUNTIFS(inventory__Data[product_id],inventory__Data[[#This Row],[product_id]],inventory__Data[stock_on_hand],"&lt;=0")</f>
        <v>25</v>
      </c>
    </row>
    <row r="913" spans="1:9" x14ac:dyDescent="0.3">
      <c r="A913" s="1">
        <v>45840</v>
      </c>
      <c r="B913" t="s">
        <v>12</v>
      </c>
      <c r="C913">
        <v>802</v>
      </c>
      <c r="D913">
        <v>0.02</v>
      </c>
      <c r="E913">
        <v>0</v>
      </c>
      <c r="F913">
        <v>2</v>
      </c>
      <c r="G913" t="b">
        <v>0</v>
      </c>
      <c r="H913">
        <f>IF(inventory__Data[[#This Row],[stock_on_hand]]&lt;=0,1,0)</f>
        <v>0</v>
      </c>
      <c r="I913">
        <f>COUNTIFS(inventory__Data[product_id],inventory__Data[[#This Row],[product_id]],inventory__Data[stock_on_hand],"&lt;=0")</f>
        <v>23</v>
      </c>
    </row>
    <row r="914" spans="1:9" x14ac:dyDescent="0.3">
      <c r="A914" s="1">
        <v>45840</v>
      </c>
      <c r="B914" t="s">
        <v>15</v>
      </c>
      <c r="C914">
        <v>547</v>
      </c>
      <c r="D914">
        <v>0.04</v>
      </c>
      <c r="E914">
        <v>0</v>
      </c>
      <c r="F914">
        <v>2</v>
      </c>
      <c r="G914" t="b">
        <v>0</v>
      </c>
      <c r="H914">
        <f>IF(inventory__Data[[#This Row],[stock_on_hand]]&lt;=0,1,0)</f>
        <v>0</v>
      </c>
      <c r="I914">
        <f>COUNTIFS(inventory__Data[product_id],inventory__Data[[#This Row],[product_id]],inventory__Data[stock_on_hand],"&lt;=0")</f>
        <v>30</v>
      </c>
    </row>
    <row r="915" spans="1:9" x14ac:dyDescent="0.3">
      <c r="A915" s="1">
        <v>45840</v>
      </c>
      <c r="B915" t="s">
        <v>18</v>
      </c>
      <c r="C915">
        <v>279</v>
      </c>
      <c r="D915">
        <v>0.15</v>
      </c>
      <c r="E915">
        <v>0</v>
      </c>
      <c r="F915">
        <v>2</v>
      </c>
      <c r="G915" t="b">
        <v>0</v>
      </c>
      <c r="H915">
        <f>IF(inventory__Data[[#This Row],[stock_on_hand]]&lt;=0,1,0)</f>
        <v>0</v>
      </c>
      <c r="I915">
        <f>COUNTIFS(inventory__Data[product_id],inventory__Data[[#This Row],[product_id]],inventory__Data[stock_on_hand],"&lt;=0")</f>
        <v>30</v>
      </c>
    </row>
    <row r="916" spans="1:9" x14ac:dyDescent="0.3">
      <c r="A916" s="1">
        <v>45840</v>
      </c>
      <c r="B916" t="s">
        <v>21</v>
      </c>
      <c r="C916">
        <v>860</v>
      </c>
      <c r="D916">
        <v>0.03</v>
      </c>
      <c r="E916">
        <v>0</v>
      </c>
      <c r="F916">
        <v>5</v>
      </c>
      <c r="G916" t="b">
        <v>0</v>
      </c>
      <c r="H916">
        <f>IF(inventory__Data[[#This Row],[stock_on_hand]]&lt;=0,1,0)</f>
        <v>0</v>
      </c>
      <c r="I916">
        <f>COUNTIFS(inventory__Data[product_id],inventory__Data[[#This Row],[product_id]],inventory__Data[stock_on_hand],"&lt;=0")</f>
        <v>29</v>
      </c>
    </row>
    <row r="917" spans="1:9" x14ac:dyDescent="0.3">
      <c r="A917" s="1">
        <v>45841</v>
      </c>
      <c r="B917" t="s">
        <v>9</v>
      </c>
      <c r="C917">
        <v>325</v>
      </c>
      <c r="D917">
        <v>0.05</v>
      </c>
      <c r="E917">
        <v>0</v>
      </c>
      <c r="F917">
        <v>2</v>
      </c>
      <c r="G917" t="b">
        <v>0</v>
      </c>
      <c r="H917">
        <f>IF(inventory__Data[[#This Row],[stock_on_hand]]&lt;=0,1,0)</f>
        <v>0</v>
      </c>
      <c r="I917">
        <f>COUNTIFS(inventory__Data[product_id],inventory__Data[[#This Row],[product_id]],inventory__Data[stock_on_hand],"&lt;=0")</f>
        <v>25</v>
      </c>
    </row>
    <row r="918" spans="1:9" x14ac:dyDescent="0.3">
      <c r="A918" s="1">
        <v>45841</v>
      </c>
      <c r="B918" t="s">
        <v>12</v>
      </c>
      <c r="C918">
        <v>391</v>
      </c>
      <c r="D918">
        <v>0.02</v>
      </c>
      <c r="E918">
        <v>0</v>
      </c>
      <c r="F918">
        <v>2</v>
      </c>
      <c r="G918" t="b">
        <v>0</v>
      </c>
      <c r="H918">
        <f>IF(inventory__Data[[#This Row],[stock_on_hand]]&lt;=0,1,0)</f>
        <v>0</v>
      </c>
      <c r="I918">
        <f>COUNTIFS(inventory__Data[product_id],inventory__Data[[#This Row],[product_id]],inventory__Data[stock_on_hand],"&lt;=0")</f>
        <v>23</v>
      </c>
    </row>
    <row r="919" spans="1:9" x14ac:dyDescent="0.3">
      <c r="A919" s="1">
        <v>45841</v>
      </c>
      <c r="B919" t="s">
        <v>15</v>
      </c>
      <c r="C919">
        <v>796</v>
      </c>
      <c r="D919">
        <v>0.04</v>
      </c>
      <c r="E919">
        <v>0</v>
      </c>
      <c r="F919">
        <v>2</v>
      </c>
      <c r="G919" t="b">
        <v>0</v>
      </c>
      <c r="H919">
        <f>IF(inventory__Data[[#This Row],[stock_on_hand]]&lt;=0,1,0)</f>
        <v>0</v>
      </c>
      <c r="I919">
        <f>COUNTIFS(inventory__Data[product_id],inventory__Data[[#This Row],[product_id]],inventory__Data[stock_on_hand],"&lt;=0")</f>
        <v>30</v>
      </c>
    </row>
    <row r="920" spans="1:9" x14ac:dyDescent="0.3">
      <c r="A920" s="1">
        <v>45841</v>
      </c>
      <c r="B920" t="s">
        <v>18</v>
      </c>
      <c r="C920">
        <v>823</v>
      </c>
      <c r="D920">
        <v>0.15</v>
      </c>
      <c r="E920">
        <v>0</v>
      </c>
      <c r="F920">
        <v>2</v>
      </c>
      <c r="G920" t="b">
        <v>0</v>
      </c>
      <c r="H920">
        <f>IF(inventory__Data[[#This Row],[stock_on_hand]]&lt;=0,1,0)</f>
        <v>0</v>
      </c>
      <c r="I920">
        <f>COUNTIFS(inventory__Data[product_id],inventory__Data[[#This Row],[product_id]],inventory__Data[stock_on_hand],"&lt;=0")</f>
        <v>30</v>
      </c>
    </row>
    <row r="921" spans="1:9" x14ac:dyDescent="0.3">
      <c r="A921" s="1">
        <v>45841</v>
      </c>
      <c r="B921" t="s">
        <v>21</v>
      </c>
      <c r="C921">
        <v>496</v>
      </c>
      <c r="D921">
        <v>0.03</v>
      </c>
      <c r="E921">
        <v>0</v>
      </c>
      <c r="F921">
        <v>2</v>
      </c>
      <c r="G921" t="b">
        <v>0</v>
      </c>
      <c r="H921">
        <f>IF(inventory__Data[[#This Row],[stock_on_hand]]&lt;=0,1,0)</f>
        <v>0</v>
      </c>
      <c r="I921">
        <f>COUNTIFS(inventory__Data[product_id],inventory__Data[[#This Row],[product_id]],inventory__Data[stock_on_hand],"&lt;=0")</f>
        <v>29</v>
      </c>
    </row>
    <row r="922" spans="1:9" x14ac:dyDescent="0.3">
      <c r="A922" s="1">
        <v>45842</v>
      </c>
      <c r="B922" t="s">
        <v>9</v>
      </c>
      <c r="C922">
        <v>382</v>
      </c>
      <c r="D922">
        <v>0.05</v>
      </c>
      <c r="E922">
        <v>0</v>
      </c>
      <c r="F922">
        <v>2</v>
      </c>
      <c r="G922" t="b">
        <v>0</v>
      </c>
      <c r="H922">
        <f>IF(inventory__Data[[#This Row],[stock_on_hand]]&lt;=0,1,0)</f>
        <v>0</v>
      </c>
      <c r="I922">
        <f>COUNTIFS(inventory__Data[product_id],inventory__Data[[#This Row],[product_id]],inventory__Data[stock_on_hand],"&lt;=0")</f>
        <v>25</v>
      </c>
    </row>
    <row r="923" spans="1:9" x14ac:dyDescent="0.3">
      <c r="A923" s="1">
        <v>45842</v>
      </c>
      <c r="B923" t="s">
        <v>12</v>
      </c>
      <c r="C923">
        <v>522</v>
      </c>
      <c r="D923">
        <v>0.02</v>
      </c>
      <c r="E923">
        <v>0</v>
      </c>
      <c r="F923">
        <v>2</v>
      </c>
      <c r="G923" t="b">
        <v>0</v>
      </c>
      <c r="H923">
        <f>IF(inventory__Data[[#This Row],[stock_on_hand]]&lt;=0,1,0)</f>
        <v>0</v>
      </c>
      <c r="I923">
        <f>COUNTIFS(inventory__Data[product_id],inventory__Data[[#This Row],[product_id]],inventory__Data[stock_on_hand],"&lt;=0")</f>
        <v>23</v>
      </c>
    </row>
    <row r="924" spans="1:9" x14ac:dyDescent="0.3">
      <c r="A924" s="1">
        <v>45842</v>
      </c>
      <c r="B924" t="s">
        <v>15</v>
      </c>
      <c r="C924">
        <v>673</v>
      </c>
      <c r="D924">
        <v>0.04</v>
      </c>
      <c r="E924">
        <v>0</v>
      </c>
      <c r="F924">
        <v>5</v>
      </c>
      <c r="G924" t="b">
        <v>0</v>
      </c>
      <c r="H924">
        <f>IF(inventory__Data[[#This Row],[stock_on_hand]]&lt;=0,1,0)</f>
        <v>0</v>
      </c>
      <c r="I924">
        <f>COUNTIFS(inventory__Data[product_id],inventory__Data[[#This Row],[product_id]],inventory__Data[stock_on_hand],"&lt;=0")</f>
        <v>30</v>
      </c>
    </row>
    <row r="925" spans="1:9" x14ac:dyDescent="0.3">
      <c r="A925" s="1">
        <v>45842</v>
      </c>
      <c r="B925" t="s">
        <v>18</v>
      </c>
      <c r="C925">
        <v>603</v>
      </c>
      <c r="D925">
        <v>0.15</v>
      </c>
      <c r="E925">
        <v>0</v>
      </c>
      <c r="F925">
        <v>2</v>
      </c>
      <c r="G925" t="b">
        <v>0</v>
      </c>
      <c r="H925">
        <f>IF(inventory__Data[[#This Row],[stock_on_hand]]&lt;=0,1,0)</f>
        <v>0</v>
      </c>
      <c r="I925">
        <f>COUNTIFS(inventory__Data[product_id],inventory__Data[[#This Row],[product_id]],inventory__Data[stock_on_hand],"&lt;=0")</f>
        <v>30</v>
      </c>
    </row>
    <row r="926" spans="1:9" x14ac:dyDescent="0.3">
      <c r="A926" s="1">
        <v>45842</v>
      </c>
      <c r="B926" t="s">
        <v>21</v>
      </c>
      <c r="C926">
        <v>266</v>
      </c>
      <c r="D926">
        <v>0.03</v>
      </c>
      <c r="E926">
        <v>0</v>
      </c>
      <c r="F926">
        <v>2</v>
      </c>
      <c r="G926" t="b">
        <v>0</v>
      </c>
      <c r="H926">
        <f>IF(inventory__Data[[#This Row],[stock_on_hand]]&lt;=0,1,0)</f>
        <v>0</v>
      </c>
      <c r="I926">
        <f>COUNTIFS(inventory__Data[product_id],inventory__Data[[#This Row],[product_id]],inventory__Data[stock_on_hand],"&lt;=0")</f>
        <v>29</v>
      </c>
    </row>
    <row r="927" spans="1:9" x14ac:dyDescent="0.3">
      <c r="A927" s="1">
        <v>45843</v>
      </c>
      <c r="B927" t="s">
        <v>9</v>
      </c>
      <c r="C927">
        <v>172</v>
      </c>
      <c r="D927">
        <v>0.05</v>
      </c>
      <c r="E927">
        <v>0</v>
      </c>
      <c r="F927">
        <v>2</v>
      </c>
      <c r="G927" t="b">
        <v>0</v>
      </c>
      <c r="H927">
        <f>IF(inventory__Data[[#This Row],[stock_on_hand]]&lt;=0,1,0)</f>
        <v>0</v>
      </c>
      <c r="I927">
        <f>COUNTIFS(inventory__Data[product_id],inventory__Data[[#This Row],[product_id]],inventory__Data[stock_on_hand],"&lt;=0")</f>
        <v>25</v>
      </c>
    </row>
    <row r="928" spans="1:9" x14ac:dyDescent="0.3">
      <c r="A928" s="1">
        <v>45843</v>
      </c>
      <c r="B928" t="s">
        <v>12</v>
      </c>
      <c r="C928">
        <v>234</v>
      </c>
      <c r="D928">
        <v>0.02</v>
      </c>
      <c r="E928">
        <v>0</v>
      </c>
      <c r="F928">
        <v>2</v>
      </c>
      <c r="G928" t="b">
        <v>0</v>
      </c>
      <c r="H928">
        <f>IF(inventory__Data[[#This Row],[stock_on_hand]]&lt;=0,1,0)</f>
        <v>0</v>
      </c>
      <c r="I928">
        <f>COUNTIFS(inventory__Data[product_id],inventory__Data[[#This Row],[product_id]],inventory__Data[stock_on_hand],"&lt;=0")</f>
        <v>23</v>
      </c>
    </row>
    <row r="929" spans="1:9" x14ac:dyDescent="0.3">
      <c r="A929" s="1">
        <v>45843</v>
      </c>
      <c r="B929" t="s">
        <v>15</v>
      </c>
      <c r="C929">
        <v>755</v>
      </c>
      <c r="D929">
        <v>0.04</v>
      </c>
      <c r="E929">
        <v>0</v>
      </c>
      <c r="F929">
        <v>10</v>
      </c>
      <c r="G929" t="b">
        <v>0</v>
      </c>
      <c r="H929">
        <f>IF(inventory__Data[[#This Row],[stock_on_hand]]&lt;=0,1,0)</f>
        <v>0</v>
      </c>
      <c r="I929">
        <f>COUNTIFS(inventory__Data[product_id],inventory__Data[[#This Row],[product_id]],inventory__Data[stock_on_hand],"&lt;=0")</f>
        <v>30</v>
      </c>
    </row>
    <row r="930" spans="1:9" x14ac:dyDescent="0.3">
      <c r="A930" s="1">
        <v>45843</v>
      </c>
      <c r="B930" t="s">
        <v>18</v>
      </c>
      <c r="C930">
        <v>662</v>
      </c>
      <c r="D930">
        <v>0.15</v>
      </c>
      <c r="E930">
        <v>0</v>
      </c>
      <c r="F930">
        <v>5</v>
      </c>
      <c r="G930" t="b">
        <v>0</v>
      </c>
      <c r="H930">
        <f>IF(inventory__Data[[#This Row],[stock_on_hand]]&lt;=0,1,0)</f>
        <v>0</v>
      </c>
      <c r="I930">
        <f>COUNTIFS(inventory__Data[product_id],inventory__Data[[#This Row],[product_id]],inventory__Data[stock_on_hand],"&lt;=0")</f>
        <v>30</v>
      </c>
    </row>
    <row r="931" spans="1:9" x14ac:dyDescent="0.3">
      <c r="A931" s="1">
        <v>45843</v>
      </c>
      <c r="B931" t="s">
        <v>21</v>
      </c>
      <c r="C931">
        <v>0</v>
      </c>
      <c r="D931">
        <v>0.03</v>
      </c>
      <c r="E931">
        <v>0</v>
      </c>
      <c r="F931">
        <v>10</v>
      </c>
      <c r="G931" t="b">
        <v>0</v>
      </c>
      <c r="H931">
        <f>IF(inventory__Data[[#This Row],[stock_on_hand]]&lt;=0,1,0)</f>
        <v>1</v>
      </c>
      <c r="I931">
        <f>COUNTIFS(inventory__Data[product_id],inventory__Data[[#This Row],[product_id]],inventory__Data[stock_on_hand],"&lt;=0")</f>
        <v>29</v>
      </c>
    </row>
    <row r="932" spans="1:9" x14ac:dyDescent="0.3">
      <c r="A932" s="1">
        <v>45844</v>
      </c>
      <c r="B932" t="s">
        <v>9</v>
      </c>
      <c r="C932">
        <v>68</v>
      </c>
      <c r="D932">
        <v>0.05</v>
      </c>
      <c r="E932">
        <v>0</v>
      </c>
      <c r="F932">
        <v>2</v>
      </c>
      <c r="G932" t="b">
        <v>0</v>
      </c>
      <c r="H932">
        <f>IF(inventory__Data[[#This Row],[stock_on_hand]]&lt;=0,1,0)</f>
        <v>0</v>
      </c>
      <c r="I932">
        <f>COUNTIFS(inventory__Data[product_id],inventory__Data[[#This Row],[product_id]],inventory__Data[stock_on_hand],"&lt;=0")</f>
        <v>25</v>
      </c>
    </row>
    <row r="933" spans="1:9" x14ac:dyDescent="0.3">
      <c r="A933" s="1">
        <v>45844</v>
      </c>
      <c r="B933" t="s">
        <v>12</v>
      </c>
      <c r="C933">
        <v>755</v>
      </c>
      <c r="D933">
        <v>0.02</v>
      </c>
      <c r="E933">
        <v>0</v>
      </c>
      <c r="F933">
        <v>2</v>
      </c>
      <c r="G933" t="b">
        <v>0</v>
      </c>
      <c r="H933">
        <f>IF(inventory__Data[[#This Row],[stock_on_hand]]&lt;=0,1,0)</f>
        <v>0</v>
      </c>
      <c r="I933">
        <f>COUNTIFS(inventory__Data[product_id],inventory__Data[[#This Row],[product_id]],inventory__Data[stock_on_hand],"&lt;=0")</f>
        <v>23</v>
      </c>
    </row>
    <row r="934" spans="1:9" x14ac:dyDescent="0.3">
      <c r="A934" s="1">
        <v>45844</v>
      </c>
      <c r="B934" t="s">
        <v>15</v>
      </c>
      <c r="C934">
        <v>464</v>
      </c>
      <c r="D934">
        <v>0.04</v>
      </c>
      <c r="E934">
        <v>0</v>
      </c>
      <c r="F934">
        <v>5</v>
      </c>
      <c r="G934" t="b">
        <v>0</v>
      </c>
      <c r="H934">
        <f>IF(inventory__Data[[#This Row],[stock_on_hand]]&lt;=0,1,0)</f>
        <v>0</v>
      </c>
      <c r="I934">
        <f>COUNTIFS(inventory__Data[product_id],inventory__Data[[#This Row],[product_id]],inventory__Data[stock_on_hand],"&lt;=0")</f>
        <v>30</v>
      </c>
    </row>
    <row r="935" spans="1:9" x14ac:dyDescent="0.3">
      <c r="A935" s="1">
        <v>45844</v>
      </c>
      <c r="B935" t="s">
        <v>18</v>
      </c>
      <c r="C935">
        <v>206</v>
      </c>
      <c r="D935">
        <v>0.15</v>
      </c>
      <c r="E935">
        <v>0</v>
      </c>
      <c r="F935">
        <v>5</v>
      </c>
      <c r="G935" t="b">
        <v>0</v>
      </c>
      <c r="H935">
        <f>IF(inventory__Data[[#This Row],[stock_on_hand]]&lt;=0,1,0)</f>
        <v>0</v>
      </c>
      <c r="I935">
        <f>COUNTIFS(inventory__Data[product_id],inventory__Data[[#This Row],[product_id]],inventory__Data[stock_on_hand],"&lt;=0")</f>
        <v>30</v>
      </c>
    </row>
    <row r="936" spans="1:9" x14ac:dyDescent="0.3">
      <c r="A936" s="1">
        <v>45844</v>
      </c>
      <c r="B936" t="s">
        <v>21</v>
      </c>
      <c r="C936">
        <v>391</v>
      </c>
      <c r="D936">
        <v>0.03</v>
      </c>
      <c r="E936">
        <v>0</v>
      </c>
      <c r="F936">
        <v>5</v>
      </c>
      <c r="G936" t="b">
        <v>0</v>
      </c>
      <c r="H936">
        <f>IF(inventory__Data[[#This Row],[stock_on_hand]]&lt;=0,1,0)</f>
        <v>0</v>
      </c>
      <c r="I936">
        <f>COUNTIFS(inventory__Data[product_id],inventory__Data[[#This Row],[product_id]],inventory__Data[stock_on_hand],"&lt;=0")</f>
        <v>29</v>
      </c>
    </row>
    <row r="937" spans="1:9" x14ac:dyDescent="0.3">
      <c r="A937" s="1">
        <v>45845</v>
      </c>
      <c r="B937" t="s">
        <v>9</v>
      </c>
      <c r="C937">
        <v>484</v>
      </c>
      <c r="D937">
        <v>0.05</v>
      </c>
      <c r="E937">
        <v>0</v>
      </c>
      <c r="F937">
        <v>2</v>
      </c>
      <c r="G937" t="b">
        <v>0</v>
      </c>
      <c r="H937">
        <f>IF(inventory__Data[[#This Row],[stock_on_hand]]&lt;=0,1,0)</f>
        <v>0</v>
      </c>
      <c r="I937">
        <f>COUNTIFS(inventory__Data[product_id],inventory__Data[[#This Row],[product_id]],inventory__Data[stock_on_hand],"&lt;=0")</f>
        <v>25</v>
      </c>
    </row>
    <row r="938" spans="1:9" x14ac:dyDescent="0.3">
      <c r="A938" s="1">
        <v>45845</v>
      </c>
      <c r="B938" t="s">
        <v>12</v>
      </c>
      <c r="C938">
        <v>748</v>
      </c>
      <c r="D938">
        <v>0.02</v>
      </c>
      <c r="E938">
        <v>0</v>
      </c>
      <c r="F938">
        <v>5</v>
      </c>
      <c r="G938" t="b">
        <v>0</v>
      </c>
      <c r="H938">
        <f>IF(inventory__Data[[#This Row],[stock_on_hand]]&lt;=0,1,0)</f>
        <v>0</v>
      </c>
      <c r="I938">
        <f>COUNTIFS(inventory__Data[product_id],inventory__Data[[#This Row],[product_id]],inventory__Data[stock_on_hand],"&lt;=0")</f>
        <v>23</v>
      </c>
    </row>
    <row r="939" spans="1:9" x14ac:dyDescent="0.3">
      <c r="A939" s="1">
        <v>45845</v>
      </c>
      <c r="B939" t="s">
        <v>15</v>
      </c>
      <c r="C939">
        <v>128</v>
      </c>
      <c r="D939">
        <v>0.04</v>
      </c>
      <c r="E939">
        <v>0</v>
      </c>
      <c r="F939">
        <v>2</v>
      </c>
      <c r="G939" t="b">
        <v>0</v>
      </c>
      <c r="H939">
        <f>IF(inventory__Data[[#This Row],[stock_on_hand]]&lt;=0,1,0)</f>
        <v>0</v>
      </c>
      <c r="I939">
        <f>COUNTIFS(inventory__Data[product_id],inventory__Data[[#This Row],[product_id]],inventory__Data[stock_on_hand],"&lt;=0")</f>
        <v>30</v>
      </c>
    </row>
    <row r="940" spans="1:9" x14ac:dyDescent="0.3">
      <c r="A940" s="1">
        <v>45845</v>
      </c>
      <c r="B940" t="s">
        <v>18</v>
      </c>
      <c r="C940">
        <v>382</v>
      </c>
      <c r="D940">
        <v>0.15</v>
      </c>
      <c r="E940">
        <v>0</v>
      </c>
      <c r="F940">
        <v>5</v>
      </c>
      <c r="G940" t="b">
        <v>0</v>
      </c>
      <c r="H940">
        <f>IF(inventory__Data[[#This Row],[stock_on_hand]]&lt;=0,1,0)</f>
        <v>0</v>
      </c>
      <c r="I940">
        <f>COUNTIFS(inventory__Data[product_id],inventory__Data[[#This Row],[product_id]],inventory__Data[stock_on_hand],"&lt;=0")</f>
        <v>30</v>
      </c>
    </row>
    <row r="941" spans="1:9" x14ac:dyDescent="0.3">
      <c r="A941" s="1">
        <v>45845</v>
      </c>
      <c r="B941" t="s">
        <v>21</v>
      </c>
      <c r="C941">
        <v>244</v>
      </c>
      <c r="D941">
        <v>0.03</v>
      </c>
      <c r="E941">
        <v>0</v>
      </c>
      <c r="F941">
        <v>2</v>
      </c>
      <c r="G941" t="b">
        <v>0</v>
      </c>
      <c r="H941">
        <f>IF(inventory__Data[[#This Row],[stock_on_hand]]&lt;=0,1,0)</f>
        <v>0</v>
      </c>
      <c r="I941">
        <f>COUNTIFS(inventory__Data[product_id],inventory__Data[[#This Row],[product_id]],inventory__Data[stock_on_hand],"&lt;=0")</f>
        <v>29</v>
      </c>
    </row>
    <row r="942" spans="1:9" x14ac:dyDescent="0.3">
      <c r="A942" s="1">
        <v>45846</v>
      </c>
      <c r="B942" t="s">
        <v>9</v>
      </c>
      <c r="C942">
        <v>383</v>
      </c>
      <c r="D942">
        <v>0.05</v>
      </c>
      <c r="E942">
        <v>0</v>
      </c>
      <c r="F942">
        <v>10</v>
      </c>
      <c r="G942" t="b">
        <v>0</v>
      </c>
      <c r="H942">
        <f>IF(inventory__Data[[#This Row],[stock_on_hand]]&lt;=0,1,0)</f>
        <v>0</v>
      </c>
      <c r="I942">
        <f>COUNTIFS(inventory__Data[product_id],inventory__Data[[#This Row],[product_id]],inventory__Data[stock_on_hand],"&lt;=0")</f>
        <v>25</v>
      </c>
    </row>
    <row r="943" spans="1:9" x14ac:dyDescent="0.3">
      <c r="A943" s="1">
        <v>45846</v>
      </c>
      <c r="B943" t="s">
        <v>12</v>
      </c>
      <c r="C943">
        <v>450</v>
      </c>
      <c r="D943">
        <v>0.02</v>
      </c>
      <c r="E943">
        <v>0</v>
      </c>
      <c r="F943">
        <v>2</v>
      </c>
      <c r="G943" t="b">
        <v>0</v>
      </c>
      <c r="H943">
        <f>IF(inventory__Data[[#This Row],[stock_on_hand]]&lt;=0,1,0)</f>
        <v>0</v>
      </c>
      <c r="I943">
        <f>COUNTIFS(inventory__Data[product_id],inventory__Data[[#This Row],[product_id]],inventory__Data[stock_on_hand],"&lt;=0")</f>
        <v>23</v>
      </c>
    </row>
    <row r="944" spans="1:9" x14ac:dyDescent="0.3">
      <c r="A944" s="1">
        <v>45846</v>
      </c>
      <c r="B944" t="s">
        <v>15</v>
      </c>
      <c r="C944">
        <v>182</v>
      </c>
      <c r="D944">
        <v>0.04</v>
      </c>
      <c r="E944">
        <v>0</v>
      </c>
      <c r="F944">
        <v>2</v>
      </c>
      <c r="G944" t="b">
        <v>0</v>
      </c>
      <c r="H944">
        <f>IF(inventory__Data[[#This Row],[stock_on_hand]]&lt;=0,1,0)</f>
        <v>0</v>
      </c>
      <c r="I944">
        <f>COUNTIFS(inventory__Data[product_id],inventory__Data[[#This Row],[product_id]],inventory__Data[stock_on_hand],"&lt;=0")</f>
        <v>30</v>
      </c>
    </row>
    <row r="945" spans="1:9" x14ac:dyDescent="0.3">
      <c r="A945" s="1">
        <v>45846</v>
      </c>
      <c r="B945" t="s">
        <v>18</v>
      </c>
      <c r="C945">
        <v>638</v>
      </c>
      <c r="D945">
        <v>0.15</v>
      </c>
      <c r="E945">
        <v>0</v>
      </c>
      <c r="F945">
        <v>5</v>
      </c>
      <c r="G945" t="b">
        <v>0</v>
      </c>
      <c r="H945">
        <f>IF(inventory__Data[[#This Row],[stock_on_hand]]&lt;=0,1,0)</f>
        <v>0</v>
      </c>
      <c r="I945">
        <f>COUNTIFS(inventory__Data[product_id],inventory__Data[[#This Row],[product_id]],inventory__Data[stock_on_hand],"&lt;=0")</f>
        <v>30</v>
      </c>
    </row>
    <row r="946" spans="1:9" x14ac:dyDescent="0.3">
      <c r="A946" s="1">
        <v>45846</v>
      </c>
      <c r="B946" t="s">
        <v>21</v>
      </c>
      <c r="C946">
        <v>892</v>
      </c>
      <c r="D946">
        <v>0.03</v>
      </c>
      <c r="E946">
        <v>0</v>
      </c>
      <c r="F946">
        <v>2</v>
      </c>
      <c r="G946" t="b">
        <v>0</v>
      </c>
      <c r="H946">
        <f>IF(inventory__Data[[#This Row],[stock_on_hand]]&lt;=0,1,0)</f>
        <v>0</v>
      </c>
      <c r="I946">
        <f>COUNTIFS(inventory__Data[product_id],inventory__Data[[#This Row],[product_id]],inventory__Data[stock_on_hand],"&lt;=0")</f>
        <v>29</v>
      </c>
    </row>
    <row r="947" spans="1:9" x14ac:dyDescent="0.3">
      <c r="A947" s="1">
        <v>45847</v>
      </c>
      <c r="B947" t="s">
        <v>9</v>
      </c>
      <c r="C947">
        <v>656</v>
      </c>
      <c r="D947">
        <v>0.05</v>
      </c>
      <c r="E947">
        <v>0</v>
      </c>
      <c r="F947">
        <v>2</v>
      </c>
      <c r="G947" t="b">
        <v>0</v>
      </c>
      <c r="H947">
        <f>IF(inventory__Data[[#This Row],[stock_on_hand]]&lt;=0,1,0)</f>
        <v>0</v>
      </c>
      <c r="I947">
        <f>COUNTIFS(inventory__Data[product_id],inventory__Data[[#This Row],[product_id]],inventory__Data[stock_on_hand],"&lt;=0")</f>
        <v>25</v>
      </c>
    </row>
    <row r="948" spans="1:9" x14ac:dyDescent="0.3">
      <c r="A948" s="1">
        <v>45847</v>
      </c>
      <c r="B948" t="s">
        <v>12</v>
      </c>
      <c r="C948">
        <v>401</v>
      </c>
      <c r="D948">
        <v>0.02</v>
      </c>
      <c r="E948">
        <v>0</v>
      </c>
      <c r="F948">
        <v>2</v>
      </c>
      <c r="G948" t="b">
        <v>0</v>
      </c>
      <c r="H948">
        <f>IF(inventory__Data[[#This Row],[stock_on_hand]]&lt;=0,1,0)</f>
        <v>0</v>
      </c>
      <c r="I948">
        <f>COUNTIFS(inventory__Data[product_id],inventory__Data[[#This Row],[product_id]],inventory__Data[stock_on_hand],"&lt;=0")</f>
        <v>23</v>
      </c>
    </row>
    <row r="949" spans="1:9" x14ac:dyDescent="0.3">
      <c r="A949" s="1">
        <v>45847</v>
      </c>
      <c r="B949" t="s">
        <v>15</v>
      </c>
      <c r="C949">
        <v>571</v>
      </c>
      <c r="D949">
        <v>0.04</v>
      </c>
      <c r="E949">
        <v>0</v>
      </c>
      <c r="F949">
        <v>2</v>
      </c>
      <c r="G949" t="b">
        <v>0</v>
      </c>
      <c r="H949">
        <f>IF(inventory__Data[[#This Row],[stock_on_hand]]&lt;=0,1,0)</f>
        <v>0</v>
      </c>
      <c r="I949">
        <f>COUNTIFS(inventory__Data[product_id],inventory__Data[[#This Row],[product_id]],inventory__Data[stock_on_hand],"&lt;=0")</f>
        <v>30</v>
      </c>
    </row>
    <row r="950" spans="1:9" x14ac:dyDescent="0.3">
      <c r="A950" s="1">
        <v>45847</v>
      </c>
      <c r="B950" t="s">
        <v>18</v>
      </c>
      <c r="C950">
        <v>0</v>
      </c>
      <c r="D950">
        <v>0.15</v>
      </c>
      <c r="E950">
        <v>0</v>
      </c>
      <c r="F950">
        <v>2</v>
      </c>
      <c r="G950" t="b">
        <v>0</v>
      </c>
      <c r="H950">
        <f>IF(inventory__Data[[#This Row],[stock_on_hand]]&lt;=0,1,0)</f>
        <v>1</v>
      </c>
      <c r="I950">
        <f>COUNTIFS(inventory__Data[product_id],inventory__Data[[#This Row],[product_id]],inventory__Data[stock_on_hand],"&lt;=0")</f>
        <v>30</v>
      </c>
    </row>
    <row r="951" spans="1:9" x14ac:dyDescent="0.3">
      <c r="A951" s="1">
        <v>45847</v>
      </c>
      <c r="B951" t="s">
        <v>21</v>
      </c>
      <c r="C951">
        <v>645</v>
      </c>
      <c r="D951">
        <v>0.03</v>
      </c>
      <c r="E951">
        <v>0</v>
      </c>
      <c r="F951">
        <v>2</v>
      </c>
      <c r="G951" t="b">
        <v>0</v>
      </c>
      <c r="H951">
        <f>IF(inventory__Data[[#This Row],[stock_on_hand]]&lt;=0,1,0)</f>
        <v>0</v>
      </c>
      <c r="I951">
        <f>COUNTIFS(inventory__Data[product_id],inventory__Data[[#This Row],[product_id]],inventory__Data[stock_on_hand],"&lt;=0")</f>
        <v>29</v>
      </c>
    </row>
    <row r="952" spans="1:9" x14ac:dyDescent="0.3">
      <c r="A952" s="1">
        <v>45848</v>
      </c>
      <c r="B952" t="s">
        <v>9</v>
      </c>
      <c r="C952">
        <v>337</v>
      </c>
      <c r="D952">
        <v>0.05</v>
      </c>
      <c r="E952">
        <v>0</v>
      </c>
      <c r="F952">
        <v>2</v>
      </c>
      <c r="G952" t="b">
        <v>0</v>
      </c>
      <c r="H952">
        <f>IF(inventory__Data[[#This Row],[stock_on_hand]]&lt;=0,1,0)</f>
        <v>0</v>
      </c>
      <c r="I952">
        <f>COUNTIFS(inventory__Data[product_id],inventory__Data[[#This Row],[product_id]],inventory__Data[stock_on_hand],"&lt;=0")</f>
        <v>25</v>
      </c>
    </row>
    <row r="953" spans="1:9" x14ac:dyDescent="0.3">
      <c r="A953" s="1">
        <v>45848</v>
      </c>
      <c r="B953" t="s">
        <v>12</v>
      </c>
      <c r="C953">
        <v>409</v>
      </c>
      <c r="D953">
        <v>0.02</v>
      </c>
      <c r="E953">
        <v>0</v>
      </c>
      <c r="F953">
        <v>5</v>
      </c>
      <c r="G953" t="b">
        <v>0</v>
      </c>
      <c r="H953">
        <f>IF(inventory__Data[[#This Row],[stock_on_hand]]&lt;=0,1,0)</f>
        <v>0</v>
      </c>
      <c r="I953">
        <f>COUNTIFS(inventory__Data[product_id],inventory__Data[[#This Row],[product_id]],inventory__Data[stock_on_hand],"&lt;=0")</f>
        <v>23</v>
      </c>
    </row>
    <row r="954" spans="1:9" x14ac:dyDescent="0.3">
      <c r="A954" s="1">
        <v>45848</v>
      </c>
      <c r="B954" t="s">
        <v>15</v>
      </c>
      <c r="C954">
        <v>281</v>
      </c>
      <c r="D954">
        <v>0.04</v>
      </c>
      <c r="E954">
        <v>0</v>
      </c>
      <c r="F954">
        <v>2</v>
      </c>
      <c r="G954" t="b">
        <v>0</v>
      </c>
      <c r="H954">
        <f>IF(inventory__Data[[#This Row],[stock_on_hand]]&lt;=0,1,0)</f>
        <v>0</v>
      </c>
      <c r="I954">
        <f>COUNTIFS(inventory__Data[product_id],inventory__Data[[#This Row],[product_id]],inventory__Data[stock_on_hand],"&lt;=0")</f>
        <v>30</v>
      </c>
    </row>
    <row r="955" spans="1:9" x14ac:dyDescent="0.3">
      <c r="A955" s="1">
        <v>45848</v>
      </c>
      <c r="B955" t="s">
        <v>18</v>
      </c>
      <c r="C955">
        <v>439</v>
      </c>
      <c r="D955">
        <v>0.15</v>
      </c>
      <c r="E955">
        <v>0</v>
      </c>
      <c r="F955">
        <v>2</v>
      </c>
      <c r="G955" t="b">
        <v>0</v>
      </c>
      <c r="H955">
        <f>IF(inventory__Data[[#This Row],[stock_on_hand]]&lt;=0,1,0)</f>
        <v>0</v>
      </c>
      <c r="I955">
        <f>COUNTIFS(inventory__Data[product_id],inventory__Data[[#This Row],[product_id]],inventory__Data[stock_on_hand],"&lt;=0")</f>
        <v>30</v>
      </c>
    </row>
    <row r="956" spans="1:9" x14ac:dyDescent="0.3">
      <c r="A956" s="1">
        <v>45848</v>
      </c>
      <c r="B956" t="s">
        <v>21</v>
      </c>
      <c r="C956">
        <v>592</v>
      </c>
      <c r="D956">
        <v>0.03</v>
      </c>
      <c r="E956">
        <v>0</v>
      </c>
      <c r="F956">
        <v>2</v>
      </c>
      <c r="G956" t="b">
        <v>0</v>
      </c>
      <c r="H956">
        <f>IF(inventory__Data[[#This Row],[stock_on_hand]]&lt;=0,1,0)</f>
        <v>0</v>
      </c>
      <c r="I956">
        <f>COUNTIFS(inventory__Data[product_id],inventory__Data[[#This Row],[product_id]],inventory__Data[stock_on_hand],"&lt;=0")</f>
        <v>29</v>
      </c>
    </row>
    <row r="957" spans="1:9" x14ac:dyDescent="0.3">
      <c r="A957" s="1">
        <v>45849</v>
      </c>
      <c r="B957" t="s">
        <v>9</v>
      </c>
      <c r="C957">
        <v>863</v>
      </c>
      <c r="D957">
        <v>0.05</v>
      </c>
      <c r="E957">
        <v>0</v>
      </c>
      <c r="F957">
        <v>5</v>
      </c>
      <c r="G957" t="b">
        <v>0</v>
      </c>
      <c r="H957">
        <f>IF(inventory__Data[[#This Row],[stock_on_hand]]&lt;=0,1,0)</f>
        <v>0</v>
      </c>
      <c r="I957">
        <f>COUNTIFS(inventory__Data[product_id],inventory__Data[[#This Row],[product_id]],inventory__Data[stock_on_hand],"&lt;=0")</f>
        <v>25</v>
      </c>
    </row>
    <row r="958" spans="1:9" x14ac:dyDescent="0.3">
      <c r="A958" s="1">
        <v>45849</v>
      </c>
      <c r="B958" t="s">
        <v>12</v>
      </c>
      <c r="C958">
        <v>356</v>
      </c>
      <c r="D958">
        <v>0.02</v>
      </c>
      <c r="E958">
        <v>0</v>
      </c>
      <c r="F958">
        <v>5</v>
      </c>
      <c r="G958" t="b">
        <v>0</v>
      </c>
      <c r="H958">
        <f>IF(inventory__Data[[#This Row],[stock_on_hand]]&lt;=0,1,0)</f>
        <v>0</v>
      </c>
      <c r="I958">
        <f>COUNTIFS(inventory__Data[product_id],inventory__Data[[#This Row],[product_id]],inventory__Data[stock_on_hand],"&lt;=0")</f>
        <v>23</v>
      </c>
    </row>
    <row r="959" spans="1:9" x14ac:dyDescent="0.3">
      <c r="A959" s="1">
        <v>45849</v>
      </c>
      <c r="B959" t="s">
        <v>15</v>
      </c>
      <c r="C959">
        <v>327</v>
      </c>
      <c r="D959">
        <v>0.04</v>
      </c>
      <c r="E959">
        <v>0</v>
      </c>
      <c r="F959">
        <v>15</v>
      </c>
      <c r="G959" t="b">
        <v>0</v>
      </c>
      <c r="H959">
        <f>IF(inventory__Data[[#This Row],[stock_on_hand]]&lt;=0,1,0)</f>
        <v>0</v>
      </c>
      <c r="I959">
        <f>COUNTIFS(inventory__Data[product_id],inventory__Data[[#This Row],[product_id]],inventory__Data[stock_on_hand],"&lt;=0")</f>
        <v>30</v>
      </c>
    </row>
    <row r="960" spans="1:9" x14ac:dyDescent="0.3">
      <c r="A960" s="1">
        <v>45849</v>
      </c>
      <c r="B960" t="s">
        <v>18</v>
      </c>
      <c r="C960">
        <v>809</v>
      </c>
      <c r="D960">
        <v>0.15</v>
      </c>
      <c r="E960">
        <v>0</v>
      </c>
      <c r="F960">
        <v>5</v>
      </c>
      <c r="G960" t="b">
        <v>0</v>
      </c>
      <c r="H960">
        <f>IF(inventory__Data[[#This Row],[stock_on_hand]]&lt;=0,1,0)</f>
        <v>0</v>
      </c>
      <c r="I960">
        <f>COUNTIFS(inventory__Data[product_id],inventory__Data[[#This Row],[product_id]],inventory__Data[stock_on_hand],"&lt;=0")</f>
        <v>30</v>
      </c>
    </row>
    <row r="961" spans="1:9" x14ac:dyDescent="0.3">
      <c r="A961" s="1">
        <v>45849</v>
      </c>
      <c r="B961" t="s">
        <v>21</v>
      </c>
      <c r="C961">
        <v>736</v>
      </c>
      <c r="D961">
        <v>0.03</v>
      </c>
      <c r="E961">
        <v>0</v>
      </c>
      <c r="F961">
        <v>5</v>
      </c>
      <c r="G961" t="b">
        <v>0</v>
      </c>
      <c r="H961">
        <f>IF(inventory__Data[[#This Row],[stock_on_hand]]&lt;=0,1,0)</f>
        <v>0</v>
      </c>
      <c r="I961">
        <f>COUNTIFS(inventory__Data[product_id],inventory__Data[[#This Row],[product_id]],inventory__Data[stock_on_hand],"&lt;=0")</f>
        <v>29</v>
      </c>
    </row>
    <row r="962" spans="1:9" x14ac:dyDescent="0.3">
      <c r="A962" s="1">
        <v>45850</v>
      </c>
      <c r="B962" t="s">
        <v>9</v>
      </c>
      <c r="C962">
        <v>21</v>
      </c>
      <c r="D962">
        <v>0.05</v>
      </c>
      <c r="E962">
        <v>0</v>
      </c>
      <c r="F962">
        <v>2</v>
      </c>
      <c r="G962" t="b">
        <v>0</v>
      </c>
      <c r="H962">
        <f>IF(inventory__Data[[#This Row],[stock_on_hand]]&lt;=0,1,0)</f>
        <v>0</v>
      </c>
      <c r="I962">
        <f>COUNTIFS(inventory__Data[product_id],inventory__Data[[#This Row],[product_id]],inventory__Data[stock_on_hand],"&lt;=0")</f>
        <v>25</v>
      </c>
    </row>
    <row r="963" spans="1:9" x14ac:dyDescent="0.3">
      <c r="A963" s="1">
        <v>45850</v>
      </c>
      <c r="B963" t="s">
        <v>12</v>
      </c>
      <c r="C963">
        <v>588</v>
      </c>
      <c r="D963">
        <v>0.02</v>
      </c>
      <c r="E963">
        <v>0</v>
      </c>
      <c r="F963">
        <v>10</v>
      </c>
      <c r="G963" t="b">
        <v>0</v>
      </c>
      <c r="H963">
        <f>IF(inventory__Data[[#This Row],[stock_on_hand]]&lt;=0,1,0)</f>
        <v>0</v>
      </c>
      <c r="I963">
        <f>COUNTIFS(inventory__Data[product_id],inventory__Data[[#This Row],[product_id]],inventory__Data[stock_on_hand],"&lt;=0")</f>
        <v>23</v>
      </c>
    </row>
    <row r="964" spans="1:9" x14ac:dyDescent="0.3">
      <c r="A964" s="1">
        <v>45850</v>
      </c>
      <c r="B964" t="s">
        <v>15</v>
      </c>
      <c r="C964">
        <v>277</v>
      </c>
      <c r="D964">
        <v>0.04</v>
      </c>
      <c r="E964">
        <v>0</v>
      </c>
      <c r="F964">
        <v>10</v>
      </c>
      <c r="G964" t="b">
        <v>0</v>
      </c>
      <c r="H964">
        <f>IF(inventory__Data[[#This Row],[stock_on_hand]]&lt;=0,1,0)</f>
        <v>0</v>
      </c>
      <c r="I964">
        <f>COUNTIFS(inventory__Data[product_id],inventory__Data[[#This Row],[product_id]],inventory__Data[stock_on_hand],"&lt;=0")</f>
        <v>30</v>
      </c>
    </row>
    <row r="965" spans="1:9" x14ac:dyDescent="0.3">
      <c r="A965" s="1">
        <v>45850</v>
      </c>
      <c r="B965" t="s">
        <v>18</v>
      </c>
      <c r="C965">
        <v>399</v>
      </c>
      <c r="D965">
        <v>0.15</v>
      </c>
      <c r="E965">
        <v>0</v>
      </c>
      <c r="F965">
        <v>5</v>
      </c>
      <c r="G965" t="b">
        <v>0</v>
      </c>
      <c r="H965">
        <f>IF(inventory__Data[[#This Row],[stock_on_hand]]&lt;=0,1,0)</f>
        <v>0</v>
      </c>
      <c r="I965">
        <f>COUNTIFS(inventory__Data[product_id],inventory__Data[[#This Row],[product_id]],inventory__Data[stock_on_hand],"&lt;=0")</f>
        <v>30</v>
      </c>
    </row>
    <row r="966" spans="1:9" x14ac:dyDescent="0.3">
      <c r="A966" s="1">
        <v>45850</v>
      </c>
      <c r="B966" t="s">
        <v>21</v>
      </c>
      <c r="C966">
        <v>882</v>
      </c>
      <c r="D966">
        <v>0.03</v>
      </c>
      <c r="E966">
        <v>0</v>
      </c>
      <c r="F966">
        <v>2</v>
      </c>
      <c r="G966" t="b">
        <v>0</v>
      </c>
      <c r="H966">
        <f>IF(inventory__Data[[#This Row],[stock_on_hand]]&lt;=0,1,0)</f>
        <v>0</v>
      </c>
      <c r="I966">
        <f>COUNTIFS(inventory__Data[product_id],inventory__Data[[#This Row],[product_id]],inventory__Data[stock_on_hand],"&lt;=0")</f>
        <v>29</v>
      </c>
    </row>
    <row r="967" spans="1:9" x14ac:dyDescent="0.3">
      <c r="A967" s="1">
        <v>45851</v>
      </c>
      <c r="B967" t="s">
        <v>9</v>
      </c>
      <c r="C967">
        <v>123</v>
      </c>
      <c r="D967">
        <v>0.05</v>
      </c>
      <c r="E967">
        <v>0</v>
      </c>
      <c r="F967">
        <v>15</v>
      </c>
      <c r="G967" t="b">
        <v>0</v>
      </c>
      <c r="H967">
        <f>IF(inventory__Data[[#This Row],[stock_on_hand]]&lt;=0,1,0)</f>
        <v>0</v>
      </c>
      <c r="I967">
        <f>COUNTIFS(inventory__Data[product_id],inventory__Data[[#This Row],[product_id]],inventory__Data[stock_on_hand],"&lt;=0")</f>
        <v>25</v>
      </c>
    </row>
    <row r="968" spans="1:9" x14ac:dyDescent="0.3">
      <c r="A968" s="1">
        <v>45851</v>
      </c>
      <c r="B968" t="s">
        <v>12</v>
      </c>
      <c r="C968">
        <v>307</v>
      </c>
      <c r="D968">
        <v>0.02</v>
      </c>
      <c r="E968">
        <v>0</v>
      </c>
      <c r="F968">
        <v>10</v>
      </c>
      <c r="G968" t="b">
        <v>0</v>
      </c>
      <c r="H968">
        <f>IF(inventory__Data[[#This Row],[stock_on_hand]]&lt;=0,1,0)</f>
        <v>0</v>
      </c>
      <c r="I968">
        <f>COUNTIFS(inventory__Data[product_id],inventory__Data[[#This Row],[product_id]],inventory__Data[stock_on_hand],"&lt;=0")</f>
        <v>23</v>
      </c>
    </row>
    <row r="969" spans="1:9" x14ac:dyDescent="0.3">
      <c r="A969" s="1">
        <v>45851</v>
      </c>
      <c r="B969" t="s">
        <v>15</v>
      </c>
      <c r="C969">
        <v>264</v>
      </c>
      <c r="D969">
        <v>0.04</v>
      </c>
      <c r="E969">
        <v>0</v>
      </c>
      <c r="F969">
        <v>2</v>
      </c>
      <c r="G969" t="b">
        <v>0</v>
      </c>
      <c r="H969">
        <f>IF(inventory__Data[[#This Row],[stock_on_hand]]&lt;=0,1,0)</f>
        <v>0</v>
      </c>
      <c r="I969">
        <f>COUNTIFS(inventory__Data[product_id],inventory__Data[[#This Row],[product_id]],inventory__Data[stock_on_hand],"&lt;=0")</f>
        <v>30</v>
      </c>
    </row>
    <row r="970" spans="1:9" x14ac:dyDescent="0.3">
      <c r="A970" s="1">
        <v>45851</v>
      </c>
      <c r="B970" t="s">
        <v>18</v>
      </c>
      <c r="C970">
        <v>487</v>
      </c>
      <c r="D970">
        <v>0.15</v>
      </c>
      <c r="E970">
        <v>0</v>
      </c>
      <c r="F970">
        <v>2</v>
      </c>
      <c r="G970" t="b">
        <v>0</v>
      </c>
      <c r="H970">
        <f>IF(inventory__Data[[#This Row],[stock_on_hand]]&lt;=0,1,0)</f>
        <v>0</v>
      </c>
      <c r="I970">
        <f>COUNTIFS(inventory__Data[product_id],inventory__Data[[#This Row],[product_id]],inventory__Data[stock_on_hand],"&lt;=0")</f>
        <v>30</v>
      </c>
    </row>
    <row r="971" spans="1:9" x14ac:dyDescent="0.3">
      <c r="A971" s="1">
        <v>45851</v>
      </c>
      <c r="B971" t="s">
        <v>21</v>
      </c>
      <c r="C971">
        <v>0</v>
      </c>
      <c r="D971">
        <v>0.03</v>
      </c>
      <c r="E971">
        <v>0</v>
      </c>
      <c r="F971">
        <v>2</v>
      </c>
      <c r="G971" t="b">
        <v>0</v>
      </c>
      <c r="H971">
        <f>IF(inventory__Data[[#This Row],[stock_on_hand]]&lt;=0,1,0)</f>
        <v>1</v>
      </c>
      <c r="I971">
        <f>COUNTIFS(inventory__Data[product_id],inventory__Data[[#This Row],[product_id]],inventory__Data[stock_on_hand],"&lt;=0")</f>
        <v>29</v>
      </c>
    </row>
    <row r="972" spans="1:9" x14ac:dyDescent="0.3">
      <c r="A972" s="1">
        <v>45852</v>
      </c>
      <c r="B972" t="s">
        <v>9</v>
      </c>
      <c r="C972">
        <v>825</v>
      </c>
      <c r="D972">
        <v>0.05</v>
      </c>
      <c r="E972">
        <v>0</v>
      </c>
      <c r="F972">
        <v>5</v>
      </c>
      <c r="G972" t="b">
        <v>0</v>
      </c>
      <c r="H972">
        <f>IF(inventory__Data[[#This Row],[stock_on_hand]]&lt;=0,1,0)</f>
        <v>0</v>
      </c>
      <c r="I972">
        <f>COUNTIFS(inventory__Data[product_id],inventory__Data[[#This Row],[product_id]],inventory__Data[stock_on_hand],"&lt;=0")</f>
        <v>25</v>
      </c>
    </row>
    <row r="973" spans="1:9" x14ac:dyDescent="0.3">
      <c r="A973" s="1">
        <v>45852</v>
      </c>
      <c r="B973" t="s">
        <v>12</v>
      </c>
      <c r="C973">
        <v>423</v>
      </c>
      <c r="D973">
        <v>0.02</v>
      </c>
      <c r="E973">
        <v>0</v>
      </c>
      <c r="F973">
        <v>2</v>
      </c>
      <c r="G973" t="b">
        <v>0</v>
      </c>
      <c r="H973">
        <f>IF(inventory__Data[[#This Row],[stock_on_hand]]&lt;=0,1,0)</f>
        <v>0</v>
      </c>
      <c r="I973">
        <f>COUNTIFS(inventory__Data[product_id],inventory__Data[[#This Row],[product_id]],inventory__Data[stock_on_hand],"&lt;=0")</f>
        <v>23</v>
      </c>
    </row>
    <row r="974" spans="1:9" x14ac:dyDescent="0.3">
      <c r="A974" s="1">
        <v>45852</v>
      </c>
      <c r="B974" t="s">
        <v>15</v>
      </c>
      <c r="C974">
        <v>501</v>
      </c>
      <c r="D974">
        <v>0.04</v>
      </c>
      <c r="E974">
        <v>0</v>
      </c>
      <c r="F974">
        <v>2</v>
      </c>
      <c r="G974" t="b">
        <v>0</v>
      </c>
      <c r="H974">
        <f>IF(inventory__Data[[#This Row],[stock_on_hand]]&lt;=0,1,0)</f>
        <v>0</v>
      </c>
      <c r="I974">
        <f>COUNTIFS(inventory__Data[product_id],inventory__Data[[#This Row],[product_id]],inventory__Data[stock_on_hand],"&lt;=0")</f>
        <v>30</v>
      </c>
    </row>
    <row r="975" spans="1:9" x14ac:dyDescent="0.3">
      <c r="A975" s="1">
        <v>45852</v>
      </c>
      <c r="B975" t="s">
        <v>18</v>
      </c>
      <c r="C975">
        <v>555</v>
      </c>
      <c r="D975">
        <v>0.15</v>
      </c>
      <c r="E975">
        <v>0</v>
      </c>
      <c r="F975">
        <v>2</v>
      </c>
      <c r="G975" t="b">
        <v>0</v>
      </c>
      <c r="H975">
        <f>IF(inventory__Data[[#This Row],[stock_on_hand]]&lt;=0,1,0)</f>
        <v>0</v>
      </c>
      <c r="I975">
        <f>COUNTIFS(inventory__Data[product_id],inventory__Data[[#This Row],[product_id]],inventory__Data[stock_on_hand],"&lt;=0")</f>
        <v>30</v>
      </c>
    </row>
    <row r="976" spans="1:9" x14ac:dyDescent="0.3">
      <c r="A976" s="1">
        <v>45852</v>
      </c>
      <c r="B976" t="s">
        <v>21</v>
      </c>
      <c r="C976">
        <v>675</v>
      </c>
      <c r="D976">
        <v>0.03</v>
      </c>
      <c r="E976">
        <v>0</v>
      </c>
      <c r="F976">
        <v>2</v>
      </c>
      <c r="G976" t="b">
        <v>0</v>
      </c>
      <c r="H976">
        <f>IF(inventory__Data[[#This Row],[stock_on_hand]]&lt;=0,1,0)</f>
        <v>0</v>
      </c>
      <c r="I976">
        <f>COUNTIFS(inventory__Data[product_id],inventory__Data[[#This Row],[product_id]],inventory__Data[stock_on_hand],"&lt;=0")</f>
        <v>29</v>
      </c>
    </row>
    <row r="977" spans="1:9" x14ac:dyDescent="0.3">
      <c r="A977" s="1">
        <v>45853</v>
      </c>
      <c r="B977" t="s">
        <v>9</v>
      </c>
      <c r="C977">
        <v>0</v>
      </c>
      <c r="D977">
        <v>0.05</v>
      </c>
      <c r="E977">
        <v>0</v>
      </c>
      <c r="F977">
        <v>2</v>
      </c>
      <c r="G977" t="b">
        <v>0</v>
      </c>
      <c r="H977">
        <f>IF(inventory__Data[[#This Row],[stock_on_hand]]&lt;=0,1,0)</f>
        <v>1</v>
      </c>
      <c r="I977">
        <f>COUNTIFS(inventory__Data[product_id],inventory__Data[[#This Row],[product_id]],inventory__Data[stock_on_hand],"&lt;=0")</f>
        <v>25</v>
      </c>
    </row>
    <row r="978" spans="1:9" x14ac:dyDescent="0.3">
      <c r="A978" s="1">
        <v>45853</v>
      </c>
      <c r="B978" t="s">
        <v>12</v>
      </c>
      <c r="C978">
        <v>58</v>
      </c>
      <c r="D978">
        <v>0.02</v>
      </c>
      <c r="E978">
        <v>0</v>
      </c>
      <c r="F978">
        <v>2</v>
      </c>
      <c r="G978" t="b">
        <v>0</v>
      </c>
      <c r="H978">
        <f>IF(inventory__Data[[#This Row],[stock_on_hand]]&lt;=0,1,0)</f>
        <v>0</v>
      </c>
      <c r="I978">
        <f>COUNTIFS(inventory__Data[product_id],inventory__Data[[#This Row],[product_id]],inventory__Data[stock_on_hand],"&lt;=0")</f>
        <v>23</v>
      </c>
    </row>
    <row r="979" spans="1:9" x14ac:dyDescent="0.3">
      <c r="A979" s="1">
        <v>45853</v>
      </c>
      <c r="B979" t="s">
        <v>15</v>
      </c>
      <c r="C979">
        <v>831</v>
      </c>
      <c r="D979">
        <v>0.04</v>
      </c>
      <c r="E979">
        <v>0</v>
      </c>
      <c r="F979">
        <v>5</v>
      </c>
      <c r="G979" t="b">
        <v>0</v>
      </c>
      <c r="H979">
        <f>IF(inventory__Data[[#This Row],[stock_on_hand]]&lt;=0,1,0)</f>
        <v>0</v>
      </c>
      <c r="I979">
        <f>COUNTIFS(inventory__Data[product_id],inventory__Data[[#This Row],[product_id]],inventory__Data[stock_on_hand],"&lt;=0")</f>
        <v>30</v>
      </c>
    </row>
    <row r="980" spans="1:9" x14ac:dyDescent="0.3">
      <c r="A980" s="1">
        <v>45853</v>
      </c>
      <c r="B980" t="s">
        <v>18</v>
      </c>
      <c r="C980">
        <v>383</v>
      </c>
      <c r="D980">
        <v>0.15</v>
      </c>
      <c r="E980">
        <v>0</v>
      </c>
      <c r="F980">
        <v>2</v>
      </c>
      <c r="G980" t="b">
        <v>0</v>
      </c>
      <c r="H980">
        <f>IF(inventory__Data[[#This Row],[stock_on_hand]]&lt;=0,1,0)</f>
        <v>0</v>
      </c>
      <c r="I980">
        <f>COUNTIFS(inventory__Data[product_id],inventory__Data[[#This Row],[product_id]],inventory__Data[stock_on_hand],"&lt;=0")</f>
        <v>30</v>
      </c>
    </row>
    <row r="981" spans="1:9" x14ac:dyDescent="0.3">
      <c r="A981" s="1">
        <v>45853</v>
      </c>
      <c r="B981" t="s">
        <v>21</v>
      </c>
      <c r="C981">
        <v>798</v>
      </c>
      <c r="D981">
        <v>0.03</v>
      </c>
      <c r="E981">
        <v>0</v>
      </c>
      <c r="F981">
        <v>2</v>
      </c>
      <c r="G981" t="b">
        <v>0</v>
      </c>
      <c r="H981">
        <f>IF(inventory__Data[[#This Row],[stock_on_hand]]&lt;=0,1,0)</f>
        <v>0</v>
      </c>
      <c r="I981">
        <f>COUNTIFS(inventory__Data[product_id],inventory__Data[[#This Row],[product_id]],inventory__Data[stock_on_hand],"&lt;=0")</f>
        <v>29</v>
      </c>
    </row>
    <row r="982" spans="1:9" x14ac:dyDescent="0.3">
      <c r="A982" s="1">
        <v>45854</v>
      </c>
      <c r="B982" t="s">
        <v>9</v>
      </c>
      <c r="C982">
        <v>599</v>
      </c>
      <c r="D982">
        <v>0.05</v>
      </c>
      <c r="E982">
        <v>0</v>
      </c>
      <c r="F982">
        <v>2</v>
      </c>
      <c r="G982" t="b">
        <v>0</v>
      </c>
      <c r="H982">
        <f>IF(inventory__Data[[#This Row],[stock_on_hand]]&lt;=0,1,0)</f>
        <v>0</v>
      </c>
      <c r="I982">
        <f>COUNTIFS(inventory__Data[product_id],inventory__Data[[#This Row],[product_id]],inventory__Data[stock_on_hand],"&lt;=0")</f>
        <v>25</v>
      </c>
    </row>
    <row r="983" spans="1:9" x14ac:dyDescent="0.3">
      <c r="A983" s="1">
        <v>45854</v>
      </c>
      <c r="B983" t="s">
        <v>12</v>
      </c>
      <c r="C983">
        <v>63</v>
      </c>
      <c r="D983">
        <v>0.02</v>
      </c>
      <c r="E983">
        <v>0</v>
      </c>
      <c r="F983">
        <v>5</v>
      </c>
      <c r="G983" t="b">
        <v>0</v>
      </c>
      <c r="H983">
        <f>IF(inventory__Data[[#This Row],[stock_on_hand]]&lt;=0,1,0)</f>
        <v>0</v>
      </c>
      <c r="I983">
        <f>COUNTIFS(inventory__Data[product_id],inventory__Data[[#This Row],[product_id]],inventory__Data[stock_on_hand],"&lt;=0")</f>
        <v>23</v>
      </c>
    </row>
    <row r="984" spans="1:9" x14ac:dyDescent="0.3">
      <c r="A984" s="1">
        <v>45854</v>
      </c>
      <c r="B984" t="s">
        <v>15</v>
      </c>
      <c r="C984">
        <v>581</v>
      </c>
      <c r="D984">
        <v>0.04</v>
      </c>
      <c r="E984">
        <v>0</v>
      </c>
      <c r="F984">
        <v>2</v>
      </c>
      <c r="G984" t="b">
        <v>0</v>
      </c>
      <c r="H984">
        <f>IF(inventory__Data[[#This Row],[stock_on_hand]]&lt;=0,1,0)</f>
        <v>0</v>
      </c>
      <c r="I984">
        <f>COUNTIFS(inventory__Data[product_id],inventory__Data[[#This Row],[product_id]],inventory__Data[stock_on_hand],"&lt;=0")</f>
        <v>30</v>
      </c>
    </row>
    <row r="985" spans="1:9" x14ac:dyDescent="0.3">
      <c r="A985" s="1">
        <v>45854</v>
      </c>
      <c r="B985" t="s">
        <v>18</v>
      </c>
      <c r="C985">
        <v>295</v>
      </c>
      <c r="D985">
        <v>0.15</v>
      </c>
      <c r="E985">
        <v>0</v>
      </c>
      <c r="F985">
        <v>2</v>
      </c>
      <c r="G985" t="b">
        <v>0</v>
      </c>
      <c r="H985">
        <f>IF(inventory__Data[[#This Row],[stock_on_hand]]&lt;=0,1,0)</f>
        <v>0</v>
      </c>
      <c r="I985">
        <f>COUNTIFS(inventory__Data[product_id],inventory__Data[[#This Row],[product_id]],inventory__Data[stock_on_hand],"&lt;=0")</f>
        <v>30</v>
      </c>
    </row>
    <row r="986" spans="1:9" x14ac:dyDescent="0.3">
      <c r="A986" s="1">
        <v>45854</v>
      </c>
      <c r="B986" t="s">
        <v>21</v>
      </c>
      <c r="C986">
        <v>610</v>
      </c>
      <c r="D986">
        <v>0.03</v>
      </c>
      <c r="E986">
        <v>0</v>
      </c>
      <c r="F986">
        <v>5</v>
      </c>
      <c r="G986" t="b">
        <v>0</v>
      </c>
      <c r="H986">
        <f>IF(inventory__Data[[#This Row],[stock_on_hand]]&lt;=0,1,0)</f>
        <v>0</v>
      </c>
      <c r="I986">
        <f>COUNTIFS(inventory__Data[product_id],inventory__Data[[#This Row],[product_id]],inventory__Data[stock_on_hand],"&lt;=0")</f>
        <v>29</v>
      </c>
    </row>
    <row r="987" spans="1:9" x14ac:dyDescent="0.3">
      <c r="A987" s="1">
        <v>45855</v>
      </c>
      <c r="B987" t="s">
        <v>9</v>
      </c>
      <c r="C987">
        <v>62</v>
      </c>
      <c r="D987">
        <v>0.05</v>
      </c>
      <c r="E987">
        <v>0</v>
      </c>
      <c r="F987">
        <v>2</v>
      </c>
      <c r="G987" t="b">
        <v>0</v>
      </c>
      <c r="H987">
        <f>IF(inventory__Data[[#This Row],[stock_on_hand]]&lt;=0,1,0)</f>
        <v>0</v>
      </c>
      <c r="I987">
        <f>COUNTIFS(inventory__Data[product_id],inventory__Data[[#This Row],[product_id]],inventory__Data[stock_on_hand],"&lt;=0")</f>
        <v>25</v>
      </c>
    </row>
    <row r="988" spans="1:9" x14ac:dyDescent="0.3">
      <c r="A988" s="1">
        <v>45855</v>
      </c>
      <c r="B988" t="s">
        <v>12</v>
      </c>
      <c r="C988">
        <v>473</v>
      </c>
      <c r="D988">
        <v>0.02</v>
      </c>
      <c r="E988">
        <v>0</v>
      </c>
      <c r="F988">
        <v>5</v>
      </c>
      <c r="G988" t="b">
        <v>0</v>
      </c>
      <c r="H988">
        <f>IF(inventory__Data[[#This Row],[stock_on_hand]]&lt;=0,1,0)</f>
        <v>0</v>
      </c>
      <c r="I988">
        <f>COUNTIFS(inventory__Data[product_id],inventory__Data[[#This Row],[product_id]],inventory__Data[stock_on_hand],"&lt;=0")</f>
        <v>23</v>
      </c>
    </row>
    <row r="989" spans="1:9" x14ac:dyDescent="0.3">
      <c r="A989" s="1">
        <v>45855</v>
      </c>
      <c r="B989" t="s">
        <v>15</v>
      </c>
      <c r="C989">
        <v>46</v>
      </c>
      <c r="D989">
        <v>0.04</v>
      </c>
      <c r="E989">
        <v>0</v>
      </c>
      <c r="F989">
        <v>5</v>
      </c>
      <c r="G989" t="b">
        <v>0</v>
      </c>
      <c r="H989">
        <f>IF(inventory__Data[[#This Row],[stock_on_hand]]&lt;=0,1,0)</f>
        <v>0</v>
      </c>
      <c r="I989">
        <f>COUNTIFS(inventory__Data[product_id],inventory__Data[[#This Row],[product_id]],inventory__Data[stock_on_hand],"&lt;=0")</f>
        <v>30</v>
      </c>
    </row>
    <row r="990" spans="1:9" x14ac:dyDescent="0.3">
      <c r="A990" s="1">
        <v>45855</v>
      </c>
      <c r="B990" t="s">
        <v>18</v>
      </c>
      <c r="C990">
        <v>704</v>
      </c>
      <c r="D990">
        <v>0.15</v>
      </c>
      <c r="E990">
        <v>0</v>
      </c>
      <c r="F990">
        <v>2</v>
      </c>
      <c r="G990" t="b">
        <v>0</v>
      </c>
      <c r="H990">
        <f>IF(inventory__Data[[#This Row],[stock_on_hand]]&lt;=0,1,0)</f>
        <v>0</v>
      </c>
      <c r="I990">
        <f>COUNTIFS(inventory__Data[product_id],inventory__Data[[#This Row],[product_id]],inventory__Data[stock_on_hand],"&lt;=0")</f>
        <v>30</v>
      </c>
    </row>
    <row r="991" spans="1:9" x14ac:dyDescent="0.3">
      <c r="A991" s="1">
        <v>45855</v>
      </c>
      <c r="B991" t="s">
        <v>21</v>
      </c>
      <c r="C991">
        <v>152</v>
      </c>
      <c r="D991">
        <v>0.03</v>
      </c>
      <c r="E991">
        <v>0</v>
      </c>
      <c r="F991">
        <v>2</v>
      </c>
      <c r="G991" t="b">
        <v>0</v>
      </c>
      <c r="H991">
        <f>IF(inventory__Data[[#This Row],[stock_on_hand]]&lt;=0,1,0)</f>
        <v>0</v>
      </c>
      <c r="I991">
        <f>COUNTIFS(inventory__Data[product_id],inventory__Data[[#This Row],[product_id]],inventory__Data[stock_on_hand],"&lt;=0")</f>
        <v>29</v>
      </c>
    </row>
    <row r="992" spans="1:9" x14ac:dyDescent="0.3">
      <c r="A992" s="1">
        <v>45856</v>
      </c>
      <c r="B992" t="s">
        <v>9</v>
      </c>
      <c r="C992">
        <v>887</v>
      </c>
      <c r="D992">
        <v>0.05</v>
      </c>
      <c r="E992">
        <v>0</v>
      </c>
      <c r="F992">
        <v>2</v>
      </c>
      <c r="G992" t="b">
        <v>0</v>
      </c>
      <c r="H992">
        <f>IF(inventory__Data[[#This Row],[stock_on_hand]]&lt;=0,1,0)</f>
        <v>0</v>
      </c>
      <c r="I992">
        <f>COUNTIFS(inventory__Data[product_id],inventory__Data[[#This Row],[product_id]],inventory__Data[stock_on_hand],"&lt;=0")</f>
        <v>25</v>
      </c>
    </row>
    <row r="993" spans="1:9" x14ac:dyDescent="0.3">
      <c r="A993" s="1">
        <v>45856</v>
      </c>
      <c r="B993" t="s">
        <v>12</v>
      </c>
      <c r="C993">
        <v>419</v>
      </c>
      <c r="D993">
        <v>0.02</v>
      </c>
      <c r="E993">
        <v>0</v>
      </c>
      <c r="F993">
        <v>5</v>
      </c>
      <c r="G993" t="b">
        <v>0</v>
      </c>
      <c r="H993">
        <f>IF(inventory__Data[[#This Row],[stock_on_hand]]&lt;=0,1,0)</f>
        <v>0</v>
      </c>
      <c r="I993">
        <f>COUNTIFS(inventory__Data[product_id],inventory__Data[[#This Row],[product_id]],inventory__Data[stock_on_hand],"&lt;=0")</f>
        <v>23</v>
      </c>
    </row>
    <row r="994" spans="1:9" x14ac:dyDescent="0.3">
      <c r="A994" s="1">
        <v>45856</v>
      </c>
      <c r="B994" t="s">
        <v>15</v>
      </c>
      <c r="C994">
        <v>250</v>
      </c>
      <c r="D994">
        <v>0.04</v>
      </c>
      <c r="E994">
        <v>0</v>
      </c>
      <c r="F994">
        <v>5</v>
      </c>
      <c r="G994" t="b">
        <v>0</v>
      </c>
      <c r="H994">
        <f>IF(inventory__Data[[#This Row],[stock_on_hand]]&lt;=0,1,0)</f>
        <v>0</v>
      </c>
      <c r="I994">
        <f>COUNTIFS(inventory__Data[product_id],inventory__Data[[#This Row],[product_id]],inventory__Data[stock_on_hand],"&lt;=0")</f>
        <v>30</v>
      </c>
    </row>
    <row r="995" spans="1:9" x14ac:dyDescent="0.3">
      <c r="A995" s="1">
        <v>45856</v>
      </c>
      <c r="B995" t="s">
        <v>18</v>
      </c>
      <c r="C995">
        <v>528</v>
      </c>
      <c r="D995">
        <v>0.15</v>
      </c>
      <c r="E995">
        <v>0</v>
      </c>
      <c r="F995">
        <v>2</v>
      </c>
      <c r="G995" t="b">
        <v>0</v>
      </c>
      <c r="H995">
        <f>IF(inventory__Data[[#This Row],[stock_on_hand]]&lt;=0,1,0)</f>
        <v>0</v>
      </c>
      <c r="I995">
        <f>COUNTIFS(inventory__Data[product_id],inventory__Data[[#This Row],[product_id]],inventory__Data[stock_on_hand],"&lt;=0")</f>
        <v>30</v>
      </c>
    </row>
    <row r="996" spans="1:9" x14ac:dyDescent="0.3">
      <c r="A996" s="1">
        <v>45856</v>
      </c>
      <c r="B996" t="s">
        <v>21</v>
      </c>
      <c r="C996">
        <v>397</v>
      </c>
      <c r="D996">
        <v>0.03</v>
      </c>
      <c r="E996">
        <v>0</v>
      </c>
      <c r="F996">
        <v>2</v>
      </c>
      <c r="G996" t="b">
        <v>0</v>
      </c>
      <c r="H996">
        <f>IF(inventory__Data[[#This Row],[stock_on_hand]]&lt;=0,1,0)</f>
        <v>0</v>
      </c>
      <c r="I996">
        <f>COUNTIFS(inventory__Data[product_id],inventory__Data[[#This Row],[product_id]],inventory__Data[stock_on_hand],"&lt;=0")</f>
        <v>29</v>
      </c>
    </row>
    <row r="997" spans="1:9" x14ac:dyDescent="0.3">
      <c r="A997" s="1">
        <v>45857</v>
      </c>
      <c r="B997" t="s">
        <v>9</v>
      </c>
      <c r="C997">
        <v>587</v>
      </c>
      <c r="D997">
        <v>0.05</v>
      </c>
      <c r="E997">
        <v>0</v>
      </c>
      <c r="F997">
        <v>2</v>
      </c>
      <c r="G997" t="b">
        <v>0</v>
      </c>
      <c r="H997">
        <f>IF(inventory__Data[[#This Row],[stock_on_hand]]&lt;=0,1,0)</f>
        <v>0</v>
      </c>
      <c r="I997">
        <f>COUNTIFS(inventory__Data[product_id],inventory__Data[[#This Row],[product_id]],inventory__Data[stock_on_hand],"&lt;=0")</f>
        <v>25</v>
      </c>
    </row>
    <row r="998" spans="1:9" x14ac:dyDescent="0.3">
      <c r="A998" s="1">
        <v>45857</v>
      </c>
      <c r="B998" t="s">
        <v>12</v>
      </c>
      <c r="C998">
        <v>43</v>
      </c>
      <c r="D998">
        <v>0.02</v>
      </c>
      <c r="E998">
        <v>0</v>
      </c>
      <c r="F998">
        <v>2</v>
      </c>
      <c r="G998" t="b">
        <v>0</v>
      </c>
      <c r="H998">
        <f>IF(inventory__Data[[#This Row],[stock_on_hand]]&lt;=0,1,0)</f>
        <v>0</v>
      </c>
      <c r="I998">
        <f>COUNTIFS(inventory__Data[product_id],inventory__Data[[#This Row],[product_id]],inventory__Data[stock_on_hand],"&lt;=0")</f>
        <v>23</v>
      </c>
    </row>
    <row r="999" spans="1:9" x14ac:dyDescent="0.3">
      <c r="A999" s="1">
        <v>45857</v>
      </c>
      <c r="B999" t="s">
        <v>15</v>
      </c>
      <c r="C999">
        <v>0</v>
      </c>
      <c r="D999">
        <v>0.04</v>
      </c>
      <c r="E999">
        <v>0</v>
      </c>
      <c r="F999">
        <v>2</v>
      </c>
      <c r="G999" t="b">
        <v>0</v>
      </c>
      <c r="H999">
        <f>IF(inventory__Data[[#This Row],[stock_on_hand]]&lt;=0,1,0)</f>
        <v>1</v>
      </c>
      <c r="I999">
        <f>COUNTIFS(inventory__Data[product_id],inventory__Data[[#This Row],[product_id]],inventory__Data[stock_on_hand],"&lt;=0")</f>
        <v>30</v>
      </c>
    </row>
    <row r="1000" spans="1:9" x14ac:dyDescent="0.3">
      <c r="A1000" s="1">
        <v>45857</v>
      </c>
      <c r="B1000" t="s">
        <v>18</v>
      </c>
      <c r="C1000">
        <v>736</v>
      </c>
      <c r="D1000">
        <v>0.15</v>
      </c>
      <c r="E1000">
        <v>0</v>
      </c>
      <c r="F1000">
        <v>5</v>
      </c>
      <c r="G1000" t="b">
        <v>0</v>
      </c>
      <c r="H1000">
        <f>IF(inventory__Data[[#This Row],[stock_on_hand]]&lt;=0,1,0)</f>
        <v>0</v>
      </c>
      <c r="I1000">
        <f>COUNTIFS(inventory__Data[product_id],inventory__Data[[#This Row],[product_id]],inventory__Data[stock_on_hand],"&lt;=0")</f>
        <v>30</v>
      </c>
    </row>
    <row r="1001" spans="1:9" x14ac:dyDescent="0.3">
      <c r="A1001" s="1">
        <v>45857</v>
      </c>
      <c r="B1001" t="s">
        <v>21</v>
      </c>
      <c r="C1001">
        <v>98</v>
      </c>
      <c r="D1001">
        <v>0.03</v>
      </c>
      <c r="E1001">
        <v>0</v>
      </c>
      <c r="F1001">
        <v>5</v>
      </c>
      <c r="G1001" t="b">
        <v>0</v>
      </c>
      <c r="H1001">
        <f>IF(inventory__Data[[#This Row],[stock_on_hand]]&lt;=0,1,0)</f>
        <v>0</v>
      </c>
      <c r="I1001">
        <f>COUNTIFS(inventory__Data[product_id],inventory__Data[[#This Row],[product_id]],inventory__Data[stock_on_hand],"&lt;=0")</f>
        <v>29</v>
      </c>
    </row>
    <row r="1002" spans="1:9" x14ac:dyDescent="0.3">
      <c r="A1002" s="1">
        <v>45858</v>
      </c>
      <c r="B1002" t="s">
        <v>9</v>
      </c>
      <c r="C1002">
        <v>91</v>
      </c>
      <c r="D1002">
        <v>0.05</v>
      </c>
      <c r="E1002">
        <v>0</v>
      </c>
      <c r="F1002">
        <v>5</v>
      </c>
      <c r="G1002" t="b">
        <v>0</v>
      </c>
      <c r="H1002">
        <f>IF(inventory__Data[[#This Row],[stock_on_hand]]&lt;=0,1,0)</f>
        <v>0</v>
      </c>
      <c r="I1002">
        <f>COUNTIFS(inventory__Data[product_id],inventory__Data[[#This Row],[product_id]],inventory__Data[stock_on_hand],"&lt;=0")</f>
        <v>25</v>
      </c>
    </row>
    <row r="1003" spans="1:9" x14ac:dyDescent="0.3">
      <c r="A1003" s="1">
        <v>45858</v>
      </c>
      <c r="B1003" t="s">
        <v>12</v>
      </c>
      <c r="C1003">
        <v>276</v>
      </c>
      <c r="D1003">
        <v>0.02</v>
      </c>
      <c r="E1003">
        <v>0</v>
      </c>
      <c r="F1003">
        <v>5</v>
      </c>
      <c r="G1003" t="b">
        <v>0</v>
      </c>
      <c r="H1003">
        <f>IF(inventory__Data[[#This Row],[stock_on_hand]]&lt;=0,1,0)</f>
        <v>0</v>
      </c>
      <c r="I1003">
        <f>COUNTIFS(inventory__Data[product_id],inventory__Data[[#This Row],[product_id]],inventory__Data[stock_on_hand],"&lt;=0")</f>
        <v>23</v>
      </c>
    </row>
    <row r="1004" spans="1:9" x14ac:dyDescent="0.3">
      <c r="A1004" s="1">
        <v>45858</v>
      </c>
      <c r="B1004" t="s">
        <v>15</v>
      </c>
      <c r="C1004">
        <v>594</v>
      </c>
      <c r="D1004">
        <v>0.04</v>
      </c>
      <c r="E1004">
        <v>0</v>
      </c>
      <c r="F1004">
        <v>2</v>
      </c>
      <c r="G1004" t="b">
        <v>0</v>
      </c>
      <c r="H1004">
        <f>IF(inventory__Data[[#This Row],[stock_on_hand]]&lt;=0,1,0)</f>
        <v>0</v>
      </c>
      <c r="I1004">
        <f>COUNTIFS(inventory__Data[product_id],inventory__Data[[#This Row],[product_id]],inventory__Data[stock_on_hand],"&lt;=0")</f>
        <v>30</v>
      </c>
    </row>
    <row r="1005" spans="1:9" x14ac:dyDescent="0.3">
      <c r="A1005" s="1">
        <v>45858</v>
      </c>
      <c r="B1005" t="s">
        <v>18</v>
      </c>
      <c r="C1005">
        <v>547</v>
      </c>
      <c r="D1005">
        <v>0.15</v>
      </c>
      <c r="E1005">
        <v>0</v>
      </c>
      <c r="F1005">
        <v>2</v>
      </c>
      <c r="G1005" t="b">
        <v>0</v>
      </c>
      <c r="H1005">
        <f>IF(inventory__Data[[#This Row],[stock_on_hand]]&lt;=0,1,0)</f>
        <v>0</v>
      </c>
      <c r="I1005">
        <f>COUNTIFS(inventory__Data[product_id],inventory__Data[[#This Row],[product_id]],inventory__Data[stock_on_hand],"&lt;=0")</f>
        <v>30</v>
      </c>
    </row>
    <row r="1006" spans="1:9" x14ac:dyDescent="0.3">
      <c r="A1006" s="1">
        <v>45858</v>
      </c>
      <c r="B1006" t="s">
        <v>21</v>
      </c>
      <c r="C1006">
        <v>267</v>
      </c>
      <c r="D1006">
        <v>0.03</v>
      </c>
      <c r="E1006">
        <v>0</v>
      </c>
      <c r="F1006">
        <v>5</v>
      </c>
      <c r="G1006" t="b">
        <v>0</v>
      </c>
      <c r="H1006">
        <f>IF(inventory__Data[[#This Row],[stock_on_hand]]&lt;=0,1,0)</f>
        <v>0</v>
      </c>
      <c r="I1006">
        <f>COUNTIFS(inventory__Data[product_id],inventory__Data[[#This Row],[product_id]],inventory__Data[stock_on_hand],"&lt;=0")</f>
        <v>29</v>
      </c>
    </row>
    <row r="1007" spans="1:9" x14ac:dyDescent="0.3">
      <c r="A1007" s="1">
        <v>45859</v>
      </c>
      <c r="B1007" t="s">
        <v>9</v>
      </c>
      <c r="C1007">
        <v>281</v>
      </c>
      <c r="D1007">
        <v>0.05</v>
      </c>
      <c r="E1007">
        <v>0</v>
      </c>
      <c r="F1007">
        <v>10</v>
      </c>
      <c r="G1007" t="b">
        <v>0</v>
      </c>
      <c r="H1007">
        <f>IF(inventory__Data[[#This Row],[stock_on_hand]]&lt;=0,1,0)</f>
        <v>0</v>
      </c>
      <c r="I1007">
        <f>COUNTIFS(inventory__Data[product_id],inventory__Data[[#This Row],[product_id]],inventory__Data[stock_on_hand],"&lt;=0")</f>
        <v>25</v>
      </c>
    </row>
    <row r="1008" spans="1:9" x14ac:dyDescent="0.3">
      <c r="A1008" s="1">
        <v>45859</v>
      </c>
      <c r="B1008" t="s">
        <v>12</v>
      </c>
      <c r="C1008">
        <v>806</v>
      </c>
      <c r="D1008">
        <v>0.02</v>
      </c>
      <c r="E1008">
        <v>0</v>
      </c>
      <c r="F1008">
        <v>2</v>
      </c>
      <c r="G1008" t="b">
        <v>0</v>
      </c>
      <c r="H1008">
        <f>IF(inventory__Data[[#This Row],[stock_on_hand]]&lt;=0,1,0)</f>
        <v>0</v>
      </c>
      <c r="I1008">
        <f>COUNTIFS(inventory__Data[product_id],inventory__Data[[#This Row],[product_id]],inventory__Data[stock_on_hand],"&lt;=0")</f>
        <v>23</v>
      </c>
    </row>
    <row r="1009" spans="1:9" x14ac:dyDescent="0.3">
      <c r="A1009" s="1">
        <v>45859</v>
      </c>
      <c r="B1009" t="s">
        <v>15</v>
      </c>
      <c r="C1009">
        <v>0</v>
      </c>
      <c r="D1009">
        <v>0.04</v>
      </c>
      <c r="E1009">
        <v>0</v>
      </c>
      <c r="F1009">
        <v>5</v>
      </c>
      <c r="G1009" t="b">
        <v>0</v>
      </c>
      <c r="H1009">
        <f>IF(inventory__Data[[#This Row],[stock_on_hand]]&lt;=0,1,0)</f>
        <v>1</v>
      </c>
      <c r="I1009">
        <f>COUNTIFS(inventory__Data[product_id],inventory__Data[[#This Row],[product_id]],inventory__Data[stock_on_hand],"&lt;=0")</f>
        <v>30</v>
      </c>
    </row>
    <row r="1010" spans="1:9" x14ac:dyDescent="0.3">
      <c r="A1010" s="1">
        <v>45859</v>
      </c>
      <c r="B1010" t="s">
        <v>18</v>
      </c>
      <c r="C1010">
        <v>720</v>
      </c>
      <c r="D1010">
        <v>0.15</v>
      </c>
      <c r="E1010">
        <v>0</v>
      </c>
      <c r="F1010">
        <v>2</v>
      </c>
      <c r="G1010" t="b">
        <v>0</v>
      </c>
      <c r="H1010">
        <f>IF(inventory__Data[[#This Row],[stock_on_hand]]&lt;=0,1,0)</f>
        <v>0</v>
      </c>
      <c r="I1010">
        <f>COUNTIFS(inventory__Data[product_id],inventory__Data[[#This Row],[product_id]],inventory__Data[stock_on_hand],"&lt;=0")</f>
        <v>30</v>
      </c>
    </row>
    <row r="1011" spans="1:9" x14ac:dyDescent="0.3">
      <c r="A1011" s="1">
        <v>45859</v>
      </c>
      <c r="B1011" t="s">
        <v>21</v>
      </c>
      <c r="C1011">
        <v>628</v>
      </c>
      <c r="D1011">
        <v>0.03</v>
      </c>
      <c r="E1011">
        <v>0</v>
      </c>
      <c r="F1011">
        <v>2</v>
      </c>
      <c r="G1011" t="b">
        <v>0</v>
      </c>
      <c r="H1011">
        <f>IF(inventory__Data[[#This Row],[stock_on_hand]]&lt;=0,1,0)</f>
        <v>0</v>
      </c>
      <c r="I1011">
        <f>COUNTIFS(inventory__Data[product_id],inventory__Data[[#This Row],[product_id]],inventory__Data[stock_on_hand],"&lt;=0")</f>
        <v>29</v>
      </c>
    </row>
    <row r="1012" spans="1:9" x14ac:dyDescent="0.3">
      <c r="A1012" s="1">
        <v>45860</v>
      </c>
      <c r="B1012" t="s">
        <v>9</v>
      </c>
      <c r="C1012">
        <v>454</v>
      </c>
      <c r="D1012">
        <v>0.05</v>
      </c>
      <c r="E1012">
        <v>0</v>
      </c>
      <c r="F1012">
        <v>2</v>
      </c>
      <c r="G1012" t="b">
        <v>0</v>
      </c>
      <c r="H1012">
        <f>IF(inventory__Data[[#This Row],[stock_on_hand]]&lt;=0,1,0)</f>
        <v>0</v>
      </c>
      <c r="I1012">
        <f>COUNTIFS(inventory__Data[product_id],inventory__Data[[#This Row],[product_id]],inventory__Data[stock_on_hand],"&lt;=0")</f>
        <v>25</v>
      </c>
    </row>
    <row r="1013" spans="1:9" x14ac:dyDescent="0.3">
      <c r="A1013" s="1">
        <v>45860</v>
      </c>
      <c r="B1013" t="s">
        <v>12</v>
      </c>
      <c r="C1013">
        <v>130</v>
      </c>
      <c r="D1013">
        <v>0.02</v>
      </c>
      <c r="E1013">
        <v>0</v>
      </c>
      <c r="F1013">
        <v>2</v>
      </c>
      <c r="G1013" t="b">
        <v>0</v>
      </c>
      <c r="H1013">
        <f>IF(inventory__Data[[#This Row],[stock_on_hand]]&lt;=0,1,0)</f>
        <v>0</v>
      </c>
      <c r="I1013">
        <f>COUNTIFS(inventory__Data[product_id],inventory__Data[[#This Row],[product_id]],inventory__Data[stock_on_hand],"&lt;=0")</f>
        <v>23</v>
      </c>
    </row>
    <row r="1014" spans="1:9" x14ac:dyDescent="0.3">
      <c r="A1014" s="1">
        <v>45860</v>
      </c>
      <c r="B1014" t="s">
        <v>15</v>
      </c>
      <c r="C1014">
        <v>321</v>
      </c>
      <c r="D1014">
        <v>0.04</v>
      </c>
      <c r="E1014">
        <v>0</v>
      </c>
      <c r="F1014">
        <v>2</v>
      </c>
      <c r="G1014" t="b">
        <v>0</v>
      </c>
      <c r="H1014">
        <f>IF(inventory__Data[[#This Row],[stock_on_hand]]&lt;=0,1,0)</f>
        <v>0</v>
      </c>
      <c r="I1014">
        <f>COUNTIFS(inventory__Data[product_id],inventory__Data[[#This Row],[product_id]],inventory__Data[stock_on_hand],"&lt;=0")</f>
        <v>30</v>
      </c>
    </row>
    <row r="1015" spans="1:9" x14ac:dyDescent="0.3">
      <c r="A1015" s="1">
        <v>45860</v>
      </c>
      <c r="B1015" t="s">
        <v>18</v>
      </c>
      <c r="C1015">
        <v>479</v>
      </c>
      <c r="D1015">
        <v>0.15</v>
      </c>
      <c r="E1015">
        <v>0</v>
      </c>
      <c r="F1015">
        <v>5</v>
      </c>
      <c r="G1015" t="b">
        <v>0</v>
      </c>
      <c r="H1015">
        <f>IF(inventory__Data[[#This Row],[stock_on_hand]]&lt;=0,1,0)</f>
        <v>0</v>
      </c>
      <c r="I1015">
        <f>COUNTIFS(inventory__Data[product_id],inventory__Data[[#This Row],[product_id]],inventory__Data[stock_on_hand],"&lt;=0")</f>
        <v>30</v>
      </c>
    </row>
    <row r="1016" spans="1:9" x14ac:dyDescent="0.3">
      <c r="A1016" s="1">
        <v>45860</v>
      </c>
      <c r="B1016" t="s">
        <v>21</v>
      </c>
      <c r="C1016">
        <v>139</v>
      </c>
      <c r="D1016">
        <v>0.03</v>
      </c>
      <c r="E1016">
        <v>0</v>
      </c>
      <c r="F1016">
        <v>2</v>
      </c>
      <c r="G1016" t="b">
        <v>0</v>
      </c>
      <c r="H1016">
        <f>IF(inventory__Data[[#This Row],[stock_on_hand]]&lt;=0,1,0)</f>
        <v>0</v>
      </c>
      <c r="I1016">
        <f>COUNTIFS(inventory__Data[product_id],inventory__Data[[#This Row],[product_id]],inventory__Data[stock_on_hand],"&lt;=0")</f>
        <v>29</v>
      </c>
    </row>
    <row r="1017" spans="1:9" x14ac:dyDescent="0.3">
      <c r="A1017" s="1">
        <v>45861</v>
      </c>
      <c r="B1017" t="s">
        <v>9</v>
      </c>
      <c r="C1017">
        <v>444</v>
      </c>
      <c r="D1017">
        <v>0.05</v>
      </c>
      <c r="E1017">
        <v>0</v>
      </c>
      <c r="F1017">
        <v>2</v>
      </c>
      <c r="G1017" t="b">
        <v>0</v>
      </c>
      <c r="H1017">
        <f>IF(inventory__Data[[#This Row],[stock_on_hand]]&lt;=0,1,0)</f>
        <v>0</v>
      </c>
      <c r="I1017">
        <f>COUNTIFS(inventory__Data[product_id],inventory__Data[[#This Row],[product_id]],inventory__Data[stock_on_hand],"&lt;=0")</f>
        <v>25</v>
      </c>
    </row>
    <row r="1018" spans="1:9" x14ac:dyDescent="0.3">
      <c r="A1018" s="1">
        <v>45861</v>
      </c>
      <c r="B1018" t="s">
        <v>12</v>
      </c>
      <c r="C1018">
        <v>884</v>
      </c>
      <c r="D1018">
        <v>0.02</v>
      </c>
      <c r="E1018">
        <v>0</v>
      </c>
      <c r="F1018">
        <v>5</v>
      </c>
      <c r="G1018" t="b">
        <v>0</v>
      </c>
      <c r="H1018">
        <f>IF(inventory__Data[[#This Row],[stock_on_hand]]&lt;=0,1,0)</f>
        <v>0</v>
      </c>
      <c r="I1018">
        <f>COUNTIFS(inventory__Data[product_id],inventory__Data[[#This Row],[product_id]],inventory__Data[stock_on_hand],"&lt;=0")</f>
        <v>23</v>
      </c>
    </row>
    <row r="1019" spans="1:9" x14ac:dyDescent="0.3">
      <c r="A1019" s="1">
        <v>45861</v>
      </c>
      <c r="B1019" t="s">
        <v>15</v>
      </c>
      <c r="C1019">
        <v>0</v>
      </c>
      <c r="D1019">
        <v>0.04</v>
      </c>
      <c r="E1019">
        <v>0</v>
      </c>
      <c r="F1019">
        <v>10</v>
      </c>
      <c r="G1019" t="b">
        <v>0</v>
      </c>
      <c r="H1019">
        <f>IF(inventory__Data[[#This Row],[stock_on_hand]]&lt;=0,1,0)</f>
        <v>1</v>
      </c>
      <c r="I1019">
        <f>COUNTIFS(inventory__Data[product_id],inventory__Data[[#This Row],[product_id]],inventory__Data[stock_on_hand],"&lt;=0")</f>
        <v>30</v>
      </c>
    </row>
    <row r="1020" spans="1:9" x14ac:dyDescent="0.3">
      <c r="A1020" s="1">
        <v>45861</v>
      </c>
      <c r="B1020" t="s">
        <v>18</v>
      </c>
      <c r="C1020">
        <v>558</v>
      </c>
      <c r="D1020">
        <v>0.15</v>
      </c>
      <c r="E1020">
        <v>0</v>
      </c>
      <c r="F1020">
        <v>2</v>
      </c>
      <c r="G1020" t="b">
        <v>0</v>
      </c>
      <c r="H1020">
        <f>IF(inventory__Data[[#This Row],[stock_on_hand]]&lt;=0,1,0)</f>
        <v>0</v>
      </c>
      <c r="I1020">
        <f>COUNTIFS(inventory__Data[product_id],inventory__Data[[#This Row],[product_id]],inventory__Data[stock_on_hand],"&lt;=0")</f>
        <v>30</v>
      </c>
    </row>
    <row r="1021" spans="1:9" x14ac:dyDescent="0.3">
      <c r="A1021" s="1">
        <v>45861</v>
      </c>
      <c r="B1021" t="s">
        <v>21</v>
      </c>
      <c r="C1021">
        <v>214</v>
      </c>
      <c r="D1021">
        <v>0.03</v>
      </c>
      <c r="E1021">
        <v>0</v>
      </c>
      <c r="F1021">
        <v>10</v>
      </c>
      <c r="G1021" t="b">
        <v>0</v>
      </c>
      <c r="H1021">
        <f>IF(inventory__Data[[#This Row],[stock_on_hand]]&lt;=0,1,0)</f>
        <v>0</v>
      </c>
      <c r="I1021">
        <f>COUNTIFS(inventory__Data[product_id],inventory__Data[[#This Row],[product_id]],inventory__Data[stock_on_hand],"&lt;=0")</f>
        <v>29</v>
      </c>
    </row>
    <row r="1022" spans="1:9" x14ac:dyDescent="0.3">
      <c r="A1022" s="1">
        <v>45862</v>
      </c>
      <c r="B1022" t="s">
        <v>9</v>
      </c>
      <c r="C1022">
        <v>659</v>
      </c>
      <c r="D1022">
        <v>0.05</v>
      </c>
      <c r="E1022">
        <v>0</v>
      </c>
      <c r="F1022">
        <v>2</v>
      </c>
      <c r="G1022" t="b">
        <v>0</v>
      </c>
      <c r="H1022">
        <f>IF(inventory__Data[[#This Row],[stock_on_hand]]&lt;=0,1,0)</f>
        <v>0</v>
      </c>
      <c r="I1022">
        <f>COUNTIFS(inventory__Data[product_id],inventory__Data[[#This Row],[product_id]],inventory__Data[stock_on_hand],"&lt;=0")</f>
        <v>25</v>
      </c>
    </row>
    <row r="1023" spans="1:9" x14ac:dyDescent="0.3">
      <c r="A1023" s="1">
        <v>45862</v>
      </c>
      <c r="B1023" t="s">
        <v>12</v>
      </c>
      <c r="C1023">
        <v>714</v>
      </c>
      <c r="D1023">
        <v>0.02</v>
      </c>
      <c r="E1023">
        <v>0</v>
      </c>
      <c r="F1023">
        <v>2</v>
      </c>
      <c r="G1023" t="b">
        <v>0</v>
      </c>
      <c r="H1023">
        <f>IF(inventory__Data[[#This Row],[stock_on_hand]]&lt;=0,1,0)</f>
        <v>0</v>
      </c>
      <c r="I1023">
        <f>COUNTIFS(inventory__Data[product_id],inventory__Data[[#This Row],[product_id]],inventory__Data[stock_on_hand],"&lt;=0")</f>
        <v>23</v>
      </c>
    </row>
    <row r="1024" spans="1:9" x14ac:dyDescent="0.3">
      <c r="A1024" s="1">
        <v>45862</v>
      </c>
      <c r="B1024" t="s">
        <v>15</v>
      </c>
      <c r="C1024">
        <v>124</v>
      </c>
      <c r="D1024">
        <v>0.04</v>
      </c>
      <c r="E1024">
        <v>0</v>
      </c>
      <c r="F1024">
        <v>5</v>
      </c>
      <c r="G1024" t="b">
        <v>0</v>
      </c>
      <c r="H1024">
        <f>IF(inventory__Data[[#This Row],[stock_on_hand]]&lt;=0,1,0)</f>
        <v>0</v>
      </c>
      <c r="I1024">
        <f>COUNTIFS(inventory__Data[product_id],inventory__Data[[#This Row],[product_id]],inventory__Data[stock_on_hand],"&lt;=0")</f>
        <v>30</v>
      </c>
    </row>
    <row r="1025" spans="1:9" x14ac:dyDescent="0.3">
      <c r="A1025" s="1">
        <v>45862</v>
      </c>
      <c r="B1025" t="s">
        <v>18</v>
      </c>
      <c r="C1025">
        <v>15</v>
      </c>
      <c r="D1025">
        <v>0.15</v>
      </c>
      <c r="E1025">
        <v>0</v>
      </c>
      <c r="F1025">
        <v>5</v>
      </c>
      <c r="G1025" t="b">
        <v>0</v>
      </c>
      <c r="H1025">
        <f>IF(inventory__Data[[#This Row],[stock_on_hand]]&lt;=0,1,0)</f>
        <v>0</v>
      </c>
      <c r="I1025">
        <f>COUNTIFS(inventory__Data[product_id],inventory__Data[[#This Row],[product_id]],inventory__Data[stock_on_hand],"&lt;=0")</f>
        <v>30</v>
      </c>
    </row>
    <row r="1026" spans="1:9" x14ac:dyDescent="0.3">
      <c r="A1026" s="1">
        <v>45862</v>
      </c>
      <c r="B1026" t="s">
        <v>21</v>
      </c>
      <c r="C1026">
        <v>814</v>
      </c>
      <c r="D1026">
        <v>0.03</v>
      </c>
      <c r="E1026">
        <v>0</v>
      </c>
      <c r="F1026">
        <v>5</v>
      </c>
      <c r="G1026" t="b">
        <v>0</v>
      </c>
      <c r="H1026">
        <f>IF(inventory__Data[[#This Row],[stock_on_hand]]&lt;=0,1,0)</f>
        <v>0</v>
      </c>
      <c r="I1026">
        <f>COUNTIFS(inventory__Data[product_id],inventory__Data[[#This Row],[product_id]],inventory__Data[stock_on_hand],"&lt;=0")</f>
        <v>29</v>
      </c>
    </row>
    <row r="1027" spans="1:9" x14ac:dyDescent="0.3">
      <c r="A1027" s="1">
        <v>45863</v>
      </c>
      <c r="B1027" t="s">
        <v>9</v>
      </c>
      <c r="C1027">
        <v>805</v>
      </c>
      <c r="D1027">
        <v>0.05</v>
      </c>
      <c r="E1027">
        <v>0</v>
      </c>
      <c r="F1027">
        <v>5</v>
      </c>
      <c r="G1027" t="b">
        <v>0</v>
      </c>
      <c r="H1027">
        <f>IF(inventory__Data[[#This Row],[stock_on_hand]]&lt;=0,1,0)</f>
        <v>0</v>
      </c>
      <c r="I1027">
        <f>COUNTIFS(inventory__Data[product_id],inventory__Data[[#This Row],[product_id]],inventory__Data[stock_on_hand],"&lt;=0")</f>
        <v>25</v>
      </c>
    </row>
    <row r="1028" spans="1:9" x14ac:dyDescent="0.3">
      <c r="A1028" s="1">
        <v>45863</v>
      </c>
      <c r="B1028" t="s">
        <v>12</v>
      </c>
      <c r="C1028">
        <v>528</v>
      </c>
      <c r="D1028">
        <v>0.02</v>
      </c>
      <c r="E1028">
        <v>0</v>
      </c>
      <c r="F1028">
        <v>2</v>
      </c>
      <c r="G1028" t="b">
        <v>0</v>
      </c>
      <c r="H1028">
        <f>IF(inventory__Data[[#This Row],[stock_on_hand]]&lt;=0,1,0)</f>
        <v>0</v>
      </c>
      <c r="I1028">
        <f>COUNTIFS(inventory__Data[product_id],inventory__Data[[#This Row],[product_id]],inventory__Data[stock_on_hand],"&lt;=0")</f>
        <v>23</v>
      </c>
    </row>
    <row r="1029" spans="1:9" x14ac:dyDescent="0.3">
      <c r="A1029" s="1">
        <v>45863</v>
      </c>
      <c r="B1029" t="s">
        <v>15</v>
      </c>
      <c r="C1029">
        <v>228</v>
      </c>
      <c r="D1029">
        <v>0.04</v>
      </c>
      <c r="E1029">
        <v>0</v>
      </c>
      <c r="F1029">
        <v>5</v>
      </c>
      <c r="G1029" t="b">
        <v>0</v>
      </c>
      <c r="H1029">
        <f>IF(inventory__Data[[#This Row],[stock_on_hand]]&lt;=0,1,0)</f>
        <v>0</v>
      </c>
      <c r="I1029">
        <f>COUNTIFS(inventory__Data[product_id],inventory__Data[[#This Row],[product_id]],inventory__Data[stock_on_hand],"&lt;=0")</f>
        <v>30</v>
      </c>
    </row>
    <row r="1030" spans="1:9" x14ac:dyDescent="0.3">
      <c r="A1030" s="1">
        <v>45863</v>
      </c>
      <c r="B1030" t="s">
        <v>18</v>
      </c>
      <c r="C1030">
        <v>258</v>
      </c>
      <c r="D1030">
        <v>0.15</v>
      </c>
      <c r="E1030">
        <v>0</v>
      </c>
      <c r="F1030">
        <v>2</v>
      </c>
      <c r="G1030" t="b">
        <v>0</v>
      </c>
      <c r="H1030">
        <f>IF(inventory__Data[[#This Row],[stock_on_hand]]&lt;=0,1,0)</f>
        <v>0</v>
      </c>
      <c r="I1030">
        <f>COUNTIFS(inventory__Data[product_id],inventory__Data[[#This Row],[product_id]],inventory__Data[stock_on_hand],"&lt;=0")</f>
        <v>30</v>
      </c>
    </row>
    <row r="1031" spans="1:9" x14ac:dyDescent="0.3">
      <c r="A1031" s="1">
        <v>45863</v>
      </c>
      <c r="B1031" t="s">
        <v>21</v>
      </c>
      <c r="C1031">
        <v>120</v>
      </c>
      <c r="D1031">
        <v>0.03</v>
      </c>
      <c r="E1031">
        <v>0</v>
      </c>
      <c r="F1031">
        <v>2</v>
      </c>
      <c r="G1031" t="b">
        <v>0</v>
      </c>
      <c r="H1031">
        <f>IF(inventory__Data[[#This Row],[stock_on_hand]]&lt;=0,1,0)</f>
        <v>0</v>
      </c>
      <c r="I1031">
        <f>COUNTIFS(inventory__Data[product_id],inventory__Data[[#This Row],[product_id]],inventory__Data[stock_on_hand],"&lt;=0")</f>
        <v>29</v>
      </c>
    </row>
    <row r="1032" spans="1:9" x14ac:dyDescent="0.3">
      <c r="A1032" s="1">
        <v>45864</v>
      </c>
      <c r="B1032" t="s">
        <v>9</v>
      </c>
      <c r="C1032">
        <v>3</v>
      </c>
      <c r="D1032">
        <v>0.05</v>
      </c>
      <c r="E1032">
        <v>0</v>
      </c>
      <c r="F1032">
        <v>2</v>
      </c>
      <c r="G1032" t="b">
        <v>0</v>
      </c>
      <c r="H1032">
        <f>IF(inventory__Data[[#This Row],[stock_on_hand]]&lt;=0,1,0)</f>
        <v>0</v>
      </c>
      <c r="I1032">
        <f>COUNTIFS(inventory__Data[product_id],inventory__Data[[#This Row],[product_id]],inventory__Data[stock_on_hand],"&lt;=0")</f>
        <v>25</v>
      </c>
    </row>
    <row r="1033" spans="1:9" x14ac:dyDescent="0.3">
      <c r="A1033" s="1">
        <v>45864</v>
      </c>
      <c r="B1033" t="s">
        <v>12</v>
      </c>
      <c r="C1033">
        <v>892</v>
      </c>
      <c r="D1033">
        <v>0.02</v>
      </c>
      <c r="E1033">
        <v>0</v>
      </c>
      <c r="F1033">
        <v>2</v>
      </c>
      <c r="G1033" t="b">
        <v>0</v>
      </c>
      <c r="H1033">
        <f>IF(inventory__Data[[#This Row],[stock_on_hand]]&lt;=0,1,0)</f>
        <v>0</v>
      </c>
      <c r="I1033">
        <f>COUNTIFS(inventory__Data[product_id],inventory__Data[[#This Row],[product_id]],inventory__Data[stock_on_hand],"&lt;=0")</f>
        <v>23</v>
      </c>
    </row>
    <row r="1034" spans="1:9" x14ac:dyDescent="0.3">
      <c r="A1034" s="1">
        <v>45864</v>
      </c>
      <c r="B1034" t="s">
        <v>15</v>
      </c>
      <c r="C1034">
        <v>591</v>
      </c>
      <c r="D1034">
        <v>0.04</v>
      </c>
      <c r="E1034">
        <v>0</v>
      </c>
      <c r="F1034">
        <v>2</v>
      </c>
      <c r="G1034" t="b">
        <v>0</v>
      </c>
      <c r="H1034">
        <f>IF(inventory__Data[[#This Row],[stock_on_hand]]&lt;=0,1,0)</f>
        <v>0</v>
      </c>
      <c r="I1034">
        <f>COUNTIFS(inventory__Data[product_id],inventory__Data[[#This Row],[product_id]],inventory__Data[stock_on_hand],"&lt;=0")</f>
        <v>30</v>
      </c>
    </row>
    <row r="1035" spans="1:9" x14ac:dyDescent="0.3">
      <c r="A1035" s="1">
        <v>45864</v>
      </c>
      <c r="B1035" t="s">
        <v>18</v>
      </c>
      <c r="C1035">
        <v>662</v>
      </c>
      <c r="D1035">
        <v>0.15</v>
      </c>
      <c r="E1035">
        <v>0</v>
      </c>
      <c r="F1035">
        <v>2</v>
      </c>
      <c r="G1035" t="b">
        <v>0</v>
      </c>
      <c r="H1035">
        <f>IF(inventory__Data[[#This Row],[stock_on_hand]]&lt;=0,1,0)</f>
        <v>0</v>
      </c>
      <c r="I1035">
        <f>COUNTIFS(inventory__Data[product_id],inventory__Data[[#This Row],[product_id]],inventory__Data[stock_on_hand],"&lt;=0")</f>
        <v>30</v>
      </c>
    </row>
    <row r="1036" spans="1:9" x14ac:dyDescent="0.3">
      <c r="A1036" s="1">
        <v>45864</v>
      </c>
      <c r="B1036" t="s">
        <v>21</v>
      </c>
      <c r="C1036">
        <v>542</v>
      </c>
      <c r="D1036">
        <v>0.03</v>
      </c>
      <c r="E1036">
        <v>0</v>
      </c>
      <c r="F1036">
        <v>5</v>
      </c>
      <c r="G1036" t="b">
        <v>0</v>
      </c>
      <c r="H1036">
        <f>IF(inventory__Data[[#This Row],[stock_on_hand]]&lt;=0,1,0)</f>
        <v>0</v>
      </c>
      <c r="I1036">
        <f>COUNTIFS(inventory__Data[product_id],inventory__Data[[#This Row],[product_id]],inventory__Data[stock_on_hand],"&lt;=0")</f>
        <v>29</v>
      </c>
    </row>
    <row r="1037" spans="1:9" x14ac:dyDescent="0.3">
      <c r="A1037" s="1">
        <v>45865</v>
      </c>
      <c r="B1037" t="s">
        <v>9</v>
      </c>
      <c r="C1037">
        <v>663</v>
      </c>
      <c r="D1037">
        <v>0.05</v>
      </c>
      <c r="E1037">
        <v>0</v>
      </c>
      <c r="F1037">
        <v>5</v>
      </c>
      <c r="G1037" t="b">
        <v>0</v>
      </c>
      <c r="H1037">
        <f>IF(inventory__Data[[#This Row],[stock_on_hand]]&lt;=0,1,0)</f>
        <v>0</v>
      </c>
      <c r="I1037">
        <f>COUNTIFS(inventory__Data[product_id],inventory__Data[[#This Row],[product_id]],inventory__Data[stock_on_hand],"&lt;=0")</f>
        <v>25</v>
      </c>
    </row>
    <row r="1038" spans="1:9" x14ac:dyDescent="0.3">
      <c r="A1038" s="1">
        <v>45865</v>
      </c>
      <c r="B1038" t="s">
        <v>12</v>
      </c>
      <c r="C1038">
        <v>262</v>
      </c>
      <c r="D1038">
        <v>0.02</v>
      </c>
      <c r="E1038">
        <v>0</v>
      </c>
      <c r="F1038">
        <v>5</v>
      </c>
      <c r="G1038" t="b">
        <v>0</v>
      </c>
      <c r="H1038">
        <f>IF(inventory__Data[[#This Row],[stock_on_hand]]&lt;=0,1,0)</f>
        <v>0</v>
      </c>
      <c r="I1038">
        <f>COUNTIFS(inventory__Data[product_id],inventory__Data[[#This Row],[product_id]],inventory__Data[stock_on_hand],"&lt;=0")</f>
        <v>23</v>
      </c>
    </row>
    <row r="1039" spans="1:9" x14ac:dyDescent="0.3">
      <c r="A1039" s="1">
        <v>45865</v>
      </c>
      <c r="B1039" t="s">
        <v>15</v>
      </c>
      <c r="C1039">
        <v>350</v>
      </c>
      <c r="D1039">
        <v>0.04</v>
      </c>
      <c r="E1039">
        <v>0</v>
      </c>
      <c r="F1039">
        <v>2</v>
      </c>
      <c r="G1039" t="b">
        <v>0</v>
      </c>
      <c r="H1039">
        <f>IF(inventory__Data[[#This Row],[stock_on_hand]]&lt;=0,1,0)</f>
        <v>0</v>
      </c>
      <c r="I1039">
        <f>COUNTIFS(inventory__Data[product_id],inventory__Data[[#This Row],[product_id]],inventory__Data[stock_on_hand],"&lt;=0")</f>
        <v>30</v>
      </c>
    </row>
    <row r="1040" spans="1:9" x14ac:dyDescent="0.3">
      <c r="A1040" s="1">
        <v>45865</v>
      </c>
      <c r="B1040" t="s">
        <v>18</v>
      </c>
      <c r="C1040">
        <v>776</v>
      </c>
      <c r="D1040">
        <v>0.15</v>
      </c>
      <c r="E1040">
        <v>0</v>
      </c>
      <c r="F1040">
        <v>2</v>
      </c>
      <c r="G1040" t="b">
        <v>0</v>
      </c>
      <c r="H1040">
        <f>IF(inventory__Data[[#This Row],[stock_on_hand]]&lt;=0,1,0)</f>
        <v>0</v>
      </c>
      <c r="I1040">
        <f>COUNTIFS(inventory__Data[product_id],inventory__Data[[#This Row],[product_id]],inventory__Data[stock_on_hand],"&lt;=0")</f>
        <v>30</v>
      </c>
    </row>
    <row r="1041" spans="1:9" x14ac:dyDescent="0.3">
      <c r="A1041" s="1">
        <v>45865</v>
      </c>
      <c r="B1041" t="s">
        <v>21</v>
      </c>
      <c r="C1041">
        <v>247</v>
      </c>
      <c r="D1041">
        <v>0.03</v>
      </c>
      <c r="E1041">
        <v>0</v>
      </c>
      <c r="F1041">
        <v>2</v>
      </c>
      <c r="G1041" t="b">
        <v>0</v>
      </c>
      <c r="H1041">
        <f>IF(inventory__Data[[#This Row],[stock_on_hand]]&lt;=0,1,0)</f>
        <v>0</v>
      </c>
      <c r="I1041">
        <f>COUNTIFS(inventory__Data[product_id],inventory__Data[[#This Row],[product_id]],inventory__Data[stock_on_hand],"&lt;=0")</f>
        <v>29</v>
      </c>
    </row>
    <row r="1042" spans="1:9" x14ac:dyDescent="0.3">
      <c r="A1042" s="1">
        <v>45866</v>
      </c>
      <c r="B1042" t="s">
        <v>9</v>
      </c>
      <c r="C1042">
        <v>539</v>
      </c>
      <c r="D1042">
        <v>0.05</v>
      </c>
      <c r="E1042">
        <v>0</v>
      </c>
      <c r="F1042">
        <v>2</v>
      </c>
      <c r="G1042" t="b">
        <v>0</v>
      </c>
      <c r="H1042">
        <f>IF(inventory__Data[[#This Row],[stock_on_hand]]&lt;=0,1,0)</f>
        <v>0</v>
      </c>
      <c r="I1042">
        <f>COUNTIFS(inventory__Data[product_id],inventory__Data[[#This Row],[product_id]],inventory__Data[stock_on_hand],"&lt;=0")</f>
        <v>25</v>
      </c>
    </row>
    <row r="1043" spans="1:9" x14ac:dyDescent="0.3">
      <c r="A1043" s="1">
        <v>45866</v>
      </c>
      <c r="B1043" t="s">
        <v>12</v>
      </c>
      <c r="C1043">
        <v>446</v>
      </c>
      <c r="D1043">
        <v>0.02</v>
      </c>
      <c r="E1043">
        <v>0</v>
      </c>
      <c r="F1043">
        <v>2</v>
      </c>
      <c r="G1043" t="b">
        <v>0</v>
      </c>
      <c r="H1043">
        <f>IF(inventory__Data[[#This Row],[stock_on_hand]]&lt;=0,1,0)</f>
        <v>0</v>
      </c>
      <c r="I1043">
        <f>COUNTIFS(inventory__Data[product_id],inventory__Data[[#This Row],[product_id]],inventory__Data[stock_on_hand],"&lt;=0")</f>
        <v>23</v>
      </c>
    </row>
    <row r="1044" spans="1:9" x14ac:dyDescent="0.3">
      <c r="A1044" s="1">
        <v>45866</v>
      </c>
      <c r="B1044" t="s">
        <v>15</v>
      </c>
      <c r="C1044">
        <v>336</v>
      </c>
      <c r="D1044">
        <v>0.04</v>
      </c>
      <c r="E1044">
        <v>0</v>
      </c>
      <c r="F1044">
        <v>2</v>
      </c>
      <c r="G1044" t="b">
        <v>0</v>
      </c>
      <c r="H1044">
        <f>IF(inventory__Data[[#This Row],[stock_on_hand]]&lt;=0,1,0)</f>
        <v>0</v>
      </c>
      <c r="I1044">
        <f>COUNTIFS(inventory__Data[product_id],inventory__Data[[#This Row],[product_id]],inventory__Data[stock_on_hand],"&lt;=0")</f>
        <v>30</v>
      </c>
    </row>
    <row r="1045" spans="1:9" x14ac:dyDescent="0.3">
      <c r="A1045" s="1">
        <v>45866</v>
      </c>
      <c r="B1045" t="s">
        <v>18</v>
      </c>
      <c r="C1045">
        <v>768</v>
      </c>
      <c r="D1045">
        <v>0.15</v>
      </c>
      <c r="E1045">
        <v>0</v>
      </c>
      <c r="F1045">
        <v>15</v>
      </c>
      <c r="G1045" t="b">
        <v>0</v>
      </c>
      <c r="H1045">
        <f>IF(inventory__Data[[#This Row],[stock_on_hand]]&lt;=0,1,0)</f>
        <v>0</v>
      </c>
      <c r="I1045">
        <f>COUNTIFS(inventory__Data[product_id],inventory__Data[[#This Row],[product_id]],inventory__Data[stock_on_hand],"&lt;=0")</f>
        <v>30</v>
      </c>
    </row>
    <row r="1046" spans="1:9" x14ac:dyDescent="0.3">
      <c r="A1046" s="1">
        <v>45866</v>
      </c>
      <c r="B1046" t="s">
        <v>21</v>
      </c>
      <c r="C1046">
        <v>229</v>
      </c>
      <c r="D1046">
        <v>0.03</v>
      </c>
      <c r="E1046">
        <v>0</v>
      </c>
      <c r="F1046">
        <v>2</v>
      </c>
      <c r="G1046" t="b">
        <v>0</v>
      </c>
      <c r="H1046">
        <f>IF(inventory__Data[[#This Row],[stock_on_hand]]&lt;=0,1,0)</f>
        <v>0</v>
      </c>
      <c r="I1046">
        <f>COUNTIFS(inventory__Data[product_id],inventory__Data[[#This Row],[product_id]],inventory__Data[stock_on_hand],"&lt;=0")</f>
        <v>29</v>
      </c>
    </row>
    <row r="1047" spans="1:9" x14ac:dyDescent="0.3">
      <c r="A1047" s="1">
        <v>45867</v>
      </c>
      <c r="B1047" t="s">
        <v>9</v>
      </c>
      <c r="C1047">
        <v>714</v>
      </c>
      <c r="D1047">
        <v>0.05</v>
      </c>
      <c r="E1047">
        <v>0</v>
      </c>
      <c r="F1047">
        <v>5</v>
      </c>
      <c r="G1047" t="b">
        <v>0</v>
      </c>
      <c r="H1047">
        <f>IF(inventory__Data[[#This Row],[stock_on_hand]]&lt;=0,1,0)</f>
        <v>0</v>
      </c>
      <c r="I1047">
        <f>COUNTIFS(inventory__Data[product_id],inventory__Data[[#This Row],[product_id]],inventory__Data[stock_on_hand],"&lt;=0")</f>
        <v>25</v>
      </c>
    </row>
    <row r="1048" spans="1:9" x14ac:dyDescent="0.3">
      <c r="A1048" s="1">
        <v>45867</v>
      </c>
      <c r="B1048" t="s">
        <v>12</v>
      </c>
      <c r="C1048">
        <v>0</v>
      </c>
      <c r="D1048">
        <v>0.02</v>
      </c>
      <c r="E1048">
        <v>0</v>
      </c>
      <c r="F1048">
        <v>2</v>
      </c>
      <c r="G1048" t="b">
        <v>0</v>
      </c>
      <c r="H1048">
        <f>IF(inventory__Data[[#This Row],[stock_on_hand]]&lt;=0,1,0)</f>
        <v>1</v>
      </c>
      <c r="I1048">
        <f>COUNTIFS(inventory__Data[product_id],inventory__Data[[#This Row],[product_id]],inventory__Data[stock_on_hand],"&lt;=0")</f>
        <v>23</v>
      </c>
    </row>
    <row r="1049" spans="1:9" x14ac:dyDescent="0.3">
      <c r="A1049" s="1">
        <v>45867</v>
      </c>
      <c r="B1049" t="s">
        <v>15</v>
      </c>
      <c r="C1049">
        <v>83</v>
      </c>
      <c r="D1049">
        <v>0.04</v>
      </c>
      <c r="E1049">
        <v>0</v>
      </c>
      <c r="F1049">
        <v>2</v>
      </c>
      <c r="G1049" t="b">
        <v>0</v>
      </c>
      <c r="H1049">
        <f>IF(inventory__Data[[#This Row],[stock_on_hand]]&lt;=0,1,0)</f>
        <v>0</v>
      </c>
      <c r="I1049">
        <f>COUNTIFS(inventory__Data[product_id],inventory__Data[[#This Row],[product_id]],inventory__Data[stock_on_hand],"&lt;=0")</f>
        <v>30</v>
      </c>
    </row>
    <row r="1050" spans="1:9" x14ac:dyDescent="0.3">
      <c r="A1050" s="1">
        <v>45867</v>
      </c>
      <c r="B1050" t="s">
        <v>18</v>
      </c>
      <c r="C1050">
        <v>756</v>
      </c>
      <c r="D1050">
        <v>0.15</v>
      </c>
      <c r="E1050">
        <v>0</v>
      </c>
      <c r="F1050">
        <v>2</v>
      </c>
      <c r="G1050" t="b">
        <v>0</v>
      </c>
      <c r="H1050">
        <f>IF(inventory__Data[[#This Row],[stock_on_hand]]&lt;=0,1,0)</f>
        <v>0</v>
      </c>
      <c r="I1050">
        <f>COUNTIFS(inventory__Data[product_id],inventory__Data[[#This Row],[product_id]],inventory__Data[stock_on_hand],"&lt;=0")</f>
        <v>30</v>
      </c>
    </row>
    <row r="1051" spans="1:9" x14ac:dyDescent="0.3">
      <c r="A1051" s="1">
        <v>45867</v>
      </c>
      <c r="B1051" t="s">
        <v>21</v>
      </c>
      <c r="C1051">
        <v>716</v>
      </c>
      <c r="D1051">
        <v>0.03</v>
      </c>
      <c r="E1051">
        <v>0</v>
      </c>
      <c r="F1051">
        <v>5</v>
      </c>
      <c r="G1051" t="b">
        <v>0</v>
      </c>
      <c r="H1051">
        <f>IF(inventory__Data[[#This Row],[stock_on_hand]]&lt;=0,1,0)</f>
        <v>0</v>
      </c>
      <c r="I1051">
        <f>COUNTIFS(inventory__Data[product_id],inventory__Data[[#This Row],[product_id]],inventory__Data[stock_on_hand],"&lt;=0")</f>
        <v>29</v>
      </c>
    </row>
    <row r="1052" spans="1:9" x14ac:dyDescent="0.3">
      <c r="A1052" s="1">
        <v>45868</v>
      </c>
      <c r="B1052" t="s">
        <v>9</v>
      </c>
      <c r="C1052">
        <v>144</v>
      </c>
      <c r="D1052">
        <v>0.05</v>
      </c>
      <c r="E1052">
        <v>0</v>
      </c>
      <c r="F1052">
        <v>2</v>
      </c>
      <c r="G1052" t="b">
        <v>0</v>
      </c>
      <c r="H1052">
        <f>IF(inventory__Data[[#This Row],[stock_on_hand]]&lt;=0,1,0)</f>
        <v>0</v>
      </c>
      <c r="I1052">
        <f>COUNTIFS(inventory__Data[product_id],inventory__Data[[#This Row],[product_id]],inventory__Data[stock_on_hand],"&lt;=0")</f>
        <v>25</v>
      </c>
    </row>
    <row r="1053" spans="1:9" x14ac:dyDescent="0.3">
      <c r="A1053" s="1">
        <v>45868</v>
      </c>
      <c r="B1053" t="s">
        <v>12</v>
      </c>
      <c r="C1053">
        <v>65</v>
      </c>
      <c r="D1053">
        <v>0.02</v>
      </c>
      <c r="E1053">
        <v>0</v>
      </c>
      <c r="F1053">
        <v>5</v>
      </c>
      <c r="G1053" t="b">
        <v>0</v>
      </c>
      <c r="H1053">
        <f>IF(inventory__Data[[#This Row],[stock_on_hand]]&lt;=0,1,0)</f>
        <v>0</v>
      </c>
      <c r="I1053">
        <f>COUNTIFS(inventory__Data[product_id],inventory__Data[[#This Row],[product_id]],inventory__Data[stock_on_hand],"&lt;=0")</f>
        <v>23</v>
      </c>
    </row>
    <row r="1054" spans="1:9" x14ac:dyDescent="0.3">
      <c r="A1054" s="1">
        <v>45868</v>
      </c>
      <c r="B1054" t="s">
        <v>15</v>
      </c>
      <c r="C1054">
        <v>737</v>
      </c>
      <c r="D1054">
        <v>0.04</v>
      </c>
      <c r="E1054">
        <v>0</v>
      </c>
      <c r="F1054">
        <v>2</v>
      </c>
      <c r="G1054" t="b">
        <v>0</v>
      </c>
      <c r="H1054">
        <f>IF(inventory__Data[[#This Row],[stock_on_hand]]&lt;=0,1,0)</f>
        <v>0</v>
      </c>
      <c r="I1054">
        <f>COUNTIFS(inventory__Data[product_id],inventory__Data[[#This Row],[product_id]],inventory__Data[stock_on_hand],"&lt;=0")</f>
        <v>30</v>
      </c>
    </row>
    <row r="1055" spans="1:9" x14ac:dyDescent="0.3">
      <c r="A1055" s="1">
        <v>45868</v>
      </c>
      <c r="B1055" t="s">
        <v>18</v>
      </c>
      <c r="C1055">
        <v>307</v>
      </c>
      <c r="D1055">
        <v>0.15</v>
      </c>
      <c r="E1055">
        <v>0</v>
      </c>
      <c r="F1055">
        <v>2</v>
      </c>
      <c r="G1055" t="b">
        <v>0</v>
      </c>
      <c r="H1055">
        <f>IF(inventory__Data[[#This Row],[stock_on_hand]]&lt;=0,1,0)</f>
        <v>0</v>
      </c>
      <c r="I1055">
        <f>COUNTIFS(inventory__Data[product_id],inventory__Data[[#This Row],[product_id]],inventory__Data[stock_on_hand],"&lt;=0")</f>
        <v>30</v>
      </c>
    </row>
    <row r="1056" spans="1:9" x14ac:dyDescent="0.3">
      <c r="A1056" s="1">
        <v>45868</v>
      </c>
      <c r="B1056" t="s">
        <v>21</v>
      </c>
      <c r="C1056">
        <v>758</v>
      </c>
      <c r="D1056">
        <v>0.03</v>
      </c>
      <c r="E1056">
        <v>0</v>
      </c>
      <c r="F1056">
        <v>2</v>
      </c>
      <c r="G1056" t="b">
        <v>0</v>
      </c>
      <c r="H1056">
        <f>IF(inventory__Data[[#This Row],[stock_on_hand]]&lt;=0,1,0)</f>
        <v>0</v>
      </c>
      <c r="I1056">
        <f>COUNTIFS(inventory__Data[product_id],inventory__Data[[#This Row],[product_id]],inventory__Data[stock_on_hand],"&lt;=0")</f>
        <v>29</v>
      </c>
    </row>
    <row r="1057" spans="1:9" x14ac:dyDescent="0.3">
      <c r="A1057" s="1">
        <v>45869</v>
      </c>
      <c r="B1057" t="s">
        <v>9</v>
      </c>
      <c r="C1057">
        <v>19</v>
      </c>
      <c r="D1057">
        <v>0.05</v>
      </c>
      <c r="E1057">
        <v>0</v>
      </c>
      <c r="F1057">
        <v>5</v>
      </c>
      <c r="G1057" t="b">
        <v>0</v>
      </c>
      <c r="H1057">
        <f>IF(inventory__Data[[#This Row],[stock_on_hand]]&lt;=0,1,0)</f>
        <v>0</v>
      </c>
      <c r="I1057">
        <f>COUNTIFS(inventory__Data[product_id],inventory__Data[[#This Row],[product_id]],inventory__Data[stock_on_hand],"&lt;=0")</f>
        <v>25</v>
      </c>
    </row>
    <row r="1058" spans="1:9" x14ac:dyDescent="0.3">
      <c r="A1058" s="1">
        <v>45869</v>
      </c>
      <c r="B1058" t="s">
        <v>12</v>
      </c>
      <c r="C1058">
        <v>132</v>
      </c>
      <c r="D1058">
        <v>0.02</v>
      </c>
      <c r="E1058">
        <v>0</v>
      </c>
      <c r="F1058">
        <v>10</v>
      </c>
      <c r="G1058" t="b">
        <v>0</v>
      </c>
      <c r="H1058">
        <f>IF(inventory__Data[[#This Row],[stock_on_hand]]&lt;=0,1,0)</f>
        <v>0</v>
      </c>
      <c r="I1058">
        <f>COUNTIFS(inventory__Data[product_id],inventory__Data[[#This Row],[product_id]],inventory__Data[stock_on_hand],"&lt;=0")</f>
        <v>23</v>
      </c>
    </row>
    <row r="1059" spans="1:9" x14ac:dyDescent="0.3">
      <c r="A1059" s="1">
        <v>45869</v>
      </c>
      <c r="B1059" t="s">
        <v>15</v>
      </c>
      <c r="C1059">
        <v>616</v>
      </c>
      <c r="D1059">
        <v>0.04</v>
      </c>
      <c r="E1059">
        <v>0</v>
      </c>
      <c r="F1059">
        <v>2</v>
      </c>
      <c r="G1059" t="b">
        <v>0</v>
      </c>
      <c r="H1059">
        <f>IF(inventory__Data[[#This Row],[stock_on_hand]]&lt;=0,1,0)</f>
        <v>0</v>
      </c>
      <c r="I1059">
        <f>COUNTIFS(inventory__Data[product_id],inventory__Data[[#This Row],[product_id]],inventory__Data[stock_on_hand],"&lt;=0")</f>
        <v>30</v>
      </c>
    </row>
    <row r="1060" spans="1:9" x14ac:dyDescent="0.3">
      <c r="A1060" s="1">
        <v>45869</v>
      </c>
      <c r="B1060" t="s">
        <v>18</v>
      </c>
      <c r="C1060">
        <v>243</v>
      </c>
      <c r="D1060">
        <v>0.15</v>
      </c>
      <c r="E1060">
        <v>0</v>
      </c>
      <c r="F1060">
        <v>2</v>
      </c>
      <c r="G1060" t="b">
        <v>0</v>
      </c>
      <c r="H1060">
        <f>IF(inventory__Data[[#This Row],[stock_on_hand]]&lt;=0,1,0)</f>
        <v>0</v>
      </c>
      <c r="I1060">
        <f>COUNTIFS(inventory__Data[product_id],inventory__Data[[#This Row],[product_id]],inventory__Data[stock_on_hand],"&lt;=0")</f>
        <v>30</v>
      </c>
    </row>
    <row r="1061" spans="1:9" x14ac:dyDescent="0.3">
      <c r="A1061" s="1">
        <v>45869</v>
      </c>
      <c r="B1061" t="s">
        <v>21</v>
      </c>
      <c r="C1061">
        <v>353</v>
      </c>
      <c r="D1061">
        <v>0.03</v>
      </c>
      <c r="E1061">
        <v>0</v>
      </c>
      <c r="F1061">
        <v>15</v>
      </c>
      <c r="G1061" t="b">
        <v>0</v>
      </c>
      <c r="H1061">
        <f>IF(inventory__Data[[#This Row],[stock_on_hand]]&lt;=0,1,0)</f>
        <v>0</v>
      </c>
      <c r="I1061">
        <f>COUNTIFS(inventory__Data[product_id],inventory__Data[[#This Row],[product_id]],inventory__Data[stock_on_hand],"&lt;=0")</f>
        <v>29</v>
      </c>
    </row>
    <row r="1062" spans="1:9" x14ac:dyDescent="0.3">
      <c r="A1062" s="1">
        <v>45870</v>
      </c>
      <c r="B1062" t="s">
        <v>9</v>
      </c>
      <c r="C1062">
        <v>623</v>
      </c>
      <c r="D1062">
        <v>0.05</v>
      </c>
      <c r="E1062">
        <v>0</v>
      </c>
      <c r="F1062">
        <v>2</v>
      </c>
      <c r="G1062" t="b">
        <v>0</v>
      </c>
      <c r="H1062">
        <f>IF(inventory__Data[[#This Row],[stock_on_hand]]&lt;=0,1,0)</f>
        <v>0</v>
      </c>
      <c r="I1062">
        <f>COUNTIFS(inventory__Data[product_id],inventory__Data[[#This Row],[product_id]],inventory__Data[stock_on_hand],"&lt;=0")</f>
        <v>25</v>
      </c>
    </row>
    <row r="1063" spans="1:9" x14ac:dyDescent="0.3">
      <c r="A1063" s="1">
        <v>45870</v>
      </c>
      <c r="B1063" t="s">
        <v>12</v>
      </c>
      <c r="C1063">
        <v>22</v>
      </c>
      <c r="D1063">
        <v>0.02</v>
      </c>
      <c r="E1063">
        <v>0</v>
      </c>
      <c r="F1063">
        <v>2</v>
      </c>
      <c r="G1063" t="b">
        <v>0</v>
      </c>
      <c r="H1063">
        <f>IF(inventory__Data[[#This Row],[stock_on_hand]]&lt;=0,1,0)</f>
        <v>0</v>
      </c>
      <c r="I1063">
        <f>COUNTIFS(inventory__Data[product_id],inventory__Data[[#This Row],[product_id]],inventory__Data[stock_on_hand],"&lt;=0")</f>
        <v>23</v>
      </c>
    </row>
    <row r="1064" spans="1:9" x14ac:dyDescent="0.3">
      <c r="A1064" s="1">
        <v>45870</v>
      </c>
      <c r="B1064" t="s">
        <v>15</v>
      </c>
      <c r="C1064">
        <v>222</v>
      </c>
      <c r="D1064">
        <v>0.04</v>
      </c>
      <c r="E1064">
        <v>0</v>
      </c>
      <c r="F1064">
        <v>2</v>
      </c>
      <c r="G1064" t="b">
        <v>0</v>
      </c>
      <c r="H1064">
        <f>IF(inventory__Data[[#This Row],[stock_on_hand]]&lt;=0,1,0)</f>
        <v>0</v>
      </c>
      <c r="I1064">
        <f>COUNTIFS(inventory__Data[product_id],inventory__Data[[#This Row],[product_id]],inventory__Data[stock_on_hand],"&lt;=0")</f>
        <v>30</v>
      </c>
    </row>
    <row r="1065" spans="1:9" x14ac:dyDescent="0.3">
      <c r="A1065" s="1">
        <v>45870</v>
      </c>
      <c r="B1065" t="s">
        <v>18</v>
      </c>
      <c r="C1065">
        <v>145</v>
      </c>
      <c r="D1065">
        <v>0.15</v>
      </c>
      <c r="E1065">
        <v>0</v>
      </c>
      <c r="F1065">
        <v>2</v>
      </c>
      <c r="G1065" t="b">
        <v>0</v>
      </c>
      <c r="H1065">
        <f>IF(inventory__Data[[#This Row],[stock_on_hand]]&lt;=0,1,0)</f>
        <v>0</v>
      </c>
      <c r="I1065">
        <f>COUNTIFS(inventory__Data[product_id],inventory__Data[[#This Row],[product_id]],inventory__Data[stock_on_hand],"&lt;=0")</f>
        <v>30</v>
      </c>
    </row>
    <row r="1066" spans="1:9" x14ac:dyDescent="0.3">
      <c r="A1066" s="1">
        <v>45870</v>
      </c>
      <c r="B1066" t="s">
        <v>21</v>
      </c>
      <c r="C1066">
        <v>386</v>
      </c>
      <c r="D1066">
        <v>0.03</v>
      </c>
      <c r="E1066">
        <v>0</v>
      </c>
      <c r="F1066">
        <v>2</v>
      </c>
      <c r="G1066" t="b">
        <v>0</v>
      </c>
      <c r="H1066">
        <f>IF(inventory__Data[[#This Row],[stock_on_hand]]&lt;=0,1,0)</f>
        <v>0</v>
      </c>
      <c r="I1066">
        <f>COUNTIFS(inventory__Data[product_id],inventory__Data[[#This Row],[product_id]],inventory__Data[stock_on_hand],"&lt;=0")</f>
        <v>29</v>
      </c>
    </row>
    <row r="1067" spans="1:9" x14ac:dyDescent="0.3">
      <c r="A1067" s="1">
        <v>45871</v>
      </c>
      <c r="B1067" t="s">
        <v>9</v>
      </c>
      <c r="C1067">
        <v>676</v>
      </c>
      <c r="D1067">
        <v>0.05</v>
      </c>
      <c r="E1067">
        <v>0</v>
      </c>
      <c r="F1067">
        <v>2</v>
      </c>
      <c r="G1067" t="b">
        <v>0</v>
      </c>
      <c r="H1067">
        <f>IF(inventory__Data[[#This Row],[stock_on_hand]]&lt;=0,1,0)</f>
        <v>0</v>
      </c>
      <c r="I1067">
        <f>COUNTIFS(inventory__Data[product_id],inventory__Data[[#This Row],[product_id]],inventory__Data[stock_on_hand],"&lt;=0")</f>
        <v>25</v>
      </c>
    </row>
    <row r="1068" spans="1:9" x14ac:dyDescent="0.3">
      <c r="A1068" s="1">
        <v>45871</v>
      </c>
      <c r="B1068" t="s">
        <v>12</v>
      </c>
      <c r="C1068">
        <v>666</v>
      </c>
      <c r="D1068">
        <v>0.02</v>
      </c>
      <c r="E1068">
        <v>0</v>
      </c>
      <c r="F1068">
        <v>10</v>
      </c>
      <c r="G1068" t="b">
        <v>0</v>
      </c>
      <c r="H1068">
        <f>IF(inventory__Data[[#This Row],[stock_on_hand]]&lt;=0,1,0)</f>
        <v>0</v>
      </c>
      <c r="I1068">
        <f>COUNTIFS(inventory__Data[product_id],inventory__Data[[#This Row],[product_id]],inventory__Data[stock_on_hand],"&lt;=0")</f>
        <v>23</v>
      </c>
    </row>
    <row r="1069" spans="1:9" x14ac:dyDescent="0.3">
      <c r="A1069" s="1">
        <v>45871</v>
      </c>
      <c r="B1069" t="s">
        <v>15</v>
      </c>
      <c r="C1069">
        <v>705</v>
      </c>
      <c r="D1069">
        <v>0.04</v>
      </c>
      <c r="E1069">
        <v>0</v>
      </c>
      <c r="F1069">
        <v>2</v>
      </c>
      <c r="G1069" t="b">
        <v>0</v>
      </c>
      <c r="H1069">
        <f>IF(inventory__Data[[#This Row],[stock_on_hand]]&lt;=0,1,0)</f>
        <v>0</v>
      </c>
      <c r="I1069">
        <f>COUNTIFS(inventory__Data[product_id],inventory__Data[[#This Row],[product_id]],inventory__Data[stock_on_hand],"&lt;=0")</f>
        <v>30</v>
      </c>
    </row>
    <row r="1070" spans="1:9" x14ac:dyDescent="0.3">
      <c r="A1070" s="1">
        <v>45871</v>
      </c>
      <c r="B1070" t="s">
        <v>18</v>
      </c>
      <c r="C1070">
        <v>212</v>
      </c>
      <c r="D1070">
        <v>0.15</v>
      </c>
      <c r="E1070">
        <v>0</v>
      </c>
      <c r="F1070">
        <v>5</v>
      </c>
      <c r="G1070" t="b">
        <v>0</v>
      </c>
      <c r="H1070">
        <f>IF(inventory__Data[[#This Row],[stock_on_hand]]&lt;=0,1,0)</f>
        <v>0</v>
      </c>
      <c r="I1070">
        <f>COUNTIFS(inventory__Data[product_id],inventory__Data[[#This Row],[product_id]],inventory__Data[stock_on_hand],"&lt;=0")</f>
        <v>30</v>
      </c>
    </row>
    <row r="1071" spans="1:9" x14ac:dyDescent="0.3">
      <c r="A1071" s="1">
        <v>45871</v>
      </c>
      <c r="B1071" t="s">
        <v>21</v>
      </c>
      <c r="C1071">
        <v>469</v>
      </c>
      <c r="D1071">
        <v>0.03</v>
      </c>
      <c r="E1071">
        <v>0</v>
      </c>
      <c r="F1071">
        <v>5</v>
      </c>
      <c r="G1071" t="b">
        <v>0</v>
      </c>
      <c r="H1071">
        <f>IF(inventory__Data[[#This Row],[stock_on_hand]]&lt;=0,1,0)</f>
        <v>0</v>
      </c>
      <c r="I1071">
        <f>COUNTIFS(inventory__Data[product_id],inventory__Data[[#This Row],[product_id]],inventory__Data[stock_on_hand],"&lt;=0")</f>
        <v>29</v>
      </c>
    </row>
    <row r="1072" spans="1:9" x14ac:dyDescent="0.3">
      <c r="A1072" s="1">
        <v>45872</v>
      </c>
      <c r="B1072" t="s">
        <v>9</v>
      </c>
      <c r="C1072">
        <v>20</v>
      </c>
      <c r="D1072">
        <v>0.05</v>
      </c>
      <c r="E1072">
        <v>0</v>
      </c>
      <c r="F1072">
        <v>2</v>
      </c>
      <c r="G1072" t="b">
        <v>0</v>
      </c>
      <c r="H1072">
        <f>IF(inventory__Data[[#This Row],[stock_on_hand]]&lt;=0,1,0)</f>
        <v>0</v>
      </c>
      <c r="I1072">
        <f>COUNTIFS(inventory__Data[product_id],inventory__Data[[#This Row],[product_id]],inventory__Data[stock_on_hand],"&lt;=0")</f>
        <v>25</v>
      </c>
    </row>
    <row r="1073" spans="1:9" x14ac:dyDescent="0.3">
      <c r="A1073" s="1">
        <v>45872</v>
      </c>
      <c r="B1073" t="s">
        <v>12</v>
      </c>
      <c r="C1073">
        <v>464</v>
      </c>
      <c r="D1073">
        <v>0.02</v>
      </c>
      <c r="E1073">
        <v>0</v>
      </c>
      <c r="F1073">
        <v>2</v>
      </c>
      <c r="G1073" t="b">
        <v>0</v>
      </c>
      <c r="H1073">
        <f>IF(inventory__Data[[#This Row],[stock_on_hand]]&lt;=0,1,0)</f>
        <v>0</v>
      </c>
      <c r="I1073">
        <f>COUNTIFS(inventory__Data[product_id],inventory__Data[[#This Row],[product_id]],inventory__Data[stock_on_hand],"&lt;=0")</f>
        <v>23</v>
      </c>
    </row>
    <row r="1074" spans="1:9" x14ac:dyDescent="0.3">
      <c r="A1074" s="1">
        <v>45872</v>
      </c>
      <c r="B1074" t="s">
        <v>15</v>
      </c>
      <c r="C1074">
        <v>0</v>
      </c>
      <c r="D1074">
        <v>0.04</v>
      </c>
      <c r="E1074">
        <v>0</v>
      </c>
      <c r="F1074">
        <v>5</v>
      </c>
      <c r="G1074" t="b">
        <v>0</v>
      </c>
      <c r="H1074">
        <f>IF(inventory__Data[[#This Row],[stock_on_hand]]&lt;=0,1,0)</f>
        <v>1</v>
      </c>
      <c r="I1074">
        <f>COUNTIFS(inventory__Data[product_id],inventory__Data[[#This Row],[product_id]],inventory__Data[stock_on_hand],"&lt;=0")</f>
        <v>30</v>
      </c>
    </row>
    <row r="1075" spans="1:9" x14ac:dyDescent="0.3">
      <c r="A1075" s="1">
        <v>45872</v>
      </c>
      <c r="B1075" t="s">
        <v>18</v>
      </c>
      <c r="C1075">
        <v>667</v>
      </c>
      <c r="D1075">
        <v>0.15</v>
      </c>
      <c r="E1075">
        <v>0</v>
      </c>
      <c r="F1075">
        <v>2</v>
      </c>
      <c r="G1075" t="b">
        <v>0</v>
      </c>
      <c r="H1075">
        <f>IF(inventory__Data[[#This Row],[stock_on_hand]]&lt;=0,1,0)</f>
        <v>0</v>
      </c>
      <c r="I1075">
        <f>COUNTIFS(inventory__Data[product_id],inventory__Data[[#This Row],[product_id]],inventory__Data[stock_on_hand],"&lt;=0")</f>
        <v>30</v>
      </c>
    </row>
    <row r="1076" spans="1:9" x14ac:dyDescent="0.3">
      <c r="A1076" s="1">
        <v>45872</v>
      </c>
      <c r="B1076" t="s">
        <v>21</v>
      </c>
      <c r="C1076">
        <v>278</v>
      </c>
      <c r="D1076">
        <v>0.03</v>
      </c>
      <c r="E1076">
        <v>0</v>
      </c>
      <c r="F1076">
        <v>5</v>
      </c>
      <c r="G1076" t="b">
        <v>0</v>
      </c>
      <c r="H1076">
        <f>IF(inventory__Data[[#This Row],[stock_on_hand]]&lt;=0,1,0)</f>
        <v>0</v>
      </c>
      <c r="I1076">
        <f>COUNTIFS(inventory__Data[product_id],inventory__Data[[#This Row],[product_id]],inventory__Data[stock_on_hand],"&lt;=0")</f>
        <v>29</v>
      </c>
    </row>
    <row r="1077" spans="1:9" x14ac:dyDescent="0.3">
      <c r="A1077" s="1">
        <v>45873</v>
      </c>
      <c r="B1077" t="s">
        <v>9</v>
      </c>
      <c r="C1077">
        <v>533</v>
      </c>
      <c r="D1077">
        <v>0.05</v>
      </c>
      <c r="E1077">
        <v>0</v>
      </c>
      <c r="F1077">
        <v>2</v>
      </c>
      <c r="G1077" t="b">
        <v>0</v>
      </c>
      <c r="H1077">
        <f>IF(inventory__Data[[#This Row],[stock_on_hand]]&lt;=0,1,0)</f>
        <v>0</v>
      </c>
      <c r="I1077">
        <f>COUNTIFS(inventory__Data[product_id],inventory__Data[[#This Row],[product_id]],inventory__Data[stock_on_hand],"&lt;=0")</f>
        <v>25</v>
      </c>
    </row>
    <row r="1078" spans="1:9" x14ac:dyDescent="0.3">
      <c r="A1078" s="1">
        <v>45873</v>
      </c>
      <c r="B1078" t="s">
        <v>12</v>
      </c>
      <c r="C1078">
        <v>566</v>
      </c>
      <c r="D1078">
        <v>0.02</v>
      </c>
      <c r="E1078">
        <v>0</v>
      </c>
      <c r="F1078">
        <v>2</v>
      </c>
      <c r="G1078" t="b">
        <v>0</v>
      </c>
      <c r="H1078">
        <f>IF(inventory__Data[[#This Row],[stock_on_hand]]&lt;=0,1,0)</f>
        <v>0</v>
      </c>
      <c r="I1078">
        <f>COUNTIFS(inventory__Data[product_id],inventory__Data[[#This Row],[product_id]],inventory__Data[stock_on_hand],"&lt;=0")</f>
        <v>23</v>
      </c>
    </row>
    <row r="1079" spans="1:9" x14ac:dyDescent="0.3">
      <c r="A1079" s="1">
        <v>45873</v>
      </c>
      <c r="B1079" t="s">
        <v>15</v>
      </c>
      <c r="C1079">
        <v>781</v>
      </c>
      <c r="D1079">
        <v>0.04</v>
      </c>
      <c r="E1079">
        <v>0</v>
      </c>
      <c r="F1079">
        <v>2</v>
      </c>
      <c r="G1079" t="b">
        <v>0</v>
      </c>
      <c r="H1079">
        <f>IF(inventory__Data[[#This Row],[stock_on_hand]]&lt;=0,1,0)</f>
        <v>0</v>
      </c>
      <c r="I1079">
        <f>COUNTIFS(inventory__Data[product_id],inventory__Data[[#This Row],[product_id]],inventory__Data[stock_on_hand],"&lt;=0")</f>
        <v>30</v>
      </c>
    </row>
    <row r="1080" spans="1:9" x14ac:dyDescent="0.3">
      <c r="A1080" s="1">
        <v>45873</v>
      </c>
      <c r="B1080" t="s">
        <v>18</v>
      </c>
      <c r="C1080">
        <v>543</v>
      </c>
      <c r="D1080">
        <v>0.15</v>
      </c>
      <c r="E1080">
        <v>0</v>
      </c>
      <c r="F1080">
        <v>5</v>
      </c>
      <c r="G1080" t="b">
        <v>0</v>
      </c>
      <c r="H1080">
        <f>IF(inventory__Data[[#This Row],[stock_on_hand]]&lt;=0,1,0)</f>
        <v>0</v>
      </c>
      <c r="I1080">
        <f>COUNTIFS(inventory__Data[product_id],inventory__Data[[#This Row],[product_id]],inventory__Data[stock_on_hand],"&lt;=0")</f>
        <v>30</v>
      </c>
    </row>
    <row r="1081" spans="1:9" x14ac:dyDescent="0.3">
      <c r="A1081" s="1">
        <v>45873</v>
      </c>
      <c r="B1081" t="s">
        <v>21</v>
      </c>
      <c r="C1081">
        <v>806</v>
      </c>
      <c r="D1081">
        <v>0.03</v>
      </c>
      <c r="E1081">
        <v>0</v>
      </c>
      <c r="F1081">
        <v>2</v>
      </c>
      <c r="G1081" t="b">
        <v>0</v>
      </c>
      <c r="H1081">
        <f>IF(inventory__Data[[#This Row],[stock_on_hand]]&lt;=0,1,0)</f>
        <v>0</v>
      </c>
      <c r="I1081">
        <f>COUNTIFS(inventory__Data[product_id],inventory__Data[[#This Row],[product_id]],inventory__Data[stock_on_hand],"&lt;=0")</f>
        <v>29</v>
      </c>
    </row>
    <row r="1082" spans="1:9" x14ac:dyDescent="0.3">
      <c r="A1082" s="1">
        <v>45874</v>
      </c>
      <c r="B1082" t="s">
        <v>9</v>
      </c>
      <c r="C1082">
        <v>759</v>
      </c>
      <c r="D1082">
        <v>0.05</v>
      </c>
      <c r="E1082">
        <v>0</v>
      </c>
      <c r="F1082">
        <v>2</v>
      </c>
      <c r="G1082" t="b">
        <v>0</v>
      </c>
      <c r="H1082">
        <f>IF(inventory__Data[[#This Row],[stock_on_hand]]&lt;=0,1,0)</f>
        <v>0</v>
      </c>
      <c r="I1082">
        <f>COUNTIFS(inventory__Data[product_id],inventory__Data[[#This Row],[product_id]],inventory__Data[stock_on_hand],"&lt;=0")</f>
        <v>25</v>
      </c>
    </row>
    <row r="1083" spans="1:9" x14ac:dyDescent="0.3">
      <c r="A1083" s="1">
        <v>45874</v>
      </c>
      <c r="B1083" t="s">
        <v>12</v>
      </c>
      <c r="C1083">
        <v>0</v>
      </c>
      <c r="D1083">
        <v>0.02</v>
      </c>
      <c r="E1083">
        <v>0</v>
      </c>
      <c r="F1083">
        <v>2</v>
      </c>
      <c r="G1083" t="b">
        <v>0</v>
      </c>
      <c r="H1083">
        <f>IF(inventory__Data[[#This Row],[stock_on_hand]]&lt;=0,1,0)</f>
        <v>1</v>
      </c>
      <c r="I1083">
        <f>COUNTIFS(inventory__Data[product_id],inventory__Data[[#This Row],[product_id]],inventory__Data[stock_on_hand],"&lt;=0")</f>
        <v>23</v>
      </c>
    </row>
    <row r="1084" spans="1:9" x14ac:dyDescent="0.3">
      <c r="A1084" s="1">
        <v>45874</v>
      </c>
      <c r="B1084" t="s">
        <v>15</v>
      </c>
      <c r="C1084">
        <v>472</v>
      </c>
      <c r="D1084">
        <v>0.04</v>
      </c>
      <c r="E1084">
        <v>0</v>
      </c>
      <c r="F1084">
        <v>5</v>
      </c>
      <c r="G1084" t="b">
        <v>0</v>
      </c>
      <c r="H1084">
        <f>IF(inventory__Data[[#This Row],[stock_on_hand]]&lt;=0,1,0)</f>
        <v>0</v>
      </c>
      <c r="I1084">
        <f>COUNTIFS(inventory__Data[product_id],inventory__Data[[#This Row],[product_id]],inventory__Data[stock_on_hand],"&lt;=0")</f>
        <v>30</v>
      </c>
    </row>
    <row r="1085" spans="1:9" x14ac:dyDescent="0.3">
      <c r="A1085" s="1">
        <v>45874</v>
      </c>
      <c r="B1085" t="s">
        <v>18</v>
      </c>
      <c r="C1085">
        <v>480</v>
      </c>
      <c r="D1085">
        <v>0.15</v>
      </c>
      <c r="E1085">
        <v>0</v>
      </c>
      <c r="F1085">
        <v>10</v>
      </c>
      <c r="G1085" t="b">
        <v>0</v>
      </c>
      <c r="H1085">
        <f>IF(inventory__Data[[#This Row],[stock_on_hand]]&lt;=0,1,0)</f>
        <v>0</v>
      </c>
      <c r="I1085">
        <f>COUNTIFS(inventory__Data[product_id],inventory__Data[[#This Row],[product_id]],inventory__Data[stock_on_hand],"&lt;=0")</f>
        <v>30</v>
      </c>
    </row>
    <row r="1086" spans="1:9" x14ac:dyDescent="0.3">
      <c r="A1086" s="1">
        <v>45874</v>
      </c>
      <c r="B1086" t="s">
        <v>21</v>
      </c>
      <c r="C1086">
        <v>293</v>
      </c>
      <c r="D1086">
        <v>0.03</v>
      </c>
      <c r="E1086">
        <v>0</v>
      </c>
      <c r="F1086">
        <v>2</v>
      </c>
      <c r="G1086" t="b">
        <v>0</v>
      </c>
      <c r="H1086">
        <f>IF(inventory__Data[[#This Row],[stock_on_hand]]&lt;=0,1,0)</f>
        <v>0</v>
      </c>
      <c r="I1086">
        <f>COUNTIFS(inventory__Data[product_id],inventory__Data[[#This Row],[product_id]],inventory__Data[stock_on_hand],"&lt;=0")</f>
        <v>29</v>
      </c>
    </row>
    <row r="1087" spans="1:9" x14ac:dyDescent="0.3">
      <c r="A1087" s="1">
        <v>45875</v>
      </c>
      <c r="B1087" t="s">
        <v>9</v>
      </c>
      <c r="C1087">
        <v>646</v>
      </c>
      <c r="D1087">
        <v>0.05</v>
      </c>
      <c r="E1087">
        <v>0</v>
      </c>
      <c r="F1087">
        <v>5</v>
      </c>
      <c r="G1087" t="b">
        <v>0</v>
      </c>
      <c r="H1087">
        <f>IF(inventory__Data[[#This Row],[stock_on_hand]]&lt;=0,1,0)</f>
        <v>0</v>
      </c>
      <c r="I1087">
        <f>COUNTIFS(inventory__Data[product_id],inventory__Data[[#This Row],[product_id]],inventory__Data[stock_on_hand],"&lt;=0")</f>
        <v>25</v>
      </c>
    </row>
    <row r="1088" spans="1:9" x14ac:dyDescent="0.3">
      <c r="A1088" s="1">
        <v>45875</v>
      </c>
      <c r="B1088" t="s">
        <v>12</v>
      </c>
      <c r="C1088">
        <v>309</v>
      </c>
      <c r="D1088">
        <v>0.02</v>
      </c>
      <c r="E1088">
        <v>0</v>
      </c>
      <c r="F1088">
        <v>2</v>
      </c>
      <c r="G1088" t="b">
        <v>0</v>
      </c>
      <c r="H1088">
        <f>IF(inventory__Data[[#This Row],[stock_on_hand]]&lt;=0,1,0)</f>
        <v>0</v>
      </c>
      <c r="I1088">
        <f>COUNTIFS(inventory__Data[product_id],inventory__Data[[#This Row],[product_id]],inventory__Data[stock_on_hand],"&lt;=0")</f>
        <v>23</v>
      </c>
    </row>
    <row r="1089" spans="1:9" x14ac:dyDescent="0.3">
      <c r="A1089" s="1">
        <v>45875</v>
      </c>
      <c r="B1089" t="s">
        <v>15</v>
      </c>
      <c r="C1089">
        <v>350</v>
      </c>
      <c r="D1089">
        <v>0.04</v>
      </c>
      <c r="E1089">
        <v>0</v>
      </c>
      <c r="F1089">
        <v>2</v>
      </c>
      <c r="G1089" t="b">
        <v>0</v>
      </c>
      <c r="H1089">
        <f>IF(inventory__Data[[#This Row],[stock_on_hand]]&lt;=0,1,0)</f>
        <v>0</v>
      </c>
      <c r="I1089">
        <f>COUNTIFS(inventory__Data[product_id],inventory__Data[[#This Row],[product_id]],inventory__Data[stock_on_hand],"&lt;=0")</f>
        <v>30</v>
      </c>
    </row>
    <row r="1090" spans="1:9" x14ac:dyDescent="0.3">
      <c r="A1090" s="1">
        <v>45875</v>
      </c>
      <c r="B1090" t="s">
        <v>18</v>
      </c>
      <c r="C1090">
        <v>376</v>
      </c>
      <c r="D1090">
        <v>0.15</v>
      </c>
      <c r="E1090">
        <v>0</v>
      </c>
      <c r="F1090">
        <v>2</v>
      </c>
      <c r="G1090" t="b">
        <v>0</v>
      </c>
      <c r="H1090">
        <f>IF(inventory__Data[[#This Row],[stock_on_hand]]&lt;=0,1,0)</f>
        <v>0</v>
      </c>
      <c r="I1090">
        <f>COUNTIFS(inventory__Data[product_id],inventory__Data[[#This Row],[product_id]],inventory__Data[stock_on_hand],"&lt;=0")</f>
        <v>30</v>
      </c>
    </row>
    <row r="1091" spans="1:9" x14ac:dyDescent="0.3">
      <c r="A1091" s="1">
        <v>45875</v>
      </c>
      <c r="B1091" t="s">
        <v>21</v>
      </c>
      <c r="C1091">
        <v>816</v>
      </c>
      <c r="D1091">
        <v>0.03</v>
      </c>
      <c r="E1091">
        <v>0</v>
      </c>
      <c r="F1091">
        <v>2</v>
      </c>
      <c r="G1091" t="b">
        <v>0</v>
      </c>
      <c r="H1091">
        <f>IF(inventory__Data[[#This Row],[stock_on_hand]]&lt;=0,1,0)</f>
        <v>0</v>
      </c>
      <c r="I1091">
        <f>COUNTIFS(inventory__Data[product_id],inventory__Data[[#This Row],[product_id]],inventory__Data[stock_on_hand],"&lt;=0")</f>
        <v>29</v>
      </c>
    </row>
    <row r="1092" spans="1:9" x14ac:dyDescent="0.3">
      <c r="A1092" s="1">
        <v>45876</v>
      </c>
      <c r="B1092" t="s">
        <v>9</v>
      </c>
      <c r="C1092">
        <v>237</v>
      </c>
      <c r="D1092">
        <v>0.05</v>
      </c>
      <c r="E1092">
        <v>0</v>
      </c>
      <c r="F1092">
        <v>10</v>
      </c>
      <c r="G1092" t="b">
        <v>0</v>
      </c>
      <c r="H1092">
        <f>IF(inventory__Data[[#This Row],[stock_on_hand]]&lt;=0,1,0)</f>
        <v>0</v>
      </c>
      <c r="I1092">
        <f>COUNTIFS(inventory__Data[product_id],inventory__Data[[#This Row],[product_id]],inventory__Data[stock_on_hand],"&lt;=0")</f>
        <v>25</v>
      </c>
    </row>
    <row r="1093" spans="1:9" x14ac:dyDescent="0.3">
      <c r="A1093" s="1">
        <v>45876</v>
      </c>
      <c r="B1093" t="s">
        <v>12</v>
      </c>
      <c r="C1093">
        <v>878</v>
      </c>
      <c r="D1093">
        <v>0.02</v>
      </c>
      <c r="E1093">
        <v>0</v>
      </c>
      <c r="F1093">
        <v>2</v>
      </c>
      <c r="G1093" t="b">
        <v>0</v>
      </c>
      <c r="H1093">
        <f>IF(inventory__Data[[#This Row],[stock_on_hand]]&lt;=0,1,0)</f>
        <v>0</v>
      </c>
      <c r="I1093">
        <f>COUNTIFS(inventory__Data[product_id],inventory__Data[[#This Row],[product_id]],inventory__Data[stock_on_hand],"&lt;=0")</f>
        <v>23</v>
      </c>
    </row>
    <row r="1094" spans="1:9" x14ac:dyDescent="0.3">
      <c r="A1094" s="1">
        <v>45876</v>
      </c>
      <c r="B1094" t="s">
        <v>15</v>
      </c>
      <c r="C1094">
        <v>713</v>
      </c>
      <c r="D1094">
        <v>0.04</v>
      </c>
      <c r="E1094">
        <v>0</v>
      </c>
      <c r="F1094">
        <v>5</v>
      </c>
      <c r="G1094" t="b">
        <v>0</v>
      </c>
      <c r="H1094">
        <f>IF(inventory__Data[[#This Row],[stock_on_hand]]&lt;=0,1,0)</f>
        <v>0</v>
      </c>
      <c r="I1094">
        <f>COUNTIFS(inventory__Data[product_id],inventory__Data[[#This Row],[product_id]],inventory__Data[stock_on_hand],"&lt;=0")</f>
        <v>30</v>
      </c>
    </row>
    <row r="1095" spans="1:9" x14ac:dyDescent="0.3">
      <c r="A1095" s="1">
        <v>45876</v>
      </c>
      <c r="B1095" t="s">
        <v>18</v>
      </c>
      <c r="C1095">
        <v>452</v>
      </c>
      <c r="D1095">
        <v>0.15</v>
      </c>
      <c r="E1095">
        <v>0</v>
      </c>
      <c r="F1095">
        <v>10</v>
      </c>
      <c r="G1095" t="b">
        <v>0</v>
      </c>
      <c r="H1095">
        <f>IF(inventory__Data[[#This Row],[stock_on_hand]]&lt;=0,1,0)</f>
        <v>0</v>
      </c>
      <c r="I1095">
        <f>COUNTIFS(inventory__Data[product_id],inventory__Data[[#This Row],[product_id]],inventory__Data[stock_on_hand],"&lt;=0")</f>
        <v>30</v>
      </c>
    </row>
    <row r="1096" spans="1:9" x14ac:dyDescent="0.3">
      <c r="A1096" s="1">
        <v>45876</v>
      </c>
      <c r="B1096" t="s">
        <v>21</v>
      </c>
      <c r="C1096">
        <v>645</v>
      </c>
      <c r="D1096">
        <v>0.03</v>
      </c>
      <c r="E1096">
        <v>0</v>
      </c>
      <c r="F1096">
        <v>5</v>
      </c>
      <c r="G1096" t="b">
        <v>0</v>
      </c>
      <c r="H1096">
        <f>IF(inventory__Data[[#This Row],[stock_on_hand]]&lt;=0,1,0)</f>
        <v>0</v>
      </c>
      <c r="I1096">
        <f>COUNTIFS(inventory__Data[product_id],inventory__Data[[#This Row],[product_id]],inventory__Data[stock_on_hand],"&lt;=0")</f>
        <v>29</v>
      </c>
    </row>
    <row r="1097" spans="1:9" x14ac:dyDescent="0.3">
      <c r="A1097" s="1">
        <v>45877</v>
      </c>
      <c r="B1097" t="s">
        <v>9</v>
      </c>
      <c r="C1097">
        <v>18</v>
      </c>
      <c r="D1097">
        <v>0.05</v>
      </c>
      <c r="E1097">
        <v>0</v>
      </c>
      <c r="F1097">
        <v>2</v>
      </c>
      <c r="G1097" t="b">
        <v>0</v>
      </c>
      <c r="H1097">
        <f>IF(inventory__Data[[#This Row],[stock_on_hand]]&lt;=0,1,0)</f>
        <v>0</v>
      </c>
      <c r="I1097">
        <f>COUNTIFS(inventory__Data[product_id],inventory__Data[[#This Row],[product_id]],inventory__Data[stock_on_hand],"&lt;=0")</f>
        <v>25</v>
      </c>
    </row>
    <row r="1098" spans="1:9" x14ac:dyDescent="0.3">
      <c r="A1098" s="1">
        <v>45877</v>
      </c>
      <c r="B1098" t="s">
        <v>12</v>
      </c>
      <c r="C1098">
        <v>228</v>
      </c>
      <c r="D1098">
        <v>0.02</v>
      </c>
      <c r="E1098">
        <v>0</v>
      </c>
      <c r="F1098">
        <v>2</v>
      </c>
      <c r="G1098" t="b">
        <v>0</v>
      </c>
      <c r="H1098">
        <f>IF(inventory__Data[[#This Row],[stock_on_hand]]&lt;=0,1,0)</f>
        <v>0</v>
      </c>
      <c r="I1098">
        <f>COUNTIFS(inventory__Data[product_id],inventory__Data[[#This Row],[product_id]],inventory__Data[stock_on_hand],"&lt;=0")</f>
        <v>23</v>
      </c>
    </row>
    <row r="1099" spans="1:9" x14ac:dyDescent="0.3">
      <c r="A1099" s="1">
        <v>45877</v>
      </c>
      <c r="B1099" t="s">
        <v>15</v>
      </c>
      <c r="C1099">
        <v>0</v>
      </c>
      <c r="D1099">
        <v>0.04</v>
      </c>
      <c r="E1099">
        <v>0</v>
      </c>
      <c r="F1099">
        <v>2</v>
      </c>
      <c r="G1099" t="b">
        <v>0</v>
      </c>
      <c r="H1099">
        <f>IF(inventory__Data[[#This Row],[stock_on_hand]]&lt;=0,1,0)</f>
        <v>1</v>
      </c>
      <c r="I1099">
        <f>COUNTIFS(inventory__Data[product_id],inventory__Data[[#This Row],[product_id]],inventory__Data[stock_on_hand],"&lt;=0")</f>
        <v>30</v>
      </c>
    </row>
    <row r="1100" spans="1:9" x14ac:dyDescent="0.3">
      <c r="A1100" s="1">
        <v>45877</v>
      </c>
      <c r="B1100" t="s">
        <v>18</v>
      </c>
      <c r="C1100">
        <v>662</v>
      </c>
      <c r="D1100">
        <v>0.15</v>
      </c>
      <c r="E1100">
        <v>0</v>
      </c>
      <c r="F1100">
        <v>5</v>
      </c>
      <c r="G1100" t="b">
        <v>0</v>
      </c>
      <c r="H1100">
        <f>IF(inventory__Data[[#This Row],[stock_on_hand]]&lt;=0,1,0)</f>
        <v>0</v>
      </c>
      <c r="I1100">
        <f>COUNTIFS(inventory__Data[product_id],inventory__Data[[#This Row],[product_id]],inventory__Data[stock_on_hand],"&lt;=0")</f>
        <v>30</v>
      </c>
    </row>
    <row r="1101" spans="1:9" x14ac:dyDescent="0.3">
      <c r="A1101" s="1">
        <v>45877</v>
      </c>
      <c r="B1101" t="s">
        <v>21</v>
      </c>
      <c r="C1101">
        <v>183</v>
      </c>
      <c r="D1101">
        <v>0.03</v>
      </c>
      <c r="E1101">
        <v>0</v>
      </c>
      <c r="F1101">
        <v>2</v>
      </c>
      <c r="G1101" t="b">
        <v>0</v>
      </c>
      <c r="H1101">
        <f>IF(inventory__Data[[#This Row],[stock_on_hand]]&lt;=0,1,0)</f>
        <v>0</v>
      </c>
      <c r="I1101">
        <f>COUNTIFS(inventory__Data[product_id],inventory__Data[[#This Row],[product_id]],inventory__Data[stock_on_hand],"&lt;=0")</f>
        <v>29</v>
      </c>
    </row>
    <row r="1102" spans="1:9" x14ac:dyDescent="0.3">
      <c r="A1102" s="1">
        <v>45878</v>
      </c>
      <c r="B1102" t="s">
        <v>9</v>
      </c>
      <c r="C1102">
        <v>652</v>
      </c>
      <c r="D1102">
        <v>0.05</v>
      </c>
      <c r="E1102">
        <v>0</v>
      </c>
      <c r="F1102">
        <v>5</v>
      </c>
      <c r="G1102" t="b">
        <v>0</v>
      </c>
      <c r="H1102">
        <f>IF(inventory__Data[[#This Row],[stock_on_hand]]&lt;=0,1,0)</f>
        <v>0</v>
      </c>
      <c r="I1102">
        <f>COUNTIFS(inventory__Data[product_id],inventory__Data[[#This Row],[product_id]],inventory__Data[stock_on_hand],"&lt;=0")</f>
        <v>25</v>
      </c>
    </row>
    <row r="1103" spans="1:9" x14ac:dyDescent="0.3">
      <c r="A1103" s="1">
        <v>45878</v>
      </c>
      <c r="B1103" t="s">
        <v>12</v>
      </c>
      <c r="C1103">
        <v>108</v>
      </c>
      <c r="D1103">
        <v>0.02</v>
      </c>
      <c r="E1103">
        <v>0</v>
      </c>
      <c r="F1103">
        <v>2</v>
      </c>
      <c r="G1103" t="b">
        <v>0</v>
      </c>
      <c r="H1103">
        <f>IF(inventory__Data[[#This Row],[stock_on_hand]]&lt;=0,1,0)</f>
        <v>0</v>
      </c>
      <c r="I1103">
        <f>COUNTIFS(inventory__Data[product_id],inventory__Data[[#This Row],[product_id]],inventory__Data[stock_on_hand],"&lt;=0")</f>
        <v>23</v>
      </c>
    </row>
    <row r="1104" spans="1:9" x14ac:dyDescent="0.3">
      <c r="A1104" s="1">
        <v>45878</v>
      </c>
      <c r="B1104" t="s">
        <v>15</v>
      </c>
      <c r="C1104">
        <v>418</v>
      </c>
      <c r="D1104">
        <v>0.04</v>
      </c>
      <c r="E1104">
        <v>0</v>
      </c>
      <c r="F1104">
        <v>2</v>
      </c>
      <c r="G1104" t="b">
        <v>0</v>
      </c>
      <c r="H1104">
        <f>IF(inventory__Data[[#This Row],[stock_on_hand]]&lt;=0,1,0)</f>
        <v>0</v>
      </c>
      <c r="I1104">
        <f>COUNTIFS(inventory__Data[product_id],inventory__Data[[#This Row],[product_id]],inventory__Data[stock_on_hand],"&lt;=0")</f>
        <v>30</v>
      </c>
    </row>
    <row r="1105" spans="1:9" x14ac:dyDescent="0.3">
      <c r="A1105" s="1">
        <v>45878</v>
      </c>
      <c r="B1105" t="s">
        <v>18</v>
      </c>
      <c r="C1105">
        <v>844</v>
      </c>
      <c r="D1105">
        <v>0.15</v>
      </c>
      <c r="E1105">
        <v>0</v>
      </c>
      <c r="F1105">
        <v>2</v>
      </c>
      <c r="G1105" t="b">
        <v>0</v>
      </c>
      <c r="H1105">
        <f>IF(inventory__Data[[#This Row],[stock_on_hand]]&lt;=0,1,0)</f>
        <v>0</v>
      </c>
      <c r="I1105">
        <f>COUNTIFS(inventory__Data[product_id],inventory__Data[[#This Row],[product_id]],inventory__Data[stock_on_hand],"&lt;=0")</f>
        <v>30</v>
      </c>
    </row>
    <row r="1106" spans="1:9" x14ac:dyDescent="0.3">
      <c r="A1106" s="1">
        <v>45878</v>
      </c>
      <c r="B1106" t="s">
        <v>21</v>
      </c>
      <c r="C1106">
        <v>84</v>
      </c>
      <c r="D1106">
        <v>0.03</v>
      </c>
      <c r="E1106">
        <v>0</v>
      </c>
      <c r="F1106">
        <v>2</v>
      </c>
      <c r="G1106" t="b">
        <v>0</v>
      </c>
      <c r="H1106">
        <f>IF(inventory__Data[[#This Row],[stock_on_hand]]&lt;=0,1,0)</f>
        <v>0</v>
      </c>
      <c r="I1106">
        <f>COUNTIFS(inventory__Data[product_id],inventory__Data[[#This Row],[product_id]],inventory__Data[stock_on_hand],"&lt;=0")</f>
        <v>29</v>
      </c>
    </row>
    <row r="1107" spans="1:9" x14ac:dyDescent="0.3">
      <c r="A1107" s="1">
        <v>45879</v>
      </c>
      <c r="B1107" t="s">
        <v>9</v>
      </c>
      <c r="C1107">
        <v>100</v>
      </c>
      <c r="D1107">
        <v>0.05</v>
      </c>
      <c r="E1107">
        <v>0</v>
      </c>
      <c r="F1107">
        <v>5</v>
      </c>
      <c r="G1107" t="b">
        <v>0</v>
      </c>
      <c r="H1107">
        <f>IF(inventory__Data[[#This Row],[stock_on_hand]]&lt;=0,1,0)</f>
        <v>0</v>
      </c>
      <c r="I1107">
        <f>COUNTIFS(inventory__Data[product_id],inventory__Data[[#This Row],[product_id]],inventory__Data[stock_on_hand],"&lt;=0")</f>
        <v>25</v>
      </c>
    </row>
    <row r="1108" spans="1:9" x14ac:dyDescent="0.3">
      <c r="A1108" s="1">
        <v>45879</v>
      </c>
      <c r="B1108" t="s">
        <v>12</v>
      </c>
      <c r="C1108">
        <v>453</v>
      </c>
      <c r="D1108">
        <v>0.02</v>
      </c>
      <c r="E1108">
        <v>0</v>
      </c>
      <c r="F1108">
        <v>2</v>
      </c>
      <c r="G1108" t="b">
        <v>0</v>
      </c>
      <c r="H1108">
        <f>IF(inventory__Data[[#This Row],[stock_on_hand]]&lt;=0,1,0)</f>
        <v>0</v>
      </c>
      <c r="I1108">
        <f>COUNTIFS(inventory__Data[product_id],inventory__Data[[#This Row],[product_id]],inventory__Data[stock_on_hand],"&lt;=0")</f>
        <v>23</v>
      </c>
    </row>
    <row r="1109" spans="1:9" x14ac:dyDescent="0.3">
      <c r="A1109" s="1">
        <v>45879</v>
      </c>
      <c r="B1109" t="s">
        <v>15</v>
      </c>
      <c r="C1109">
        <v>660</v>
      </c>
      <c r="D1109">
        <v>0.04</v>
      </c>
      <c r="E1109">
        <v>0</v>
      </c>
      <c r="F1109">
        <v>5</v>
      </c>
      <c r="G1109" t="b">
        <v>0</v>
      </c>
      <c r="H1109">
        <f>IF(inventory__Data[[#This Row],[stock_on_hand]]&lt;=0,1,0)</f>
        <v>0</v>
      </c>
      <c r="I1109">
        <f>COUNTIFS(inventory__Data[product_id],inventory__Data[[#This Row],[product_id]],inventory__Data[stock_on_hand],"&lt;=0")</f>
        <v>30</v>
      </c>
    </row>
    <row r="1110" spans="1:9" x14ac:dyDescent="0.3">
      <c r="A1110" s="1">
        <v>45879</v>
      </c>
      <c r="B1110" t="s">
        <v>18</v>
      </c>
      <c r="C1110">
        <v>652</v>
      </c>
      <c r="D1110">
        <v>0.15</v>
      </c>
      <c r="E1110">
        <v>0</v>
      </c>
      <c r="F1110">
        <v>2</v>
      </c>
      <c r="G1110" t="b">
        <v>0</v>
      </c>
      <c r="H1110">
        <f>IF(inventory__Data[[#This Row],[stock_on_hand]]&lt;=0,1,0)</f>
        <v>0</v>
      </c>
      <c r="I1110">
        <f>COUNTIFS(inventory__Data[product_id],inventory__Data[[#This Row],[product_id]],inventory__Data[stock_on_hand],"&lt;=0")</f>
        <v>30</v>
      </c>
    </row>
    <row r="1111" spans="1:9" x14ac:dyDescent="0.3">
      <c r="A1111" s="1">
        <v>45879</v>
      </c>
      <c r="B1111" t="s">
        <v>21</v>
      </c>
      <c r="C1111">
        <v>397</v>
      </c>
      <c r="D1111">
        <v>0.03</v>
      </c>
      <c r="E1111">
        <v>0</v>
      </c>
      <c r="F1111">
        <v>2</v>
      </c>
      <c r="G1111" t="b">
        <v>0</v>
      </c>
      <c r="H1111">
        <f>IF(inventory__Data[[#This Row],[stock_on_hand]]&lt;=0,1,0)</f>
        <v>0</v>
      </c>
      <c r="I1111">
        <f>COUNTIFS(inventory__Data[product_id],inventory__Data[[#This Row],[product_id]],inventory__Data[stock_on_hand],"&lt;=0")</f>
        <v>29</v>
      </c>
    </row>
    <row r="1112" spans="1:9" x14ac:dyDescent="0.3">
      <c r="A1112" s="1">
        <v>45880</v>
      </c>
      <c r="B1112" t="s">
        <v>9</v>
      </c>
      <c r="C1112">
        <v>569</v>
      </c>
      <c r="D1112">
        <v>0.05</v>
      </c>
      <c r="E1112">
        <v>0</v>
      </c>
      <c r="F1112">
        <v>2</v>
      </c>
      <c r="G1112" t="b">
        <v>0</v>
      </c>
      <c r="H1112">
        <f>IF(inventory__Data[[#This Row],[stock_on_hand]]&lt;=0,1,0)</f>
        <v>0</v>
      </c>
      <c r="I1112">
        <f>COUNTIFS(inventory__Data[product_id],inventory__Data[[#This Row],[product_id]],inventory__Data[stock_on_hand],"&lt;=0")</f>
        <v>25</v>
      </c>
    </row>
    <row r="1113" spans="1:9" x14ac:dyDescent="0.3">
      <c r="A1113" s="1">
        <v>45880</v>
      </c>
      <c r="B1113" t="s">
        <v>12</v>
      </c>
      <c r="C1113">
        <v>0</v>
      </c>
      <c r="D1113">
        <v>0.02</v>
      </c>
      <c r="E1113">
        <v>0</v>
      </c>
      <c r="F1113">
        <v>2</v>
      </c>
      <c r="G1113" t="b">
        <v>0</v>
      </c>
      <c r="H1113">
        <f>IF(inventory__Data[[#This Row],[stock_on_hand]]&lt;=0,1,0)</f>
        <v>1</v>
      </c>
      <c r="I1113">
        <f>COUNTIFS(inventory__Data[product_id],inventory__Data[[#This Row],[product_id]],inventory__Data[stock_on_hand],"&lt;=0")</f>
        <v>23</v>
      </c>
    </row>
    <row r="1114" spans="1:9" x14ac:dyDescent="0.3">
      <c r="A1114" s="1">
        <v>45880</v>
      </c>
      <c r="B1114" t="s">
        <v>15</v>
      </c>
      <c r="C1114">
        <v>552</v>
      </c>
      <c r="D1114">
        <v>0.04</v>
      </c>
      <c r="E1114">
        <v>0</v>
      </c>
      <c r="F1114">
        <v>2</v>
      </c>
      <c r="G1114" t="b">
        <v>0</v>
      </c>
      <c r="H1114">
        <f>IF(inventory__Data[[#This Row],[stock_on_hand]]&lt;=0,1,0)</f>
        <v>0</v>
      </c>
      <c r="I1114">
        <f>COUNTIFS(inventory__Data[product_id],inventory__Data[[#This Row],[product_id]],inventory__Data[stock_on_hand],"&lt;=0")</f>
        <v>30</v>
      </c>
    </row>
    <row r="1115" spans="1:9" x14ac:dyDescent="0.3">
      <c r="A1115" s="1">
        <v>45880</v>
      </c>
      <c r="B1115" t="s">
        <v>18</v>
      </c>
      <c r="C1115">
        <v>237</v>
      </c>
      <c r="D1115">
        <v>0.15</v>
      </c>
      <c r="E1115">
        <v>0</v>
      </c>
      <c r="F1115">
        <v>5</v>
      </c>
      <c r="G1115" t="b">
        <v>0</v>
      </c>
      <c r="H1115">
        <f>IF(inventory__Data[[#This Row],[stock_on_hand]]&lt;=0,1,0)</f>
        <v>0</v>
      </c>
      <c r="I1115">
        <f>COUNTIFS(inventory__Data[product_id],inventory__Data[[#This Row],[product_id]],inventory__Data[stock_on_hand],"&lt;=0")</f>
        <v>30</v>
      </c>
    </row>
    <row r="1116" spans="1:9" x14ac:dyDescent="0.3">
      <c r="A1116" s="1">
        <v>45880</v>
      </c>
      <c r="B1116" t="s">
        <v>21</v>
      </c>
      <c r="C1116">
        <v>733</v>
      </c>
      <c r="D1116">
        <v>0.03</v>
      </c>
      <c r="E1116">
        <v>0</v>
      </c>
      <c r="F1116">
        <v>2</v>
      </c>
      <c r="G1116" t="b">
        <v>0</v>
      </c>
      <c r="H1116">
        <f>IF(inventory__Data[[#This Row],[stock_on_hand]]&lt;=0,1,0)</f>
        <v>0</v>
      </c>
      <c r="I1116">
        <f>COUNTIFS(inventory__Data[product_id],inventory__Data[[#This Row],[product_id]],inventory__Data[stock_on_hand],"&lt;=0")</f>
        <v>29</v>
      </c>
    </row>
    <row r="1117" spans="1:9" x14ac:dyDescent="0.3">
      <c r="A1117" s="1">
        <v>45881</v>
      </c>
      <c r="B1117" t="s">
        <v>9</v>
      </c>
      <c r="C1117">
        <v>84</v>
      </c>
      <c r="D1117">
        <v>0.05</v>
      </c>
      <c r="E1117">
        <v>0</v>
      </c>
      <c r="F1117">
        <v>2</v>
      </c>
      <c r="G1117" t="b">
        <v>0</v>
      </c>
      <c r="H1117">
        <f>IF(inventory__Data[[#This Row],[stock_on_hand]]&lt;=0,1,0)</f>
        <v>0</v>
      </c>
      <c r="I1117">
        <f>COUNTIFS(inventory__Data[product_id],inventory__Data[[#This Row],[product_id]],inventory__Data[stock_on_hand],"&lt;=0")</f>
        <v>25</v>
      </c>
    </row>
    <row r="1118" spans="1:9" x14ac:dyDescent="0.3">
      <c r="A1118" s="1">
        <v>45881</v>
      </c>
      <c r="B1118" t="s">
        <v>12</v>
      </c>
      <c r="C1118">
        <v>434</v>
      </c>
      <c r="D1118">
        <v>0.02</v>
      </c>
      <c r="E1118">
        <v>0</v>
      </c>
      <c r="F1118">
        <v>10</v>
      </c>
      <c r="G1118" t="b">
        <v>0</v>
      </c>
      <c r="H1118">
        <f>IF(inventory__Data[[#This Row],[stock_on_hand]]&lt;=0,1,0)</f>
        <v>0</v>
      </c>
      <c r="I1118">
        <f>COUNTIFS(inventory__Data[product_id],inventory__Data[[#This Row],[product_id]],inventory__Data[stock_on_hand],"&lt;=0")</f>
        <v>23</v>
      </c>
    </row>
    <row r="1119" spans="1:9" x14ac:dyDescent="0.3">
      <c r="A1119" s="1">
        <v>45881</v>
      </c>
      <c r="B1119" t="s">
        <v>15</v>
      </c>
      <c r="C1119">
        <v>779</v>
      </c>
      <c r="D1119">
        <v>0.04</v>
      </c>
      <c r="E1119">
        <v>0</v>
      </c>
      <c r="F1119">
        <v>2</v>
      </c>
      <c r="G1119" t="b">
        <v>0</v>
      </c>
      <c r="H1119">
        <f>IF(inventory__Data[[#This Row],[stock_on_hand]]&lt;=0,1,0)</f>
        <v>0</v>
      </c>
      <c r="I1119">
        <f>COUNTIFS(inventory__Data[product_id],inventory__Data[[#This Row],[product_id]],inventory__Data[stock_on_hand],"&lt;=0")</f>
        <v>30</v>
      </c>
    </row>
    <row r="1120" spans="1:9" x14ac:dyDescent="0.3">
      <c r="A1120" s="1">
        <v>45881</v>
      </c>
      <c r="B1120" t="s">
        <v>18</v>
      </c>
      <c r="C1120">
        <v>0</v>
      </c>
      <c r="D1120">
        <v>0.15</v>
      </c>
      <c r="E1120">
        <v>0</v>
      </c>
      <c r="F1120">
        <v>5</v>
      </c>
      <c r="G1120" t="b">
        <v>0</v>
      </c>
      <c r="H1120">
        <f>IF(inventory__Data[[#This Row],[stock_on_hand]]&lt;=0,1,0)</f>
        <v>1</v>
      </c>
      <c r="I1120">
        <f>COUNTIFS(inventory__Data[product_id],inventory__Data[[#This Row],[product_id]],inventory__Data[stock_on_hand],"&lt;=0")</f>
        <v>30</v>
      </c>
    </row>
    <row r="1121" spans="1:9" x14ac:dyDescent="0.3">
      <c r="A1121" s="1">
        <v>45881</v>
      </c>
      <c r="B1121" t="s">
        <v>21</v>
      </c>
      <c r="C1121">
        <v>505</v>
      </c>
      <c r="D1121">
        <v>0.03</v>
      </c>
      <c r="E1121">
        <v>0</v>
      </c>
      <c r="F1121">
        <v>2</v>
      </c>
      <c r="G1121" t="b">
        <v>0</v>
      </c>
      <c r="H1121">
        <f>IF(inventory__Data[[#This Row],[stock_on_hand]]&lt;=0,1,0)</f>
        <v>0</v>
      </c>
      <c r="I1121">
        <f>COUNTIFS(inventory__Data[product_id],inventory__Data[[#This Row],[product_id]],inventory__Data[stock_on_hand],"&lt;=0")</f>
        <v>29</v>
      </c>
    </row>
    <row r="1122" spans="1:9" x14ac:dyDescent="0.3">
      <c r="A1122" s="1">
        <v>45882</v>
      </c>
      <c r="B1122" t="s">
        <v>9</v>
      </c>
      <c r="C1122">
        <v>694</v>
      </c>
      <c r="D1122">
        <v>0.05</v>
      </c>
      <c r="E1122">
        <v>0</v>
      </c>
      <c r="F1122">
        <v>2</v>
      </c>
      <c r="G1122" t="b">
        <v>0</v>
      </c>
      <c r="H1122">
        <f>IF(inventory__Data[[#This Row],[stock_on_hand]]&lt;=0,1,0)</f>
        <v>0</v>
      </c>
      <c r="I1122">
        <f>COUNTIFS(inventory__Data[product_id],inventory__Data[[#This Row],[product_id]],inventory__Data[stock_on_hand],"&lt;=0")</f>
        <v>25</v>
      </c>
    </row>
    <row r="1123" spans="1:9" x14ac:dyDescent="0.3">
      <c r="A1123" s="1">
        <v>45882</v>
      </c>
      <c r="B1123" t="s">
        <v>12</v>
      </c>
      <c r="C1123">
        <v>191</v>
      </c>
      <c r="D1123">
        <v>0.02</v>
      </c>
      <c r="E1123">
        <v>0</v>
      </c>
      <c r="F1123">
        <v>2</v>
      </c>
      <c r="G1123" t="b">
        <v>0</v>
      </c>
      <c r="H1123">
        <f>IF(inventory__Data[[#This Row],[stock_on_hand]]&lt;=0,1,0)</f>
        <v>0</v>
      </c>
      <c r="I1123">
        <f>COUNTIFS(inventory__Data[product_id],inventory__Data[[#This Row],[product_id]],inventory__Data[stock_on_hand],"&lt;=0")</f>
        <v>23</v>
      </c>
    </row>
    <row r="1124" spans="1:9" x14ac:dyDescent="0.3">
      <c r="A1124" s="1">
        <v>45882</v>
      </c>
      <c r="B1124" t="s">
        <v>15</v>
      </c>
      <c r="C1124">
        <v>53</v>
      </c>
      <c r="D1124">
        <v>0.04</v>
      </c>
      <c r="E1124">
        <v>0</v>
      </c>
      <c r="F1124">
        <v>2</v>
      </c>
      <c r="G1124" t="b">
        <v>0</v>
      </c>
      <c r="H1124">
        <f>IF(inventory__Data[[#This Row],[stock_on_hand]]&lt;=0,1,0)</f>
        <v>0</v>
      </c>
      <c r="I1124">
        <f>COUNTIFS(inventory__Data[product_id],inventory__Data[[#This Row],[product_id]],inventory__Data[stock_on_hand],"&lt;=0")</f>
        <v>30</v>
      </c>
    </row>
    <row r="1125" spans="1:9" x14ac:dyDescent="0.3">
      <c r="A1125" s="1">
        <v>45882</v>
      </c>
      <c r="B1125" t="s">
        <v>18</v>
      </c>
      <c r="C1125">
        <v>675</v>
      </c>
      <c r="D1125">
        <v>0.15</v>
      </c>
      <c r="E1125">
        <v>0</v>
      </c>
      <c r="F1125">
        <v>2</v>
      </c>
      <c r="G1125" t="b">
        <v>0</v>
      </c>
      <c r="H1125">
        <f>IF(inventory__Data[[#This Row],[stock_on_hand]]&lt;=0,1,0)</f>
        <v>0</v>
      </c>
      <c r="I1125">
        <f>COUNTIFS(inventory__Data[product_id],inventory__Data[[#This Row],[product_id]],inventory__Data[stock_on_hand],"&lt;=0")</f>
        <v>30</v>
      </c>
    </row>
    <row r="1126" spans="1:9" x14ac:dyDescent="0.3">
      <c r="A1126" s="1">
        <v>45882</v>
      </c>
      <c r="B1126" t="s">
        <v>21</v>
      </c>
      <c r="C1126">
        <v>814</v>
      </c>
      <c r="D1126">
        <v>0.03</v>
      </c>
      <c r="E1126">
        <v>0</v>
      </c>
      <c r="F1126">
        <v>2</v>
      </c>
      <c r="G1126" t="b">
        <v>0</v>
      </c>
      <c r="H1126">
        <f>IF(inventory__Data[[#This Row],[stock_on_hand]]&lt;=0,1,0)</f>
        <v>0</v>
      </c>
      <c r="I1126">
        <f>COUNTIFS(inventory__Data[product_id],inventory__Data[[#This Row],[product_id]],inventory__Data[stock_on_hand],"&lt;=0")</f>
        <v>29</v>
      </c>
    </row>
    <row r="1127" spans="1:9" x14ac:dyDescent="0.3">
      <c r="A1127" s="1">
        <v>45883</v>
      </c>
      <c r="B1127" t="s">
        <v>9</v>
      </c>
      <c r="C1127">
        <v>290</v>
      </c>
      <c r="D1127">
        <v>0.05</v>
      </c>
      <c r="E1127">
        <v>0</v>
      </c>
      <c r="F1127">
        <v>2</v>
      </c>
      <c r="G1127" t="b">
        <v>0</v>
      </c>
      <c r="H1127">
        <f>IF(inventory__Data[[#This Row],[stock_on_hand]]&lt;=0,1,0)</f>
        <v>0</v>
      </c>
      <c r="I1127">
        <f>COUNTIFS(inventory__Data[product_id],inventory__Data[[#This Row],[product_id]],inventory__Data[stock_on_hand],"&lt;=0")</f>
        <v>25</v>
      </c>
    </row>
    <row r="1128" spans="1:9" x14ac:dyDescent="0.3">
      <c r="A1128" s="1">
        <v>45883</v>
      </c>
      <c r="B1128" t="s">
        <v>12</v>
      </c>
      <c r="C1128">
        <v>202</v>
      </c>
      <c r="D1128">
        <v>0.02</v>
      </c>
      <c r="E1128">
        <v>0</v>
      </c>
      <c r="F1128">
        <v>5</v>
      </c>
      <c r="G1128" t="b">
        <v>0</v>
      </c>
      <c r="H1128">
        <f>IF(inventory__Data[[#This Row],[stock_on_hand]]&lt;=0,1,0)</f>
        <v>0</v>
      </c>
      <c r="I1128">
        <f>COUNTIFS(inventory__Data[product_id],inventory__Data[[#This Row],[product_id]],inventory__Data[stock_on_hand],"&lt;=0")</f>
        <v>23</v>
      </c>
    </row>
    <row r="1129" spans="1:9" x14ac:dyDescent="0.3">
      <c r="A1129" s="1">
        <v>45883</v>
      </c>
      <c r="B1129" t="s">
        <v>15</v>
      </c>
      <c r="C1129">
        <v>724</v>
      </c>
      <c r="D1129">
        <v>0.04</v>
      </c>
      <c r="E1129">
        <v>0</v>
      </c>
      <c r="F1129">
        <v>2</v>
      </c>
      <c r="G1129" t="b">
        <v>0</v>
      </c>
      <c r="H1129">
        <f>IF(inventory__Data[[#This Row],[stock_on_hand]]&lt;=0,1,0)</f>
        <v>0</v>
      </c>
      <c r="I1129">
        <f>COUNTIFS(inventory__Data[product_id],inventory__Data[[#This Row],[product_id]],inventory__Data[stock_on_hand],"&lt;=0")</f>
        <v>30</v>
      </c>
    </row>
    <row r="1130" spans="1:9" x14ac:dyDescent="0.3">
      <c r="A1130" s="1">
        <v>45883</v>
      </c>
      <c r="B1130" t="s">
        <v>18</v>
      </c>
      <c r="C1130">
        <v>338</v>
      </c>
      <c r="D1130">
        <v>0.15</v>
      </c>
      <c r="E1130">
        <v>0</v>
      </c>
      <c r="F1130">
        <v>2</v>
      </c>
      <c r="G1130" t="b">
        <v>0</v>
      </c>
      <c r="H1130">
        <f>IF(inventory__Data[[#This Row],[stock_on_hand]]&lt;=0,1,0)</f>
        <v>0</v>
      </c>
      <c r="I1130">
        <f>COUNTIFS(inventory__Data[product_id],inventory__Data[[#This Row],[product_id]],inventory__Data[stock_on_hand],"&lt;=0")</f>
        <v>30</v>
      </c>
    </row>
    <row r="1131" spans="1:9" x14ac:dyDescent="0.3">
      <c r="A1131" s="1">
        <v>45883</v>
      </c>
      <c r="B1131" t="s">
        <v>21</v>
      </c>
      <c r="C1131">
        <v>29</v>
      </c>
      <c r="D1131">
        <v>0.03</v>
      </c>
      <c r="E1131">
        <v>0</v>
      </c>
      <c r="F1131">
        <v>5</v>
      </c>
      <c r="G1131" t="b">
        <v>0</v>
      </c>
      <c r="H1131">
        <f>IF(inventory__Data[[#This Row],[stock_on_hand]]&lt;=0,1,0)</f>
        <v>0</v>
      </c>
      <c r="I1131">
        <f>COUNTIFS(inventory__Data[product_id],inventory__Data[[#This Row],[product_id]],inventory__Data[stock_on_hand],"&lt;=0")</f>
        <v>29</v>
      </c>
    </row>
    <row r="1132" spans="1:9" x14ac:dyDescent="0.3">
      <c r="A1132" s="1">
        <v>45884</v>
      </c>
      <c r="B1132" t="s">
        <v>9</v>
      </c>
      <c r="C1132">
        <v>514</v>
      </c>
      <c r="D1132">
        <v>0.05</v>
      </c>
      <c r="E1132">
        <v>0</v>
      </c>
      <c r="F1132">
        <v>2</v>
      </c>
      <c r="G1132" t="b">
        <v>0</v>
      </c>
      <c r="H1132">
        <f>IF(inventory__Data[[#This Row],[stock_on_hand]]&lt;=0,1,0)</f>
        <v>0</v>
      </c>
      <c r="I1132">
        <f>COUNTIFS(inventory__Data[product_id],inventory__Data[[#This Row],[product_id]],inventory__Data[stock_on_hand],"&lt;=0")</f>
        <v>25</v>
      </c>
    </row>
    <row r="1133" spans="1:9" x14ac:dyDescent="0.3">
      <c r="A1133" s="1">
        <v>45884</v>
      </c>
      <c r="B1133" t="s">
        <v>12</v>
      </c>
      <c r="C1133">
        <v>667</v>
      </c>
      <c r="D1133">
        <v>0.02</v>
      </c>
      <c r="E1133">
        <v>0</v>
      </c>
      <c r="F1133">
        <v>2</v>
      </c>
      <c r="G1133" t="b">
        <v>0</v>
      </c>
      <c r="H1133">
        <f>IF(inventory__Data[[#This Row],[stock_on_hand]]&lt;=0,1,0)</f>
        <v>0</v>
      </c>
      <c r="I1133">
        <f>COUNTIFS(inventory__Data[product_id],inventory__Data[[#This Row],[product_id]],inventory__Data[stock_on_hand],"&lt;=0")</f>
        <v>23</v>
      </c>
    </row>
    <row r="1134" spans="1:9" x14ac:dyDescent="0.3">
      <c r="A1134" s="1">
        <v>45884</v>
      </c>
      <c r="B1134" t="s">
        <v>15</v>
      </c>
      <c r="C1134">
        <v>150</v>
      </c>
      <c r="D1134">
        <v>0.04</v>
      </c>
      <c r="E1134">
        <v>0</v>
      </c>
      <c r="F1134">
        <v>2</v>
      </c>
      <c r="G1134" t="b">
        <v>0</v>
      </c>
      <c r="H1134">
        <f>IF(inventory__Data[[#This Row],[stock_on_hand]]&lt;=0,1,0)</f>
        <v>0</v>
      </c>
      <c r="I1134">
        <f>COUNTIFS(inventory__Data[product_id],inventory__Data[[#This Row],[product_id]],inventory__Data[stock_on_hand],"&lt;=0")</f>
        <v>30</v>
      </c>
    </row>
    <row r="1135" spans="1:9" x14ac:dyDescent="0.3">
      <c r="A1135" s="1">
        <v>45884</v>
      </c>
      <c r="B1135" t="s">
        <v>18</v>
      </c>
      <c r="C1135">
        <v>228</v>
      </c>
      <c r="D1135">
        <v>0.15</v>
      </c>
      <c r="E1135">
        <v>0</v>
      </c>
      <c r="F1135">
        <v>2</v>
      </c>
      <c r="G1135" t="b">
        <v>0</v>
      </c>
      <c r="H1135">
        <f>IF(inventory__Data[[#This Row],[stock_on_hand]]&lt;=0,1,0)</f>
        <v>0</v>
      </c>
      <c r="I1135">
        <f>COUNTIFS(inventory__Data[product_id],inventory__Data[[#This Row],[product_id]],inventory__Data[stock_on_hand],"&lt;=0")</f>
        <v>30</v>
      </c>
    </row>
    <row r="1136" spans="1:9" x14ac:dyDescent="0.3">
      <c r="A1136" s="1">
        <v>45884</v>
      </c>
      <c r="B1136" t="s">
        <v>21</v>
      </c>
      <c r="C1136">
        <v>550</v>
      </c>
      <c r="D1136">
        <v>0.03</v>
      </c>
      <c r="E1136">
        <v>0</v>
      </c>
      <c r="F1136">
        <v>2</v>
      </c>
      <c r="G1136" t="b">
        <v>0</v>
      </c>
      <c r="H1136">
        <f>IF(inventory__Data[[#This Row],[stock_on_hand]]&lt;=0,1,0)</f>
        <v>0</v>
      </c>
      <c r="I1136">
        <f>COUNTIFS(inventory__Data[product_id],inventory__Data[[#This Row],[product_id]],inventory__Data[stock_on_hand],"&lt;=0")</f>
        <v>29</v>
      </c>
    </row>
    <row r="1137" spans="1:9" x14ac:dyDescent="0.3">
      <c r="A1137" s="1">
        <v>45885</v>
      </c>
      <c r="B1137" t="s">
        <v>9</v>
      </c>
      <c r="C1137">
        <v>679</v>
      </c>
      <c r="D1137">
        <v>0.05</v>
      </c>
      <c r="E1137">
        <v>0</v>
      </c>
      <c r="F1137">
        <v>5</v>
      </c>
      <c r="G1137" t="b">
        <v>0</v>
      </c>
      <c r="H1137">
        <f>IF(inventory__Data[[#This Row],[stock_on_hand]]&lt;=0,1,0)</f>
        <v>0</v>
      </c>
      <c r="I1137">
        <f>COUNTIFS(inventory__Data[product_id],inventory__Data[[#This Row],[product_id]],inventory__Data[stock_on_hand],"&lt;=0")</f>
        <v>25</v>
      </c>
    </row>
    <row r="1138" spans="1:9" x14ac:dyDescent="0.3">
      <c r="A1138" s="1">
        <v>45885</v>
      </c>
      <c r="B1138" t="s">
        <v>12</v>
      </c>
      <c r="C1138">
        <v>648</v>
      </c>
      <c r="D1138">
        <v>0.02</v>
      </c>
      <c r="E1138">
        <v>0</v>
      </c>
      <c r="F1138">
        <v>5</v>
      </c>
      <c r="G1138" t="b">
        <v>0</v>
      </c>
      <c r="H1138">
        <f>IF(inventory__Data[[#This Row],[stock_on_hand]]&lt;=0,1,0)</f>
        <v>0</v>
      </c>
      <c r="I1138">
        <f>COUNTIFS(inventory__Data[product_id],inventory__Data[[#This Row],[product_id]],inventory__Data[stock_on_hand],"&lt;=0")</f>
        <v>23</v>
      </c>
    </row>
    <row r="1139" spans="1:9" x14ac:dyDescent="0.3">
      <c r="A1139" s="1">
        <v>45885</v>
      </c>
      <c r="B1139" t="s">
        <v>15</v>
      </c>
      <c r="C1139">
        <v>541</v>
      </c>
      <c r="D1139">
        <v>0.04</v>
      </c>
      <c r="E1139">
        <v>0</v>
      </c>
      <c r="F1139">
        <v>5</v>
      </c>
      <c r="G1139" t="b">
        <v>0</v>
      </c>
      <c r="H1139">
        <f>IF(inventory__Data[[#This Row],[stock_on_hand]]&lt;=0,1,0)</f>
        <v>0</v>
      </c>
      <c r="I1139">
        <f>COUNTIFS(inventory__Data[product_id],inventory__Data[[#This Row],[product_id]],inventory__Data[stock_on_hand],"&lt;=0")</f>
        <v>30</v>
      </c>
    </row>
    <row r="1140" spans="1:9" x14ac:dyDescent="0.3">
      <c r="A1140" s="1">
        <v>45885</v>
      </c>
      <c r="B1140" t="s">
        <v>18</v>
      </c>
      <c r="C1140">
        <v>804</v>
      </c>
      <c r="D1140">
        <v>0.15</v>
      </c>
      <c r="E1140">
        <v>0</v>
      </c>
      <c r="F1140">
        <v>2</v>
      </c>
      <c r="G1140" t="b">
        <v>0</v>
      </c>
      <c r="H1140">
        <f>IF(inventory__Data[[#This Row],[stock_on_hand]]&lt;=0,1,0)</f>
        <v>0</v>
      </c>
      <c r="I1140">
        <f>COUNTIFS(inventory__Data[product_id],inventory__Data[[#This Row],[product_id]],inventory__Data[stock_on_hand],"&lt;=0")</f>
        <v>30</v>
      </c>
    </row>
    <row r="1141" spans="1:9" x14ac:dyDescent="0.3">
      <c r="A1141" s="1">
        <v>45885</v>
      </c>
      <c r="B1141" t="s">
        <v>21</v>
      </c>
      <c r="C1141">
        <v>0</v>
      </c>
      <c r="D1141">
        <v>0.03</v>
      </c>
      <c r="E1141">
        <v>0</v>
      </c>
      <c r="F1141">
        <v>2</v>
      </c>
      <c r="G1141" t="b">
        <v>0</v>
      </c>
      <c r="H1141">
        <f>IF(inventory__Data[[#This Row],[stock_on_hand]]&lt;=0,1,0)</f>
        <v>1</v>
      </c>
      <c r="I1141">
        <f>COUNTIFS(inventory__Data[product_id],inventory__Data[[#This Row],[product_id]],inventory__Data[stock_on_hand],"&lt;=0")</f>
        <v>29</v>
      </c>
    </row>
    <row r="1142" spans="1:9" x14ac:dyDescent="0.3">
      <c r="A1142" s="1">
        <v>45886</v>
      </c>
      <c r="B1142" t="s">
        <v>9</v>
      </c>
      <c r="C1142">
        <v>747</v>
      </c>
      <c r="D1142">
        <v>0.05</v>
      </c>
      <c r="E1142">
        <v>0</v>
      </c>
      <c r="F1142">
        <v>5</v>
      </c>
      <c r="G1142" t="b">
        <v>0</v>
      </c>
      <c r="H1142">
        <f>IF(inventory__Data[[#This Row],[stock_on_hand]]&lt;=0,1,0)</f>
        <v>0</v>
      </c>
      <c r="I1142">
        <f>COUNTIFS(inventory__Data[product_id],inventory__Data[[#This Row],[product_id]],inventory__Data[stock_on_hand],"&lt;=0")</f>
        <v>25</v>
      </c>
    </row>
    <row r="1143" spans="1:9" x14ac:dyDescent="0.3">
      <c r="A1143" s="1">
        <v>45886</v>
      </c>
      <c r="B1143" t="s">
        <v>12</v>
      </c>
      <c r="C1143">
        <v>15</v>
      </c>
      <c r="D1143">
        <v>0.02</v>
      </c>
      <c r="E1143">
        <v>0</v>
      </c>
      <c r="F1143">
        <v>2</v>
      </c>
      <c r="G1143" t="b">
        <v>0</v>
      </c>
      <c r="H1143">
        <f>IF(inventory__Data[[#This Row],[stock_on_hand]]&lt;=0,1,0)</f>
        <v>0</v>
      </c>
      <c r="I1143">
        <f>COUNTIFS(inventory__Data[product_id],inventory__Data[[#This Row],[product_id]],inventory__Data[stock_on_hand],"&lt;=0")</f>
        <v>23</v>
      </c>
    </row>
    <row r="1144" spans="1:9" x14ac:dyDescent="0.3">
      <c r="A1144" s="1">
        <v>45886</v>
      </c>
      <c r="B1144" t="s">
        <v>15</v>
      </c>
      <c r="C1144">
        <v>564</v>
      </c>
      <c r="D1144">
        <v>0.04</v>
      </c>
      <c r="E1144">
        <v>0</v>
      </c>
      <c r="F1144">
        <v>2</v>
      </c>
      <c r="G1144" t="b">
        <v>0</v>
      </c>
      <c r="H1144">
        <f>IF(inventory__Data[[#This Row],[stock_on_hand]]&lt;=0,1,0)</f>
        <v>0</v>
      </c>
      <c r="I1144">
        <f>COUNTIFS(inventory__Data[product_id],inventory__Data[[#This Row],[product_id]],inventory__Data[stock_on_hand],"&lt;=0")</f>
        <v>30</v>
      </c>
    </row>
    <row r="1145" spans="1:9" x14ac:dyDescent="0.3">
      <c r="A1145" s="1">
        <v>45886</v>
      </c>
      <c r="B1145" t="s">
        <v>18</v>
      </c>
      <c r="C1145">
        <v>547</v>
      </c>
      <c r="D1145">
        <v>0.15</v>
      </c>
      <c r="E1145">
        <v>0</v>
      </c>
      <c r="F1145">
        <v>5</v>
      </c>
      <c r="G1145" t="b">
        <v>0</v>
      </c>
      <c r="H1145">
        <f>IF(inventory__Data[[#This Row],[stock_on_hand]]&lt;=0,1,0)</f>
        <v>0</v>
      </c>
      <c r="I1145">
        <f>COUNTIFS(inventory__Data[product_id],inventory__Data[[#This Row],[product_id]],inventory__Data[stock_on_hand],"&lt;=0")</f>
        <v>30</v>
      </c>
    </row>
    <row r="1146" spans="1:9" x14ac:dyDescent="0.3">
      <c r="A1146" s="1">
        <v>45886</v>
      </c>
      <c r="B1146" t="s">
        <v>21</v>
      </c>
      <c r="C1146">
        <v>577</v>
      </c>
      <c r="D1146">
        <v>0.03</v>
      </c>
      <c r="E1146">
        <v>0</v>
      </c>
      <c r="F1146">
        <v>5</v>
      </c>
      <c r="G1146" t="b">
        <v>0</v>
      </c>
      <c r="H1146">
        <f>IF(inventory__Data[[#This Row],[stock_on_hand]]&lt;=0,1,0)</f>
        <v>0</v>
      </c>
      <c r="I1146">
        <f>COUNTIFS(inventory__Data[product_id],inventory__Data[[#This Row],[product_id]],inventory__Data[stock_on_hand],"&lt;=0")</f>
        <v>29</v>
      </c>
    </row>
    <row r="1147" spans="1:9" x14ac:dyDescent="0.3">
      <c r="A1147" s="1">
        <v>45887</v>
      </c>
      <c r="B1147" t="s">
        <v>9</v>
      </c>
      <c r="C1147">
        <v>87</v>
      </c>
      <c r="D1147">
        <v>0.05</v>
      </c>
      <c r="E1147">
        <v>0</v>
      </c>
      <c r="F1147">
        <v>2</v>
      </c>
      <c r="G1147" t="b">
        <v>0</v>
      </c>
      <c r="H1147">
        <f>IF(inventory__Data[[#This Row],[stock_on_hand]]&lt;=0,1,0)</f>
        <v>0</v>
      </c>
      <c r="I1147">
        <f>COUNTIFS(inventory__Data[product_id],inventory__Data[[#This Row],[product_id]],inventory__Data[stock_on_hand],"&lt;=0")</f>
        <v>25</v>
      </c>
    </row>
    <row r="1148" spans="1:9" x14ac:dyDescent="0.3">
      <c r="A1148" s="1">
        <v>45887</v>
      </c>
      <c r="B1148" t="s">
        <v>12</v>
      </c>
      <c r="C1148">
        <v>832</v>
      </c>
      <c r="D1148">
        <v>0.02</v>
      </c>
      <c r="E1148">
        <v>0</v>
      </c>
      <c r="F1148">
        <v>5</v>
      </c>
      <c r="G1148" t="b">
        <v>0</v>
      </c>
      <c r="H1148">
        <f>IF(inventory__Data[[#This Row],[stock_on_hand]]&lt;=0,1,0)</f>
        <v>0</v>
      </c>
      <c r="I1148">
        <f>COUNTIFS(inventory__Data[product_id],inventory__Data[[#This Row],[product_id]],inventory__Data[stock_on_hand],"&lt;=0")</f>
        <v>23</v>
      </c>
    </row>
    <row r="1149" spans="1:9" x14ac:dyDescent="0.3">
      <c r="A1149" s="1">
        <v>45887</v>
      </c>
      <c r="B1149" t="s">
        <v>15</v>
      </c>
      <c r="C1149">
        <v>441</v>
      </c>
      <c r="D1149">
        <v>0.04</v>
      </c>
      <c r="E1149">
        <v>0</v>
      </c>
      <c r="F1149">
        <v>5</v>
      </c>
      <c r="G1149" t="b">
        <v>0</v>
      </c>
      <c r="H1149">
        <f>IF(inventory__Data[[#This Row],[stock_on_hand]]&lt;=0,1,0)</f>
        <v>0</v>
      </c>
      <c r="I1149">
        <f>COUNTIFS(inventory__Data[product_id],inventory__Data[[#This Row],[product_id]],inventory__Data[stock_on_hand],"&lt;=0")</f>
        <v>30</v>
      </c>
    </row>
    <row r="1150" spans="1:9" x14ac:dyDescent="0.3">
      <c r="A1150" s="1">
        <v>45887</v>
      </c>
      <c r="B1150" t="s">
        <v>18</v>
      </c>
      <c r="C1150">
        <v>681</v>
      </c>
      <c r="D1150">
        <v>0.15</v>
      </c>
      <c r="E1150">
        <v>0</v>
      </c>
      <c r="F1150">
        <v>2</v>
      </c>
      <c r="G1150" t="b">
        <v>0</v>
      </c>
      <c r="H1150">
        <f>IF(inventory__Data[[#This Row],[stock_on_hand]]&lt;=0,1,0)</f>
        <v>0</v>
      </c>
      <c r="I1150">
        <f>COUNTIFS(inventory__Data[product_id],inventory__Data[[#This Row],[product_id]],inventory__Data[stock_on_hand],"&lt;=0")</f>
        <v>30</v>
      </c>
    </row>
    <row r="1151" spans="1:9" x14ac:dyDescent="0.3">
      <c r="A1151" s="1">
        <v>45887</v>
      </c>
      <c r="B1151" t="s">
        <v>21</v>
      </c>
      <c r="C1151">
        <v>315</v>
      </c>
      <c r="D1151">
        <v>0.03</v>
      </c>
      <c r="E1151">
        <v>0</v>
      </c>
      <c r="F1151">
        <v>2</v>
      </c>
      <c r="G1151" t="b">
        <v>0</v>
      </c>
      <c r="H1151">
        <f>IF(inventory__Data[[#This Row],[stock_on_hand]]&lt;=0,1,0)</f>
        <v>0</v>
      </c>
      <c r="I1151">
        <f>COUNTIFS(inventory__Data[product_id],inventory__Data[[#This Row],[product_id]],inventory__Data[stock_on_hand],"&lt;=0")</f>
        <v>29</v>
      </c>
    </row>
    <row r="1152" spans="1:9" x14ac:dyDescent="0.3">
      <c r="A1152" s="1">
        <v>45888</v>
      </c>
      <c r="B1152" t="s">
        <v>9</v>
      </c>
      <c r="C1152">
        <v>494</v>
      </c>
      <c r="D1152">
        <v>0.05</v>
      </c>
      <c r="E1152">
        <v>0</v>
      </c>
      <c r="F1152">
        <v>2</v>
      </c>
      <c r="G1152" t="b">
        <v>0</v>
      </c>
      <c r="H1152">
        <f>IF(inventory__Data[[#This Row],[stock_on_hand]]&lt;=0,1,0)</f>
        <v>0</v>
      </c>
      <c r="I1152">
        <f>COUNTIFS(inventory__Data[product_id],inventory__Data[[#This Row],[product_id]],inventory__Data[stock_on_hand],"&lt;=0")</f>
        <v>25</v>
      </c>
    </row>
    <row r="1153" spans="1:9" x14ac:dyDescent="0.3">
      <c r="A1153" s="1">
        <v>45888</v>
      </c>
      <c r="B1153" t="s">
        <v>12</v>
      </c>
      <c r="C1153">
        <v>116</v>
      </c>
      <c r="D1153">
        <v>0.02</v>
      </c>
      <c r="E1153">
        <v>0</v>
      </c>
      <c r="F1153">
        <v>5</v>
      </c>
      <c r="G1153" t="b">
        <v>0</v>
      </c>
      <c r="H1153">
        <f>IF(inventory__Data[[#This Row],[stock_on_hand]]&lt;=0,1,0)</f>
        <v>0</v>
      </c>
      <c r="I1153">
        <f>COUNTIFS(inventory__Data[product_id],inventory__Data[[#This Row],[product_id]],inventory__Data[stock_on_hand],"&lt;=0")</f>
        <v>23</v>
      </c>
    </row>
    <row r="1154" spans="1:9" x14ac:dyDescent="0.3">
      <c r="A1154" s="1">
        <v>45888</v>
      </c>
      <c r="B1154" t="s">
        <v>15</v>
      </c>
      <c r="C1154">
        <v>160</v>
      </c>
      <c r="D1154">
        <v>0.04</v>
      </c>
      <c r="E1154">
        <v>0</v>
      </c>
      <c r="F1154">
        <v>5</v>
      </c>
      <c r="G1154" t="b">
        <v>0</v>
      </c>
      <c r="H1154">
        <f>IF(inventory__Data[[#This Row],[stock_on_hand]]&lt;=0,1,0)</f>
        <v>0</v>
      </c>
      <c r="I1154">
        <f>COUNTIFS(inventory__Data[product_id],inventory__Data[[#This Row],[product_id]],inventory__Data[stock_on_hand],"&lt;=0")</f>
        <v>30</v>
      </c>
    </row>
    <row r="1155" spans="1:9" x14ac:dyDescent="0.3">
      <c r="A1155" s="1">
        <v>45888</v>
      </c>
      <c r="B1155" t="s">
        <v>18</v>
      </c>
      <c r="C1155">
        <v>265</v>
      </c>
      <c r="D1155">
        <v>0.15</v>
      </c>
      <c r="E1155">
        <v>0</v>
      </c>
      <c r="F1155">
        <v>5</v>
      </c>
      <c r="G1155" t="b">
        <v>0</v>
      </c>
      <c r="H1155">
        <f>IF(inventory__Data[[#This Row],[stock_on_hand]]&lt;=0,1,0)</f>
        <v>0</v>
      </c>
      <c r="I1155">
        <f>COUNTIFS(inventory__Data[product_id],inventory__Data[[#This Row],[product_id]],inventory__Data[stock_on_hand],"&lt;=0")</f>
        <v>30</v>
      </c>
    </row>
    <row r="1156" spans="1:9" x14ac:dyDescent="0.3">
      <c r="A1156" s="1">
        <v>45888</v>
      </c>
      <c r="B1156" t="s">
        <v>21</v>
      </c>
      <c r="C1156">
        <v>346</v>
      </c>
      <c r="D1156">
        <v>0.03</v>
      </c>
      <c r="E1156">
        <v>0</v>
      </c>
      <c r="F1156">
        <v>2</v>
      </c>
      <c r="G1156" t="b">
        <v>0</v>
      </c>
      <c r="H1156">
        <f>IF(inventory__Data[[#This Row],[stock_on_hand]]&lt;=0,1,0)</f>
        <v>0</v>
      </c>
      <c r="I1156">
        <f>COUNTIFS(inventory__Data[product_id],inventory__Data[[#This Row],[product_id]],inventory__Data[stock_on_hand],"&lt;=0")</f>
        <v>29</v>
      </c>
    </row>
    <row r="1157" spans="1:9" x14ac:dyDescent="0.3">
      <c r="A1157" s="1">
        <v>45889</v>
      </c>
      <c r="B1157" t="s">
        <v>9</v>
      </c>
      <c r="C1157">
        <v>217</v>
      </c>
      <c r="D1157">
        <v>0.05</v>
      </c>
      <c r="E1157">
        <v>0</v>
      </c>
      <c r="F1157">
        <v>5</v>
      </c>
      <c r="G1157" t="b">
        <v>0</v>
      </c>
      <c r="H1157">
        <f>IF(inventory__Data[[#This Row],[stock_on_hand]]&lt;=0,1,0)</f>
        <v>0</v>
      </c>
      <c r="I1157">
        <f>COUNTIFS(inventory__Data[product_id],inventory__Data[[#This Row],[product_id]],inventory__Data[stock_on_hand],"&lt;=0")</f>
        <v>25</v>
      </c>
    </row>
    <row r="1158" spans="1:9" x14ac:dyDescent="0.3">
      <c r="A1158" s="1">
        <v>45889</v>
      </c>
      <c r="B1158" t="s">
        <v>12</v>
      </c>
      <c r="C1158">
        <v>285</v>
      </c>
      <c r="D1158">
        <v>0.02</v>
      </c>
      <c r="E1158">
        <v>0</v>
      </c>
      <c r="F1158">
        <v>2</v>
      </c>
      <c r="G1158" t="b">
        <v>0</v>
      </c>
      <c r="H1158">
        <f>IF(inventory__Data[[#This Row],[stock_on_hand]]&lt;=0,1,0)</f>
        <v>0</v>
      </c>
      <c r="I1158">
        <f>COUNTIFS(inventory__Data[product_id],inventory__Data[[#This Row],[product_id]],inventory__Data[stock_on_hand],"&lt;=0")</f>
        <v>23</v>
      </c>
    </row>
    <row r="1159" spans="1:9" x14ac:dyDescent="0.3">
      <c r="A1159" s="1">
        <v>45889</v>
      </c>
      <c r="B1159" t="s">
        <v>15</v>
      </c>
      <c r="C1159">
        <v>159</v>
      </c>
      <c r="D1159">
        <v>0.04</v>
      </c>
      <c r="E1159">
        <v>0</v>
      </c>
      <c r="F1159">
        <v>2</v>
      </c>
      <c r="G1159" t="b">
        <v>0</v>
      </c>
      <c r="H1159">
        <f>IF(inventory__Data[[#This Row],[stock_on_hand]]&lt;=0,1,0)</f>
        <v>0</v>
      </c>
      <c r="I1159">
        <f>COUNTIFS(inventory__Data[product_id],inventory__Data[[#This Row],[product_id]],inventory__Data[stock_on_hand],"&lt;=0")</f>
        <v>30</v>
      </c>
    </row>
    <row r="1160" spans="1:9" x14ac:dyDescent="0.3">
      <c r="A1160" s="1">
        <v>45889</v>
      </c>
      <c r="B1160" t="s">
        <v>18</v>
      </c>
      <c r="C1160">
        <v>350</v>
      </c>
      <c r="D1160">
        <v>0.15</v>
      </c>
      <c r="E1160">
        <v>0</v>
      </c>
      <c r="F1160">
        <v>2</v>
      </c>
      <c r="G1160" t="b">
        <v>0</v>
      </c>
      <c r="H1160">
        <f>IF(inventory__Data[[#This Row],[stock_on_hand]]&lt;=0,1,0)</f>
        <v>0</v>
      </c>
      <c r="I1160">
        <f>COUNTIFS(inventory__Data[product_id],inventory__Data[[#This Row],[product_id]],inventory__Data[stock_on_hand],"&lt;=0")</f>
        <v>30</v>
      </c>
    </row>
    <row r="1161" spans="1:9" x14ac:dyDescent="0.3">
      <c r="A1161" s="1">
        <v>45889</v>
      </c>
      <c r="B1161" t="s">
        <v>21</v>
      </c>
      <c r="C1161">
        <v>148</v>
      </c>
      <c r="D1161">
        <v>0.03</v>
      </c>
      <c r="E1161">
        <v>0</v>
      </c>
      <c r="F1161">
        <v>5</v>
      </c>
      <c r="G1161" t="b">
        <v>0</v>
      </c>
      <c r="H1161">
        <f>IF(inventory__Data[[#This Row],[stock_on_hand]]&lt;=0,1,0)</f>
        <v>0</v>
      </c>
      <c r="I1161">
        <f>COUNTIFS(inventory__Data[product_id],inventory__Data[[#This Row],[product_id]],inventory__Data[stock_on_hand],"&lt;=0")</f>
        <v>29</v>
      </c>
    </row>
    <row r="1162" spans="1:9" x14ac:dyDescent="0.3">
      <c r="A1162" s="1">
        <v>45890</v>
      </c>
      <c r="B1162" t="s">
        <v>9</v>
      </c>
      <c r="C1162">
        <v>180</v>
      </c>
      <c r="D1162">
        <v>0.05</v>
      </c>
      <c r="E1162">
        <v>0</v>
      </c>
      <c r="F1162">
        <v>2</v>
      </c>
      <c r="G1162" t="b">
        <v>0</v>
      </c>
      <c r="H1162">
        <f>IF(inventory__Data[[#This Row],[stock_on_hand]]&lt;=0,1,0)</f>
        <v>0</v>
      </c>
      <c r="I1162">
        <f>COUNTIFS(inventory__Data[product_id],inventory__Data[[#This Row],[product_id]],inventory__Data[stock_on_hand],"&lt;=0")</f>
        <v>25</v>
      </c>
    </row>
    <row r="1163" spans="1:9" x14ac:dyDescent="0.3">
      <c r="A1163" s="1">
        <v>45890</v>
      </c>
      <c r="B1163" t="s">
        <v>12</v>
      </c>
      <c r="C1163">
        <v>723</v>
      </c>
      <c r="D1163">
        <v>0.02</v>
      </c>
      <c r="E1163">
        <v>0</v>
      </c>
      <c r="F1163">
        <v>5</v>
      </c>
      <c r="G1163" t="b">
        <v>0</v>
      </c>
      <c r="H1163">
        <f>IF(inventory__Data[[#This Row],[stock_on_hand]]&lt;=0,1,0)</f>
        <v>0</v>
      </c>
      <c r="I1163">
        <f>COUNTIFS(inventory__Data[product_id],inventory__Data[[#This Row],[product_id]],inventory__Data[stock_on_hand],"&lt;=0")</f>
        <v>23</v>
      </c>
    </row>
    <row r="1164" spans="1:9" x14ac:dyDescent="0.3">
      <c r="A1164" s="1">
        <v>45890</v>
      </c>
      <c r="B1164" t="s">
        <v>15</v>
      </c>
      <c r="C1164">
        <v>319</v>
      </c>
      <c r="D1164">
        <v>0.04</v>
      </c>
      <c r="E1164">
        <v>0</v>
      </c>
      <c r="F1164">
        <v>2</v>
      </c>
      <c r="G1164" t="b">
        <v>0</v>
      </c>
      <c r="H1164">
        <f>IF(inventory__Data[[#This Row],[stock_on_hand]]&lt;=0,1,0)</f>
        <v>0</v>
      </c>
      <c r="I1164">
        <f>COUNTIFS(inventory__Data[product_id],inventory__Data[[#This Row],[product_id]],inventory__Data[stock_on_hand],"&lt;=0")</f>
        <v>30</v>
      </c>
    </row>
    <row r="1165" spans="1:9" x14ac:dyDescent="0.3">
      <c r="A1165" s="1">
        <v>45890</v>
      </c>
      <c r="B1165" t="s">
        <v>18</v>
      </c>
      <c r="C1165">
        <v>541</v>
      </c>
      <c r="D1165">
        <v>0.15</v>
      </c>
      <c r="E1165">
        <v>0</v>
      </c>
      <c r="F1165">
        <v>2</v>
      </c>
      <c r="G1165" t="b">
        <v>0</v>
      </c>
      <c r="H1165">
        <f>IF(inventory__Data[[#This Row],[stock_on_hand]]&lt;=0,1,0)</f>
        <v>0</v>
      </c>
      <c r="I1165">
        <f>COUNTIFS(inventory__Data[product_id],inventory__Data[[#This Row],[product_id]],inventory__Data[stock_on_hand],"&lt;=0")</f>
        <v>30</v>
      </c>
    </row>
    <row r="1166" spans="1:9" x14ac:dyDescent="0.3">
      <c r="A1166" s="1">
        <v>45890</v>
      </c>
      <c r="B1166" t="s">
        <v>21</v>
      </c>
      <c r="C1166">
        <v>53</v>
      </c>
      <c r="D1166">
        <v>0.03</v>
      </c>
      <c r="E1166">
        <v>0</v>
      </c>
      <c r="F1166">
        <v>2</v>
      </c>
      <c r="G1166" t="b">
        <v>0</v>
      </c>
      <c r="H1166">
        <f>IF(inventory__Data[[#This Row],[stock_on_hand]]&lt;=0,1,0)</f>
        <v>0</v>
      </c>
      <c r="I1166">
        <f>COUNTIFS(inventory__Data[product_id],inventory__Data[[#This Row],[product_id]],inventory__Data[stock_on_hand],"&lt;=0")</f>
        <v>29</v>
      </c>
    </row>
    <row r="1167" spans="1:9" x14ac:dyDescent="0.3">
      <c r="A1167" s="1">
        <v>45891</v>
      </c>
      <c r="B1167" t="s">
        <v>9</v>
      </c>
      <c r="C1167">
        <v>0</v>
      </c>
      <c r="D1167">
        <v>0.05</v>
      </c>
      <c r="E1167">
        <v>0</v>
      </c>
      <c r="F1167">
        <v>2</v>
      </c>
      <c r="G1167" t="b">
        <v>0</v>
      </c>
      <c r="H1167">
        <f>IF(inventory__Data[[#This Row],[stock_on_hand]]&lt;=0,1,0)</f>
        <v>1</v>
      </c>
      <c r="I1167">
        <f>COUNTIFS(inventory__Data[product_id],inventory__Data[[#This Row],[product_id]],inventory__Data[stock_on_hand],"&lt;=0")</f>
        <v>25</v>
      </c>
    </row>
    <row r="1168" spans="1:9" x14ac:dyDescent="0.3">
      <c r="A1168" s="1">
        <v>45891</v>
      </c>
      <c r="B1168" t="s">
        <v>12</v>
      </c>
      <c r="C1168">
        <v>309</v>
      </c>
      <c r="D1168">
        <v>0.02</v>
      </c>
      <c r="E1168">
        <v>0</v>
      </c>
      <c r="F1168">
        <v>2</v>
      </c>
      <c r="G1168" t="b">
        <v>0</v>
      </c>
      <c r="H1168">
        <f>IF(inventory__Data[[#This Row],[stock_on_hand]]&lt;=0,1,0)</f>
        <v>0</v>
      </c>
      <c r="I1168">
        <f>COUNTIFS(inventory__Data[product_id],inventory__Data[[#This Row],[product_id]],inventory__Data[stock_on_hand],"&lt;=0")</f>
        <v>23</v>
      </c>
    </row>
    <row r="1169" spans="1:9" x14ac:dyDescent="0.3">
      <c r="A1169" s="1">
        <v>45891</v>
      </c>
      <c r="B1169" t="s">
        <v>15</v>
      </c>
      <c r="C1169">
        <v>89</v>
      </c>
      <c r="D1169">
        <v>0.04</v>
      </c>
      <c r="E1169">
        <v>0</v>
      </c>
      <c r="F1169">
        <v>5</v>
      </c>
      <c r="G1169" t="b">
        <v>0</v>
      </c>
      <c r="H1169">
        <f>IF(inventory__Data[[#This Row],[stock_on_hand]]&lt;=0,1,0)</f>
        <v>0</v>
      </c>
      <c r="I1169">
        <f>COUNTIFS(inventory__Data[product_id],inventory__Data[[#This Row],[product_id]],inventory__Data[stock_on_hand],"&lt;=0")</f>
        <v>30</v>
      </c>
    </row>
    <row r="1170" spans="1:9" x14ac:dyDescent="0.3">
      <c r="A1170" s="1">
        <v>45891</v>
      </c>
      <c r="B1170" t="s">
        <v>18</v>
      </c>
      <c r="C1170">
        <v>792</v>
      </c>
      <c r="D1170">
        <v>0.15</v>
      </c>
      <c r="E1170">
        <v>0</v>
      </c>
      <c r="F1170">
        <v>2</v>
      </c>
      <c r="G1170" t="b">
        <v>0</v>
      </c>
      <c r="H1170">
        <f>IF(inventory__Data[[#This Row],[stock_on_hand]]&lt;=0,1,0)</f>
        <v>0</v>
      </c>
      <c r="I1170">
        <f>COUNTIFS(inventory__Data[product_id],inventory__Data[[#This Row],[product_id]],inventory__Data[stock_on_hand],"&lt;=0")</f>
        <v>30</v>
      </c>
    </row>
    <row r="1171" spans="1:9" x14ac:dyDescent="0.3">
      <c r="A1171" s="1">
        <v>45891</v>
      </c>
      <c r="B1171" t="s">
        <v>21</v>
      </c>
      <c r="C1171">
        <v>310</v>
      </c>
      <c r="D1171">
        <v>0.03</v>
      </c>
      <c r="E1171">
        <v>0</v>
      </c>
      <c r="F1171">
        <v>2</v>
      </c>
      <c r="G1171" t="b">
        <v>0</v>
      </c>
      <c r="H1171">
        <f>IF(inventory__Data[[#This Row],[stock_on_hand]]&lt;=0,1,0)</f>
        <v>0</v>
      </c>
      <c r="I1171">
        <f>COUNTIFS(inventory__Data[product_id],inventory__Data[[#This Row],[product_id]],inventory__Data[stock_on_hand],"&lt;=0")</f>
        <v>29</v>
      </c>
    </row>
    <row r="1172" spans="1:9" x14ac:dyDescent="0.3">
      <c r="A1172" s="1">
        <v>45892</v>
      </c>
      <c r="B1172" t="s">
        <v>9</v>
      </c>
      <c r="C1172">
        <v>154</v>
      </c>
      <c r="D1172">
        <v>0.05</v>
      </c>
      <c r="E1172">
        <v>0</v>
      </c>
      <c r="F1172">
        <v>10</v>
      </c>
      <c r="G1172" t="b">
        <v>0</v>
      </c>
      <c r="H1172">
        <f>IF(inventory__Data[[#This Row],[stock_on_hand]]&lt;=0,1,0)</f>
        <v>0</v>
      </c>
      <c r="I1172">
        <f>COUNTIFS(inventory__Data[product_id],inventory__Data[[#This Row],[product_id]],inventory__Data[stock_on_hand],"&lt;=0")</f>
        <v>25</v>
      </c>
    </row>
    <row r="1173" spans="1:9" x14ac:dyDescent="0.3">
      <c r="A1173" s="1">
        <v>45892</v>
      </c>
      <c r="B1173" t="s">
        <v>12</v>
      </c>
      <c r="C1173">
        <v>278</v>
      </c>
      <c r="D1173">
        <v>0.02</v>
      </c>
      <c r="E1173">
        <v>0</v>
      </c>
      <c r="F1173">
        <v>2</v>
      </c>
      <c r="G1173" t="b">
        <v>0</v>
      </c>
      <c r="H1173">
        <f>IF(inventory__Data[[#This Row],[stock_on_hand]]&lt;=0,1,0)</f>
        <v>0</v>
      </c>
      <c r="I1173">
        <f>COUNTIFS(inventory__Data[product_id],inventory__Data[[#This Row],[product_id]],inventory__Data[stock_on_hand],"&lt;=0")</f>
        <v>23</v>
      </c>
    </row>
    <row r="1174" spans="1:9" x14ac:dyDescent="0.3">
      <c r="A1174" s="1">
        <v>45892</v>
      </c>
      <c r="B1174" t="s">
        <v>15</v>
      </c>
      <c r="C1174">
        <v>646</v>
      </c>
      <c r="D1174">
        <v>0.04</v>
      </c>
      <c r="E1174">
        <v>0</v>
      </c>
      <c r="F1174">
        <v>2</v>
      </c>
      <c r="G1174" t="b">
        <v>0</v>
      </c>
      <c r="H1174">
        <f>IF(inventory__Data[[#This Row],[stock_on_hand]]&lt;=0,1,0)</f>
        <v>0</v>
      </c>
      <c r="I1174">
        <f>COUNTIFS(inventory__Data[product_id],inventory__Data[[#This Row],[product_id]],inventory__Data[stock_on_hand],"&lt;=0")</f>
        <v>30</v>
      </c>
    </row>
    <row r="1175" spans="1:9" x14ac:dyDescent="0.3">
      <c r="A1175" s="1">
        <v>45892</v>
      </c>
      <c r="B1175" t="s">
        <v>18</v>
      </c>
      <c r="C1175">
        <v>100</v>
      </c>
      <c r="D1175">
        <v>0.15</v>
      </c>
      <c r="E1175">
        <v>0</v>
      </c>
      <c r="F1175">
        <v>2</v>
      </c>
      <c r="G1175" t="b">
        <v>0</v>
      </c>
      <c r="H1175">
        <f>IF(inventory__Data[[#This Row],[stock_on_hand]]&lt;=0,1,0)</f>
        <v>0</v>
      </c>
      <c r="I1175">
        <f>COUNTIFS(inventory__Data[product_id],inventory__Data[[#This Row],[product_id]],inventory__Data[stock_on_hand],"&lt;=0")</f>
        <v>30</v>
      </c>
    </row>
    <row r="1176" spans="1:9" x14ac:dyDescent="0.3">
      <c r="A1176" s="1">
        <v>45892</v>
      </c>
      <c r="B1176" t="s">
        <v>21</v>
      </c>
      <c r="C1176">
        <v>757</v>
      </c>
      <c r="D1176">
        <v>0.03</v>
      </c>
      <c r="E1176">
        <v>0</v>
      </c>
      <c r="F1176">
        <v>2</v>
      </c>
      <c r="G1176" t="b">
        <v>0</v>
      </c>
      <c r="H1176">
        <f>IF(inventory__Data[[#This Row],[stock_on_hand]]&lt;=0,1,0)</f>
        <v>0</v>
      </c>
      <c r="I1176">
        <f>COUNTIFS(inventory__Data[product_id],inventory__Data[[#This Row],[product_id]],inventory__Data[stock_on_hand],"&lt;=0")</f>
        <v>29</v>
      </c>
    </row>
    <row r="1177" spans="1:9" x14ac:dyDescent="0.3">
      <c r="A1177" s="1">
        <v>45893</v>
      </c>
      <c r="B1177" t="s">
        <v>9</v>
      </c>
      <c r="C1177">
        <v>0</v>
      </c>
      <c r="D1177">
        <v>0.05</v>
      </c>
      <c r="E1177">
        <v>0</v>
      </c>
      <c r="F1177">
        <v>5</v>
      </c>
      <c r="G1177" t="b">
        <v>0</v>
      </c>
      <c r="H1177">
        <f>IF(inventory__Data[[#This Row],[stock_on_hand]]&lt;=0,1,0)</f>
        <v>1</v>
      </c>
      <c r="I1177">
        <f>COUNTIFS(inventory__Data[product_id],inventory__Data[[#This Row],[product_id]],inventory__Data[stock_on_hand],"&lt;=0")</f>
        <v>25</v>
      </c>
    </row>
    <row r="1178" spans="1:9" x14ac:dyDescent="0.3">
      <c r="A1178" s="1">
        <v>45893</v>
      </c>
      <c r="B1178" t="s">
        <v>12</v>
      </c>
      <c r="C1178">
        <v>134</v>
      </c>
      <c r="D1178">
        <v>0.02</v>
      </c>
      <c r="E1178">
        <v>0</v>
      </c>
      <c r="F1178">
        <v>5</v>
      </c>
      <c r="G1178" t="b">
        <v>0</v>
      </c>
      <c r="H1178">
        <f>IF(inventory__Data[[#This Row],[stock_on_hand]]&lt;=0,1,0)</f>
        <v>0</v>
      </c>
      <c r="I1178">
        <f>COUNTIFS(inventory__Data[product_id],inventory__Data[[#This Row],[product_id]],inventory__Data[stock_on_hand],"&lt;=0")</f>
        <v>23</v>
      </c>
    </row>
    <row r="1179" spans="1:9" x14ac:dyDescent="0.3">
      <c r="A1179" s="1">
        <v>45893</v>
      </c>
      <c r="B1179" t="s">
        <v>15</v>
      </c>
      <c r="C1179">
        <v>770</v>
      </c>
      <c r="D1179">
        <v>0.04</v>
      </c>
      <c r="E1179">
        <v>0</v>
      </c>
      <c r="F1179">
        <v>2</v>
      </c>
      <c r="G1179" t="b">
        <v>0</v>
      </c>
      <c r="H1179">
        <f>IF(inventory__Data[[#This Row],[stock_on_hand]]&lt;=0,1,0)</f>
        <v>0</v>
      </c>
      <c r="I1179">
        <f>COUNTIFS(inventory__Data[product_id],inventory__Data[[#This Row],[product_id]],inventory__Data[stock_on_hand],"&lt;=0")</f>
        <v>30</v>
      </c>
    </row>
    <row r="1180" spans="1:9" x14ac:dyDescent="0.3">
      <c r="A1180" s="1">
        <v>45893</v>
      </c>
      <c r="B1180" t="s">
        <v>18</v>
      </c>
      <c r="C1180">
        <v>475</v>
      </c>
      <c r="D1180">
        <v>0.15</v>
      </c>
      <c r="E1180">
        <v>0</v>
      </c>
      <c r="F1180">
        <v>2</v>
      </c>
      <c r="G1180" t="b">
        <v>0</v>
      </c>
      <c r="H1180">
        <f>IF(inventory__Data[[#This Row],[stock_on_hand]]&lt;=0,1,0)</f>
        <v>0</v>
      </c>
      <c r="I1180">
        <f>COUNTIFS(inventory__Data[product_id],inventory__Data[[#This Row],[product_id]],inventory__Data[stock_on_hand],"&lt;=0")</f>
        <v>30</v>
      </c>
    </row>
    <row r="1181" spans="1:9" x14ac:dyDescent="0.3">
      <c r="A1181" s="1">
        <v>45893</v>
      </c>
      <c r="B1181" t="s">
        <v>21</v>
      </c>
      <c r="C1181">
        <v>483</v>
      </c>
      <c r="D1181">
        <v>0.03</v>
      </c>
      <c r="E1181">
        <v>0</v>
      </c>
      <c r="F1181">
        <v>2</v>
      </c>
      <c r="G1181" t="b">
        <v>0</v>
      </c>
      <c r="H1181">
        <f>IF(inventory__Data[[#This Row],[stock_on_hand]]&lt;=0,1,0)</f>
        <v>0</v>
      </c>
      <c r="I1181">
        <f>COUNTIFS(inventory__Data[product_id],inventory__Data[[#This Row],[product_id]],inventory__Data[stock_on_hand],"&lt;=0")</f>
        <v>29</v>
      </c>
    </row>
    <row r="1182" spans="1:9" x14ac:dyDescent="0.3">
      <c r="A1182" s="1">
        <v>45894</v>
      </c>
      <c r="B1182" t="s">
        <v>9</v>
      </c>
      <c r="C1182">
        <v>736</v>
      </c>
      <c r="D1182">
        <v>0.05</v>
      </c>
      <c r="E1182">
        <v>0</v>
      </c>
      <c r="F1182">
        <v>2</v>
      </c>
      <c r="G1182" t="b">
        <v>0</v>
      </c>
      <c r="H1182">
        <f>IF(inventory__Data[[#This Row],[stock_on_hand]]&lt;=0,1,0)</f>
        <v>0</v>
      </c>
      <c r="I1182">
        <f>COUNTIFS(inventory__Data[product_id],inventory__Data[[#This Row],[product_id]],inventory__Data[stock_on_hand],"&lt;=0")</f>
        <v>25</v>
      </c>
    </row>
    <row r="1183" spans="1:9" x14ac:dyDescent="0.3">
      <c r="A1183" s="1">
        <v>45894</v>
      </c>
      <c r="B1183" t="s">
        <v>12</v>
      </c>
      <c r="C1183">
        <v>459</v>
      </c>
      <c r="D1183">
        <v>0.02</v>
      </c>
      <c r="E1183">
        <v>0</v>
      </c>
      <c r="F1183">
        <v>2</v>
      </c>
      <c r="G1183" t="b">
        <v>0</v>
      </c>
      <c r="H1183">
        <f>IF(inventory__Data[[#This Row],[stock_on_hand]]&lt;=0,1,0)</f>
        <v>0</v>
      </c>
      <c r="I1183">
        <f>COUNTIFS(inventory__Data[product_id],inventory__Data[[#This Row],[product_id]],inventory__Data[stock_on_hand],"&lt;=0")</f>
        <v>23</v>
      </c>
    </row>
    <row r="1184" spans="1:9" x14ac:dyDescent="0.3">
      <c r="A1184" s="1">
        <v>45894</v>
      </c>
      <c r="B1184" t="s">
        <v>15</v>
      </c>
      <c r="C1184">
        <v>513</v>
      </c>
      <c r="D1184">
        <v>0.04</v>
      </c>
      <c r="E1184">
        <v>0</v>
      </c>
      <c r="F1184">
        <v>2</v>
      </c>
      <c r="G1184" t="b">
        <v>0</v>
      </c>
      <c r="H1184">
        <f>IF(inventory__Data[[#This Row],[stock_on_hand]]&lt;=0,1,0)</f>
        <v>0</v>
      </c>
      <c r="I1184">
        <f>COUNTIFS(inventory__Data[product_id],inventory__Data[[#This Row],[product_id]],inventory__Data[stock_on_hand],"&lt;=0")</f>
        <v>30</v>
      </c>
    </row>
    <row r="1185" spans="1:9" x14ac:dyDescent="0.3">
      <c r="A1185" s="1">
        <v>45894</v>
      </c>
      <c r="B1185" t="s">
        <v>18</v>
      </c>
      <c r="C1185">
        <v>254</v>
      </c>
      <c r="D1185">
        <v>0.15</v>
      </c>
      <c r="E1185">
        <v>0</v>
      </c>
      <c r="F1185">
        <v>2</v>
      </c>
      <c r="G1185" t="b">
        <v>0</v>
      </c>
      <c r="H1185">
        <f>IF(inventory__Data[[#This Row],[stock_on_hand]]&lt;=0,1,0)</f>
        <v>0</v>
      </c>
      <c r="I1185">
        <f>COUNTIFS(inventory__Data[product_id],inventory__Data[[#This Row],[product_id]],inventory__Data[stock_on_hand],"&lt;=0")</f>
        <v>30</v>
      </c>
    </row>
    <row r="1186" spans="1:9" x14ac:dyDescent="0.3">
      <c r="A1186" s="1">
        <v>45894</v>
      </c>
      <c r="B1186" t="s">
        <v>21</v>
      </c>
      <c r="C1186">
        <v>696</v>
      </c>
      <c r="D1186">
        <v>0.03</v>
      </c>
      <c r="E1186">
        <v>0</v>
      </c>
      <c r="F1186">
        <v>2</v>
      </c>
      <c r="G1186" t="b">
        <v>0</v>
      </c>
      <c r="H1186">
        <f>IF(inventory__Data[[#This Row],[stock_on_hand]]&lt;=0,1,0)</f>
        <v>0</v>
      </c>
      <c r="I1186">
        <f>COUNTIFS(inventory__Data[product_id],inventory__Data[[#This Row],[product_id]],inventory__Data[stock_on_hand],"&lt;=0")</f>
        <v>29</v>
      </c>
    </row>
    <row r="1187" spans="1:9" x14ac:dyDescent="0.3">
      <c r="A1187" s="1">
        <v>45895</v>
      </c>
      <c r="B1187" t="s">
        <v>9</v>
      </c>
      <c r="C1187">
        <v>567</v>
      </c>
      <c r="D1187">
        <v>0.05</v>
      </c>
      <c r="E1187">
        <v>0</v>
      </c>
      <c r="F1187">
        <v>2</v>
      </c>
      <c r="G1187" t="b">
        <v>0</v>
      </c>
      <c r="H1187">
        <f>IF(inventory__Data[[#This Row],[stock_on_hand]]&lt;=0,1,0)</f>
        <v>0</v>
      </c>
      <c r="I1187">
        <f>COUNTIFS(inventory__Data[product_id],inventory__Data[[#This Row],[product_id]],inventory__Data[stock_on_hand],"&lt;=0")</f>
        <v>25</v>
      </c>
    </row>
    <row r="1188" spans="1:9" x14ac:dyDescent="0.3">
      <c r="A1188" s="1">
        <v>45895</v>
      </c>
      <c r="B1188" t="s">
        <v>12</v>
      </c>
      <c r="C1188">
        <v>271</v>
      </c>
      <c r="D1188">
        <v>0.02</v>
      </c>
      <c r="E1188">
        <v>0</v>
      </c>
      <c r="F1188">
        <v>2</v>
      </c>
      <c r="G1188" t="b">
        <v>0</v>
      </c>
      <c r="H1188">
        <f>IF(inventory__Data[[#This Row],[stock_on_hand]]&lt;=0,1,0)</f>
        <v>0</v>
      </c>
      <c r="I1188">
        <f>COUNTIFS(inventory__Data[product_id],inventory__Data[[#This Row],[product_id]],inventory__Data[stock_on_hand],"&lt;=0")</f>
        <v>23</v>
      </c>
    </row>
    <row r="1189" spans="1:9" x14ac:dyDescent="0.3">
      <c r="A1189" s="1">
        <v>45895</v>
      </c>
      <c r="B1189" t="s">
        <v>15</v>
      </c>
      <c r="C1189">
        <v>621</v>
      </c>
      <c r="D1189">
        <v>0.04</v>
      </c>
      <c r="E1189">
        <v>0</v>
      </c>
      <c r="F1189">
        <v>2</v>
      </c>
      <c r="G1189" t="b">
        <v>0</v>
      </c>
      <c r="H1189">
        <f>IF(inventory__Data[[#This Row],[stock_on_hand]]&lt;=0,1,0)</f>
        <v>0</v>
      </c>
      <c r="I1189">
        <f>COUNTIFS(inventory__Data[product_id],inventory__Data[[#This Row],[product_id]],inventory__Data[stock_on_hand],"&lt;=0")</f>
        <v>30</v>
      </c>
    </row>
    <row r="1190" spans="1:9" x14ac:dyDescent="0.3">
      <c r="A1190" s="1">
        <v>45895</v>
      </c>
      <c r="B1190" t="s">
        <v>18</v>
      </c>
      <c r="C1190">
        <v>245</v>
      </c>
      <c r="D1190">
        <v>0.15</v>
      </c>
      <c r="E1190">
        <v>0</v>
      </c>
      <c r="F1190">
        <v>10</v>
      </c>
      <c r="G1190" t="b">
        <v>0</v>
      </c>
      <c r="H1190">
        <f>IF(inventory__Data[[#This Row],[stock_on_hand]]&lt;=0,1,0)</f>
        <v>0</v>
      </c>
      <c r="I1190">
        <f>COUNTIFS(inventory__Data[product_id],inventory__Data[[#This Row],[product_id]],inventory__Data[stock_on_hand],"&lt;=0")</f>
        <v>30</v>
      </c>
    </row>
    <row r="1191" spans="1:9" x14ac:dyDescent="0.3">
      <c r="A1191" s="1">
        <v>45895</v>
      </c>
      <c r="B1191" t="s">
        <v>21</v>
      </c>
      <c r="C1191">
        <v>328</v>
      </c>
      <c r="D1191">
        <v>0.03</v>
      </c>
      <c r="E1191">
        <v>0</v>
      </c>
      <c r="F1191">
        <v>2</v>
      </c>
      <c r="G1191" t="b">
        <v>0</v>
      </c>
      <c r="H1191">
        <f>IF(inventory__Data[[#This Row],[stock_on_hand]]&lt;=0,1,0)</f>
        <v>0</v>
      </c>
      <c r="I1191">
        <f>COUNTIFS(inventory__Data[product_id],inventory__Data[[#This Row],[product_id]],inventory__Data[stock_on_hand],"&lt;=0")</f>
        <v>29</v>
      </c>
    </row>
    <row r="1192" spans="1:9" x14ac:dyDescent="0.3">
      <c r="A1192" s="1">
        <v>45896</v>
      </c>
      <c r="B1192" t="s">
        <v>9</v>
      </c>
      <c r="C1192">
        <v>522</v>
      </c>
      <c r="D1192">
        <v>0.05</v>
      </c>
      <c r="E1192">
        <v>0</v>
      </c>
      <c r="F1192">
        <v>2</v>
      </c>
      <c r="G1192" t="b">
        <v>0</v>
      </c>
      <c r="H1192">
        <f>IF(inventory__Data[[#This Row],[stock_on_hand]]&lt;=0,1,0)</f>
        <v>0</v>
      </c>
      <c r="I1192">
        <f>COUNTIFS(inventory__Data[product_id],inventory__Data[[#This Row],[product_id]],inventory__Data[stock_on_hand],"&lt;=0")</f>
        <v>25</v>
      </c>
    </row>
    <row r="1193" spans="1:9" x14ac:dyDescent="0.3">
      <c r="A1193" s="1">
        <v>45896</v>
      </c>
      <c r="B1193" t="s">
        <v>12</v>
      </c>
      <c r="C1193">
        <v>588</v>
      </c>
      <c r="D1193">
        <v>0.02</v>
      </c>
      <c r="E1193">
        <v>0</v>
      </c>
      <c r="F1193">
        <v>2</v>
      </c>
      <c r="G1193" t="b">
        <v>0</v>
      </c>
      <c r="H1193">
        <f>IF(inventory__Data[[#This Row],[stock_on_hand]]&lt;=0,1,0)</f>
        <v>0</v>
      </c>
      <c r="I1193">
        <f>COUNTIFS(inventory__Data[product_id],inventory__Data[[#This Row],[product_id]],inventory__Data[stock_on_hand],"&lt;=0")</f>
        <v>23</v>
      </c>
    </row>
    <row r="1194" spans="1:9" x14ac:dyDescent="0.3">
      <c r="A1194" s="1">
        <v>45896</v>
      </c>
      <c r="B1194" t="s">
        <v>15</v>
      </c>
      <c r="C1194">
        <v>843</v>
      </c>
      <c r="D1194">
        <v>0.04</v>
      </c>
      <c r="E1194">
        <v>0</v>
      </c>
      <c r="F1194">
        <v>5</v>
      </c>
      <c r="G1194" t="b">
        <v>0</v>
      </c>
      <c r="H1194">
        <f>IF(inventory__Data[[#This Row],[stock_on_hand]]&lt;=0,1,0)</f>
        <v>0</v>
      </c>
      <c r="I1194">
        <f>COUNTIFS(inventory__Data[product_id],inventory__Data[[#This Row],[product_id]],inventory__Data[stock_on_hand],"&lt;=0")</f>
        <v>30</v>
      </c>
    </row>
    <row r="1195" spans="1:9" x14ac:dyDescent="0.3">
      <c r="A1195" s="1">
        <v>45896</v>
      </c>
      <c r="B1195" t="s">
        <v>18</v>
      </c>
      <c r="C1195">
        <v>3</v>
      </c>
      <c r="D1195">
        <v>0.15</v>
      </c>
      <c r="E1195">
        <v>0</v>
      </c>
      <c r="F1195">
        <v>2</v>
      </c>
      <c r="G1195" t="b">
        <v>0</v>
      </c>
      <c r="H1195">
        <f>IF(inventory__Data[[#This Row],[stock_on_hand]]&lt;=0,1,0)</f>
        <v>0</v>
      </c>
      <c r="I1195">
        <f>COUNTIFS(inventory__Data[product_id],inventory__Data[[#This Row],[product_id]],inventory__Data[stock_on_hand],"&lt;=0")</f>
        <v>30</v>
      </c>
    </row>
    <row r="1196" spans="1:9" x14ac:dyDescent="0.3">
      <c r="A1196" s="1">
        <v>45896</v>
      </c>
      <c r="B1196" t="s">
        <v>21</v>
      </c>
      <c r="C1196">
        <v>381</v>
      </c>
      <c r="D1196">
        <v>0.03</v>
      </c>
      <c r="E1196">
        <v>0</v>
      </c>
      <c r="F1196">
        <v>2</v>
      </c>
      <c r="G1196" t="b">
        <v>0</v>
      </c>
      <c r="H1196">
        <f>IF(inventory__Data[[#This Row],[stock_on_hand]]&lt;=0,1,0)</f>
        <v>0</v>
      </c>
      <c r="I1196">
        <f>COUNTIFS(inventory__Data[product_id],inventory__Data[[#This Row],[product_id]],inventory__Data[stock_on_hand],"&lt;=0")</f>
        <v>29</v>
      </c>
    </row>
    <row r="1197" spans="1:9" x14ac:dyDescent="0.3">
      <c r="A1197" s="1">
        <v>45897</v>
      </c>
      <c r="B1197" t="s">
        <v>9</v>
      </c>
      <c r="C1197">
        <v>0</v>
      </c>
      <c r="D1197">
        <v>0.05</v>
      </c>
      <c r="E1197">
        <v>0</v>
      </c>
      <c r="F1197">
        <v>5</v>
      </c>
      <c r="G1197" t="b">
        <v>0</v>
      </c>
      <c r="H1197">
        <f>IF(inventory__Data[[#This Row],[stock_on_hand]]&lt;=0,1,0)</f>
        <v>1</v>
      </c>
      <c r="I1197">
        <f>COUNTIFS(inventory__Data[product_id],inventory__Data[[#This Row],[product_id]],inventory__Data[stock_on_hand],"&lt;=0")</f>
        <v>25</v>
      </c>
    </row>
    <row r="1198" spans="1:9" x14ac:dyDescent="0.3">
      <c r="A1198" s="1">
        <v>45897</v>
      </c>
      <c r="B1198" t="s">
        <v>12</v>
      </c>
      <c r="C1198">
        <v>696</v>
      </c>
      <c r="D1198">
        <v>0.02</v>
      </c>
      <c r="E1198">
        <v>0</v>
      </c>
      <c r="F1198">
        <v>2</v>
      </c>
      <c r="G1198" t="b">
        <v>0</v>
      </c>
      <c r="H1198">
        <f>IF(inventory__Data[[#This Row],[stock_on_hand]]&lt;=0,1,0)</f>
        <v>0</v>
      </c>
      <c r="I1198">
        <f>COUNTIFS(inventory__Data[product_id],inventory__Data[[#This Row],[product_id]],inventory__Data[stock_on_hand],"&lt;=0")</f>
        <v>23</v>
      </c>
    </row>
    <row r="1199" spans="1:9" x14ac:dyDescent="0.3">
      <c r="A1199" s="1">
        <v>45897</v>
      </c>
      <c r="B1199" t="s">
        <v>15</v>
      </c>
      <c r="C1199">
        <v>831</v>
      </c>
      <c r="D1199">
        <v>0.04</v>
      </c>
      <c r="E1199">
        <v>0</v>
      </c>
      <c r="F1199">
        <v>2</v>
      </c>
      <c r="G1199" t="b">
        <v>0</v>
      </c>
      <c r="H1199">
        <f>IF(inventory__Data[[#This Row],[stock_on_hand]]&lt;=0,1,0)</f>
        <v>0</v>
      </c>
      <c r="I1199">
        <f>COUNTIFS(inventory__Data[product_id],inventory__Data[[#This Row],[product_id]],inventory__Data[stock_on_hand],"&lt;=0")</f>
        <v>30</v>
      </c>
    </row>
    <row r="1200" spans="1:9" x14ac:dyDescent="0.3">
      <c r="A1200" s="1">
        <v>45897</v>
      </c>
      <c r="B1200" t="s">
        <v>18</v>
      </c>
      <c r="C1200">
        <v>451</v>
      </c>
      <c r="D1200">
        <v>0.15</v>
      </c>
      <c r="E1200">
        <v>0</v>
      </c>
      <c r="F1200">
        <v>5</v>
      </c>
      <c r="G1200" t="b">
        <v>0</v>
      </c>
      <c r="H1200">
        <f>IF(inventory__Data[[#This Row],[stock_on_hand]]&lt;=0,1,0)</f>
        <v>0</v>
      </c>
      <c r="I1200">
        <f>COUNTIFS(inventory__Data[product_id],inventory__Data[[#This Row],[product_id]],inventory__Data[stock_on_hand],"&lt;=0")</f>
        <v>30</v>
      </c>
    </row>
    <row r="1201" spans="1:9" x14ac:dyDescent="0.3">
      <c r="A1201" s="1">
        <v>45897</v>
      </c>
      <c r="B1201" t="s">
        <v>21</v>
      </c>
      <c r="C1201">
        <v>885</v>
      </c>
      <c r="D1201">
        <v>0.03</v>
      </c>
      <c r="E1201">
        <v>0</v>
      </c>
      <c r="F1201">
        <v>2</v>
      </c>
      <c r="G1201" t="b">
        <v>0</v>
      </c>
      <c r="H1201">
        <f>IF(inventory__Data[[#This Row],[stock_on_hand]]&lt;=0,1,0)</f>
        <v>0</v>
      </c>
      <c r="I1201">
        <f>COUNTIFS(inventory__Data[product_id],inventory__Data[[#This Row],[product_id]],inventory__Data[stock_on_hand],"&lt;=0")</f>
        <v>29</v>
      </c>
    </row>
    <row r="1202" spans="1:9" x14ac:dyDescent="0.3">
      <c r="A1202" s="1">
        <v>45898</v>
      </c>
      <c r="B1202" t="s">
        <v>9</v>
      </c>
      <c r="C1202">
        <v>861</v>
      </c>
      <c r="D1202">
        <v>0.05</v>
      </c>
      <c r="E1202">
        <v>0</v>
      </c>
      <c r="F1202">
        <v>2</v>
      </c>
      <c r="G1202" t="b">
        <v>0</v>
      </c>
      <c r="H1202">
        <f>IF(inventory__Data[[#This Row],[stock_on_hand]]&lt;=0,1,0)</f>
        <v>0</v>
      </c>
      <c r="I1202">
        <f>COUNTIFS(inventory__Data[product_id],inventory__Data[[#This Row],[product_id]],inventory__Data[stock_on_hand],"&lt;=0")</f>
        <v>25</v>
      </c>
    </row>
    <row r="1203" spans="1:9" x14ac:dyDescent="0.3">
      <c r="A1203" s="1">
        <v>45898</v>
      </c>
      <c r="B1203" t="s">
        <v>12</v>
      </c>
      <c r="C1203">
        <v>566</v>
      </c>
      <c r="D1203">
        <v>0.02</v>
      </c>
      <c r="E1203">
        <v>0</v>
      </c>
      <c r="F1203">
        <v>5</v>
      </c>
      <c r="G1203" t="b">
        <v>0</v>
      </c>
      <c r="H1203">
        <f>IF(inventory__Data[[#This Row],[stock_on_hand]]&lt;=0,1,0)</f>
        <v>0</v>
      </c>
      <c r="I1203">
        <f>COUNTIFS(inventory__Data[product_id],inventory__Data[[#This Row],[product_id]],inventory__Data[stock_on_hand],"&lt;=0")</f>
        <v>23</v>
      </c>
    </row>
    <row r="1204" spans="1:9" x14ac:dyDescent="0.3">
      <c r="A1204" s="1">
        <v>45898</v>
      </c>
      <c r="B1204" t="s">
        <v>15</v>
      </c>
      <c r="C1204">
        <v>384</v>
      </c>
      <c r="D1204">
        <v>0.04</v>
      </c>
      <c r="E1204">
        <v>0</v>
      </c>
      <c r="F1204">
        <v>2</v>
      </c>
      <c r="G1204" t="b">
        <v>0</v>
      </c>
      <c r="H1204">
        <f>IF(inventory__Data[[#This Row],[stock_on_hand]]&lt;=0,1,0)</f>
        <v>0</v>
      </c>
      <c r="I1204">
        <f>COUNTIFS(inventory__Data[product_id],inventory__Data[[#This Row],[product_id]],inventory__Data[stock_on_hand],"&lt;=0")</f>
        <v>30</v>
      </c>
    </row>
    <row r="1205" spans="1:9" x14ac:dyDescent="0.3">
      <c r="A1205" s="1">
        <v>45898</v>
      </c>
      <c r="B1205" t="s">
        <v>18</v>
      </c>
      <c r="C1205">
        <v>859</v>
      </c>
      <c r="D1205">
        <v>0.15</v>
      </c>
      <c r="E1205">
        <v>0</v>
      </c>
      <c r="F1205">
        <v>2</v>
      </c>
      <c r="G1205" t="b">
        <v>0</v>
      </c>
      <c r="H1205">
        <f>IF(inventory__Data[[#This Row],[stock_on_hand]]&lt;=0,1,0)</f>
        <v>0</v>
      </c>
      <c r="I1205">
        <f>COUNTIFS(inventory__Data[product_id],inventory__Data[[#This Row],[product_id]],inventory__Data[stock_on_hand],"&lt;=0")</f>
        <v>30</v>
      </c>
    </row>
    <row r="1206" spans="1:9" x14ac:dyDescent="0.3">
      <c r="A1206" s="1">
        <v>45898</v>
      </c>
      <c r="B1206" t="s">
        <v>21</v>
      </c>
      <c r="C1206">
        <v>718</v>
      </c>
      <c r="D1206">
        <v>0.03</v>
      </c>
      <c r="E1206">
        <v>0</v>
      </c>
      <c r="F1206">
        <v>2</v>
      </c>
      <c r="G1206" t="b">
        <v>0</v>
      </c>
      <c r="H1206">
        <f>IF(inventory__Data[[#This Row],[stock_on_hand]]&lt;=0,1,0)</f>
        <v>0</v>
      </c>
      <c r="I1206">
        <f>COUNTIFS(inventory__Data[product_id],inventory__Data[[#This Row],[product_id]],inventory__Data[stock_on_hand],"&lt;=0")</f>
        <v>29</v>
      </c>
    </row>
    <row r="1207" spans="1:9" x14ac:dyDescent="0.3">
      <c r="A1207" s="1">
        <v>45899</v>
      </c>
      <c r="B1207" t="s">
        <v>9</v>
      </c>
      <c r="C1207">
        <v>830</v>
      </c>
      <c r="D1207">
        <v>0.05</v>
      </c>
      <c r="E1207">
        <v>0</v>
      </c>
      <c r="F1207">
        <v>2</v>
      </c>
      <c r="G1207" t="b">
        <v>0</v>
      </c>
      <c r="H1207">
        <f>IF(inventory__Data[[#This Row],[stock_on_hand]]&lt;=0,1,0)</f>
        <v>0</v>
      </c>
      <c r="I1207">
        <f>COUNTIFS(inventory__Data[product_id],inventory__Data[[#This Row],[product_id]],inventory__Data[stock_on_hand],"&lt;=0")</f>
        <v>25</v>
      </c>
    </row>
    <row r="1208" spans="1:9" x14ac:dyDescent="0.3">
      <c r="A1208" s="1">
        <v>45899</v>
      </c>
      <c r="B1208" t="s">
        <v>12</v>
      </c>
      <c r="C1208">
        <v>527</v>
      </c>
      <c r="D1208">
        <v>0.02</v>
      </c>
      <c r="E1208">
        <v>0</v>
      </c>
      <c r="F1208">
        <v>5</v>
      </c>
      <c r="G1208" t="b">
        <v>0</v>
      </c>
      <c r="H1208">
        <f>IF(inventory__Data[[#This Row],[stock_on_hand]]&lt;=0,1,0)</f>
        <v>0</v>
      </c>
      <c r="I1208">
        <f>COUNTIFS(inventory__Data[product_id],inventory__Data[[#This Row],[product_id]],inventory__Data[stock_on_hand],"&lt;=0")</f>
        <v>23</v>
      </c>
    </row>
    <row r="1209" spans="1:9" x14ac:dyDescent="0.3">
      <c r="A1209" s="1">
        <v>45899</v>
      </c>
      <c r="B1209" t="s">
        <v>15</v>
      </c>
      <c r="C1209">
        <v>101</v>
      </c>
      <c r="D1209">
        <v>0.04</v>
      </c>
      <c r="E1209">
        <v>0</v>
      </c>
      <c r="F1209">
        <v>10</v>
      </c>
      <c r="G1209" t="b">
        <v>0</v>
      </c>
      <c r="H1209">
        <f>IF(inventory__Data[[#This Row],[stock_on_hand]]&lt;=0,1,0)</f>
        <v>0</v>
      </c>
      <c r="I1209">
        <f>COUNTIFS(inventory__Data[product_id],inventory__Data[[#This Row],[product_id]],inventory__Data[stock_on_hand],"&lt;=0")</f>
        <v>30</v>
      </c>
    </row>
    <row r="1210" spans="1:9" x14ac:dyDescent="0.3">
      <c r="A1210" s="1">
        <v>45899</v>
      </c>
      <c r="B1210" t="s">
        <v>18</v>
      </c>
      <c r="C1210">
        <v>0</v>
      </c>
      <c r="D1210">
        <v>0.15</v>
      </c>
      <c r="E1210">
        <v>0</v>
      </c>
      <c r="F1210">
        <v>5</v>
      </c>
      <c r="G1210" t="b">
        <v>0</v>
      </c>
      <c r="H1210">
        <f>IF(inventory__Data[[#This Row],[stock_on_hand]]&lt;=0,1,0)</f>
        <v>1</v>
      </c>
      <c r="I1210">
        <f>COUNTIFS(inventory__Data[product_id],inventory__Data[[#This Row],[product_id]],inventory__Data[stock_on_hand],"&lt;=0")</f>
        <v>30</v>
      </c>
    </row>
    <row r="1211" spans="1:9" x14ac:dyDescent="0.3">
      <c r="A1211" s="1">
        <v>45899</v>
      </c>
      <c r="B1211" t="s">
        <v>21</v>
      </c>
      <c r="C1211">
        <v>899</v>
      </c>
      <c r="D1211">
        <v>0.03</v>
      </c>
      <c r="E1211">
        <v>0</v>
      </c>
      <c r="F1211">
        <v>2</v>
      </c>
      <c r="G1211" t="b">
        <v>0</v>
      </c>
      <c r="H1211">
        <f>IF(inventory__Data[[#This Row],[stock_on_hand]]&lt;=0,1,0)</f>
        <v>0</v>
      </c>
      <c r="I1211">
        <f>COUNTIFS(inventory__Data[product_id],inventory__Data[[#This Row],[product_id]],inventory__Data[stock_on_hand],"&lt;=0")</f>
        <v>29</v>
      </c>
    </row>
    <row r="1212" spans="1:9" x14ac:dyDescent="0.3">
      <c r="A1212" s="1">
        <v>45900</v>
      </c>
      <c r="B1212" t="s">
        <v>9</v>
      </c>
      <c r="C1212">
        <v>527</v>
      </c>
      <c r="D1212">
        <v>0.05</v>
      </c>
      <c r="E1212">
        <v>0</v>
      </c>
      <c r="F1212">
        <v>2</v>
      </c>
      <c r="G1212" t="b">
        <v>0</v>
      </c>
      <c r="H1212">
        <f>IF(inventory__Data[[#This Row],[stock_on_hand]]&lt;=0,1,0)</f>
        <v>0</v>
      </c>
      <c r="I1212">
        <f>COUNTIFS(inventory__Data[product_id],inventory__Data[[#This Row],[product_id]],inventory__Data[stock_on_hand],"&lt;=0")</f>
        <v>25</v>
      </c>
    </row>
    <row r="1213" spans="1:9" x14ac:dyDescent="0.3">
      <c r="A1213" s="1">
        <v>45900</v>
      </c>
      <c r="B1213" t="s">
        <v>12</v>
      </c>
      <c r="C1213">
        <v>473</v>
      </c>
      <c r="D1213">
        <v>0.02</v>
      </c>
      <c r="E1213">
        <v>0</v>
      </c>
      <c r="F1213">
        <v>2</v>
      </c>
      <c r="G1213" t="b">
        <v>0</v>
      </c>
      <c r="H1213">
        <f>IF(inventory__Data[[#This Row],[stock_on_hand]]&lt;=0,1,0)</f>
        <v>0</v>
      </c>
      <c r="I1213">
        <f>COUNTIFS(inventory__Data[product_id],inventory__Data[[#This Row],[product_id]],inventory__Data[stock_on_hand],"&lt;=0")</f>
        <v>23</v>
      </c>
    </row>
    <row r="1214" spans="1:9" x14ac:dyDescent="0.3">
      <c r="A1214" s="1">
        <v>45900</v>
      </c>
      <c r="B1214" t="s">
        <v>15</v>
      </c>
      <c r="C1214">
        <v>662</v>
      </c>
      <c r="D1214">
        <v>0.04</v>
      </c>
      <c r="E1214">
        <v>0</v>
      </c>
      <c r="F1214">
        <v>5</v>
      </c>
      <c r="G1214" t="b">
        <v>0</v>
      </c>
      <c r="H1214">
        <f>IF(inventory__Data[[#This Row],[stock_on_hand]]&lt;=0,1,0)</f>
        <v>0</v>
      </c>
      <c r="I1214">
        <f>COUNTIFS(inventory__Data[product_id],inventory__Data[[#This Row],[product_id]],inventory__Data[stock_on_hand],"&lt;=0")</f>
        <v>30</v>
      </c>
    </row>
    <row r="1215" spans="1:9" x14ac:dyDescent="0.3">
      <c r="A1215" s="1">
        <v>45900</v>
      </c>
      <c r="B1215" t="s">
        <v>18</v>
      </c>
      <c r="C1215">
        <v>512</v>
      </c>
      <c r="D1215">
        <v>0.15</v>
      </c>
      <c r="E1215">
        <v>0</v>
      </c>
      <c r="F1215">
        <v>2</v>
      </c>
      <c r="G1215" t="b">
        <v>0</v>
      </c>
      <c r="H1215">
        <f>IF(inventory__Data[[#This Row],[stock_on_hand]]&lt;=0,1,0)</f>
        <v>0</v>
      </c>
      <c r="I1215">
        <f>COUNTIFS(inventory__Data[product_id],inventory__Data[[#This Row],[product_id]],inventory__Data[stock_on_hand],"&lt;=0")</f>
        <v>30</v>
      </c>
    </row>
    <row r="1216" spans="1:9" x14ac:dyDescent="0.3">
      <c r="A1216" s="1">
        <v>45900</v>
      </c>
      <c r="B1216" t="s">
        <v>21</v>
      </c>
      <c r="C1216">
        <v>560</v>
      </c>
      <c r="D1216">
        <v>0.03</v>
      </c>
      <c r="E1216">
        <v>0</v>
      </c>
      <c r="F1216">
        <v>2</v>
      </c>
      <c r="G1216" t="b">
        <v>0</v>
      </c>
      <c r="H1216">
        <f>IF(inventory__Data[[#This Row],[stock_on_hand]]&lt;=0,1,0)</f>
        <v>0</v>
      </c>
      <c r="I1216">
        <f>COUNTIFS(inventory__Data[product_id],inventory__Data[[#This Row],[product_id]],inventory__Data[stock_on_hand],"&lt;=0")</f>
        <v>29</v>
      </c>
    </row>
    <row r="1217" spans="1:9" x14ac:dyDescent="0.3">
      <c r="A1217" s="1">
        <v>45901</v>
      </c>
      <c r="B1217" t="s">
        <v>9</v>
      </c>
      <c r="C1217">
        <v>770</v>
      </c>
      <c r="D1217">
        <v>0.05</v>
      </c>
      <c r="E1217">
        <v>0</v>
      </c>
      <c r="F1217">
        <v>2</v>
      </c>
      <c r="G1217" t="b">
        <v>0</v>
      </c>
      <c r="H1217">
        <f>IF(inventory__Data[[#This Row],[stock_on_hand]]&lt;=0,1,0)</f>
        <v>0</v>
      </c>
      <c r="I1217">
        <f>COUNTIFS(inventory__Data[product_id],inventory__Data[[#This Row],[product_id]],inventory__Data[stock_on_hand],"&lt;=0")</f>
        <v>25</v>
      </c>
    </row>
    <row r="1218" spans="1:9" x14ac:dyDescent="0.3">
      <c r="A1218" s="1">
        <v>45901</v>
      </c>
      <c r="B1218" t="s">
        <v>12</v>
      </c>
      <c r="C1218">
        <v>578</v>
      </c>
      <c r="D1218">
        <v>0.02</v>
      </c>
      <c r="E1218">
        <v>0</v>
      </c>
      <c r="F1218">
        <v>5</v>
      </c>
      <c r="G1218" t="b">
        <v>0</v>
      </c>
      <c r="H1218">
        <f>IF(inventory__Data[[#This Row],[stock_on_hand]]&lt;=0,1,0)</f>
        <v>0</v>
      </c>
      <c r="I1218">
        <f>COUNTIFS(inventory__Data[product_id],inventory__Data[[#This Row],[product_id]],inventory__Data[stock_on_hand],"&lt;=0")</f>
        <v>23</v>
      </c>
    </row>
    <row r="1219" spans="1:9" x14ac:dyDescent="0.3">
      <c r="A1219" s="1">
        <v>45901</v>
      </c>
      <c r="B1219" t="s">
        <v>15</v>
      </c>
      <c r="C1219">
        <v>156</v>
      </c>
      <c r="D1219">
        <v>0.04</v>
      </c>
      <c r="E1219">
        <v>0</v>
      </c>
      <c r="F1219">
        <v>5</v>
      </c>
      <c r="G1219" t="b">
        <v>0</v>
      </c>
      <c r="H1219">
        <f>IF(inventory__Data[[#This Row],[stock_on_hand]]&lt;=0,1,0)</f>
        <v>0</v>
      </c>
      <c r="I1219">
        <f>COUNTIFS(inventory__Data[product_id],inventory__Data[[#This Row],[product_id]],inventory__Data[stock_on_hand],"&lt;=0")</f>
        <v>30</v>
      </c>
    </row>
    <row r="1220" spans="1:9" x14ac:dyDescent="0.3">
      <c r="A1220" s="1">
        <v>45901</v>
      </c>
      <c r="B1220" t="s">
        <v>18</v>
      </c>
      <c r="C1220">
        <v>342</v>
      </c>
      <c r="D1220">
        <v>0.15</v>
      </c>
      <c r="E1220">
        <v>0</v>
      </c>
      <c r="F1220">
        <v>2</v>
      </c>
      <c r="G1220" t="b">
        <v>0</v>
      </c>
      <c r="H1220">
        <f>IF(inventory__Data[[#This Row],[stock_on_hand]]&lt;=0,1,0)</f>
        <v>0</v>
      </c>
      <c r="I1220">
        <f>COUNTIFS(inventory__Data[product_id],inventory__Data[[#This Row],[product_id]],inventory__Data[stock_on_hand],"&lt;=0")</f>
        <v>30</v>
      </c>
    </row>
    <row r="1221" spans="1:9" x14ac:dyDescent="0.3">
      <c r="A1221" s="1">
        <v>45901</v>
      </c>
      <c r="B1221" t="s">
        <v>21</v>
      </c>
      <c r="C1221">
        <v>348</v>
      </c>
      <c r="D1221">
        <v>0.03</v>
      </c>
      <c r="E1221">
        <v>0</v>
      </c>
      <c r="F1221">
        <v>5</v>
      </c>
      <c r="G1221" t="b">
        <v>0</v>
      </c>
      <c r="H1221">
        <f>IF(inventory__Data[[#This Row],[stock_on_hand]]&lt;=0,1,0)</f>
        <v>0</v>
      </c>
      <c r="I1221">
        <f>COUNTIFS(inventory__Data[product_id],inventory__Data[[#This Row],[product_id]],inventory__Data[stock_on_hand],"&lt;=0")</f>
        <v>29</v>
      </c>
    </row>
    <row r="1222" spans="1:9" x14ac:dyDescent="0.3">
      <c r="A1222" s="1">
        <v>45902</v>
      </c>
      <c r="B1222" t="s">
        <v>9</v>
      </c>
      <c r="C1222">
        <v>547</v>
      </c>
      <c r="D1222">
        <v>0.05</v>
      </c>
      <c r="E1222">
        <v>0</v>
      </c>
      <c r="F1222">
        <v>2</v>
      </c>
      <c r="G1222" t="b">
        <v>0</v>
      </c>
      <c r="H1222">
        <f>IF(inventory__Data[[#This Row],[stock_on_hand]]&lt;=0,1,0)</f>
        <v>0</v>
      </c>
      <c r="I1222">
        <f>COUNTIFS(inventory__Data[product_id],inventory__Data[[#This Row],[product_id]],inventory__Data[stock_on_hand],"&lt;=0")</f>
        <v>25</v>
      </c>
    </row>
    <row r="1223" spans="1:9" x14ac:dyDescent="0.3">
      <c r="A1223" s="1">
        <v>45902</v>
      </c>
      <c r="B1223" t="s">
        <v>12</v>
      </c>
      <c r="C1223">
        <v>0</v>
      </c>
      <c r="D1223">
        <v>0.02</v>
      </c>
      <c r="E1223">
        <v>0</v>
      </c>
      <c r="F1223">
        <v>15</v>
      </c>
      <c r="G1223" t="b">
        <v>0</v>
      </c>
      <c r="H1223">
        <f>IF(inventory__Data[[#This Row],[stock_on_hand]]&lt;=0,1,0)</f>
        <v>1</v>
      </c>
      <c r="I1223">
        <f>COUNTIFS(inventory__Data[product_id],inventory__Data[[#This Row],[product_id]],inventory__Data[stock_on_hand],"&lt;=0")</f>
        <v>23</v>
      </c>
    </row>
    <row r="1224" spans="1:9" x14ac:dyDescent="0.3">
      <c r="A1224" s="1">
        <v>45902</v>
      </c>
      <c r="B1224" t="s">
        <v>15</v>
      </c>
      <c r="C1224">
        <v>426</v>
      </c>
      <c r="D1224">
        <v>0.04</v>
      </c>
      <c r="E1224">
        <v>0</v>
      </c>
      <c r="F1224">
        <v>2</v>
      </c>
      <c r="G1224" t="b">
        <v>0</v>
      </c>
      <c r="H1224">
        <f>IF(inventory__Data[[#This Row],[stock_on_hand]]&lt;=0,1,0)</f>
        <v>0</v>
      </c>
      <c r="I1224">
        <f>COUNTIFS(inventory__Data[product_id],inventory__Data[[#This Row],[product_id]],inventory__Data[stock_on_hand],"&lt;=0")</f>
        <v>30</v>
      </c>
    </row>
    <row r="1225" spans="1:9" x14ac:dyDescent="0.3">
      <c r="A1225" s="1">
        <v>45902</v>
      </c>
      <c r="B1225" t="s">
        <v>18</v>
      </c>
      <c r="C1225">
        <v>837</v>
      </c>
      <c r="D1225">
        <v>0.15</v>
      </c>
      <c r="E1225">
        <v>0</v>
      </c>
      <c r="F1225">
        <v>5</v>
      </c>
      <c r="G1225" t="b">
        <v>0</v>
      </c>
      <c r="H1225">
        <f>IF(inventory__Data[[#This Row],[stock_on_hand]]&lt;=0,1,0)</f>
        <v>0</v>
      </c>
      <c r="I1225">
        <f>COUNTIFS(inventory__Data[product_id],inventory__Data[[#This Row],[product_id]],inventory__Data[stock_on_hand],"&lt;=0")</f>
        <v>30</v>
      </c>
    </row>
    <row r="1226" spans="1:9" x14ac:dyDescent="0.3">
      <c r="A1226" s="1">
        <v>45902</v>
      </c>
      <c r="B1226" t="s">
        <v>21</v>
      </c>
      <c r="C1226">
        <v>521</v>
      </c>
      <c r="D1226">
        <v>0.03</v>
      </c>
      <c r="E1226">
        <v>0</v>
      </c>
      <c r="F1226">
        <v>2</v>
      </c>
      <c r="G1226" t="b">
        <v>0</v>
      </c>
      <c r="H1226">
        <f>IF(inventory__Data[[#This Row],[stock_on_hand]]&lt;=0,1,0)</f>
        <v>0</v>
      </c>
      <c r="I1226">
        <f>COUNTIFS(inventory__Data[product_id],inventory__Data[[#This Row],[product_id]],inventory__Data[stock_on_hand],"&lt;=0")</f>
        <v>29</v>
      </c>
    </row>
    <row r="1227" spans="1:9" x14ac:dyDescent="0.3">
      <c r="A1227" s="1">
        <v>45903</v>
      </c>
      <c r="B1227" t="s">
        <v>9</v>
      </c>
      <c r="C1227">
        <v>250</v>
      </c>
      <c r="D1227">
        <v>0.05</v>
      </c>
      <c r="E1227">
        <v>0</v>
      </c>
      <c r="F1227">
        <v>2</v>
      </c>
      <c r="G1227" t="b">
        <v>0</v>
      </c>
      <c r="H1227">
        <f>IF(inventory__Data[[#This Row],[stock_on_hand]]&lt;=0,1,0)</f>
        <v>0</v>
      </c>
      <c r="I1227">
        <f>COUNTIFS(inventory__Data[product_id],inventory__Data[[#This Row],[product_id]],inventory__Data[stock_on_hand],"&lt;=0")</f>
        <v>25</v>
      </c>
    </row>
    <row r="1228" spans="1:9" x14ac:dyDescent="0.3">
      <c r="A1228" s="1">
        <v>45903</v>
      </c>
      <c r="B1228" t="s">
        <v>12</v>
      </c>
      <c r="C1228">
        <v>596</v>
      </c>
      <c r="D1228">
        <v>0.02</v>
      </c>
      <c r="E1228">
        <v>0</v>
      </c>
      <c r="F1228">
        <v>5</v>
      </c>
      <c r="G1228" t="b">
        <v>0</v>
      </c>
      <c r="H1228">
        <f>IF(inventory__Data[[#This Row],[stock_on_hand]]&lt;=0,1,0)</f>
        <v>0</v>
      </c>
      <c r="I1228">
        <f>COUNTIFS(inventory__Data[product_id],inventory__Data[[#This Row],[product_id]],inventory__Data[stock_on_hand],"&lt;=0")</f>
        <v>23</v>
      </c>
    </row>
    <row r="1229" spans="1:9" x14ac:dyDescent="0.3">
      <c r="A1229" s="1">
        <v>45903</v>
      </c>
      <c r="B1229" t="s">
        <v>15</v>
      </c>
      <c r="C1229">
        <v>0</v>
      </c>
      <c r="D1229">
        <v>0.04</v>
      </c>
      <c r="E1229">
        <v>0</v>
      </c>
      <c r="F1229">
        <v>5</v>
      </c>
      <c r="G1229" t="b">
        <v>0</v>
      </c>
      <c r="H1229">
        <f>IF(inventory__Data[[#This Row],[stock_on_hand]]&lt;=0,1,0)</f>
        <v>1</v>
      </c>
      <c r="I1229">
        <f>COUNTIFS(inventory__Data[product_id],inventory__Data[[#This Row],[product_id]],inventory__Data[stock_on_hand],"&lt;=0")</f>
        <v>30</v>
      </c>
    </row>
    <row r="1230" spans="1:9" x14ac:dyDescent="0.3">
      <c r="A1230" s="1">
        <v>45903</v>
      </c>
      <c r="B1230" t="s">
        <v>18</v>
      </c>
      <c r="C1230">
        <v>608</v>
      </c>
      <c r="D1230">
        <v>0.15</v>
      </c>
      <c r="E1230">
        <v>0</v>
      </c>
      <c r="F1230">
        <v>5</v>
      </c>
      <c r="G1230" t="b">
        <v>0</v>
      </c>
      <c r="H1230">
        <f>IF(inventory__Data[[#This Row],[stock_on_hand]]&lt;=0,1,0)</f>
        <v>0</v>
      </c>
      <c r="I1230">
        <f>COUNTIFS(inventory__Data[product_id],inventory__Data[[#This Row],[product_id]],inventory__Data[stock_on_hand],"&lt;=0")</f>
        <v>30</v>
      </c>
    </row>
    <row r="1231" spans="1:9" x14ac:dyDescent="0.3">
      <c r="A1231" s="1">
        <v>45903</v>
      </c>
      <c r="B1231" t="s">
        <v>21</v>
      </c>
      <c r="C1231">
        <v>440</v>
      </c>
      <c r="D1231">
        <v>0.03</v>
      </c>
      <c r="E1231">
        <v>0</v>
      </c>
      <c r="F1231">
        <v>15</v>
      </c>
      <c r="G1231" t="b">
        <v>0</v>
      </c>
      <c r="H1231">
        <f>IF(inventory__Data[[#This Row],[stock_on_hand]]&lt;=0,1,0)</f>
        <v>0</v>
      </c>
      <c r="I1231">
        <f>COUNTIFS(inventory__Data[product_id],inventory__Data[[#This Row],[product_id]],inventory__Data[stock_on_hand],"&lt;=0")</f>
        <v>29</v>
      </c>
    </row>
    <row r="1232" spans="1:9" x14ac:dyDescent="0.3">
      <c r="A1232" s="1">
        <v>45904</v>
      </c>
      <c r="B1232" t="s">
        <v>9</v>
      </c>
      <c r="C1232">
        <v>306</v>
      </c>
      <c r="D1232">
        <v>0.05</v>
      </c>
      <c r="E1232">
        <v>0</v>
      </c>
      <c r="F1232">
        <v>5</v>
      </c>
      <c r="G1232" t="b">
        <v>0</v>
      </c>
      <c r="H1232">
        <f>IF(inventory__Data[[#This Row],[stock_on_hand]]&lt;=0,1,0)</f>
        <v>0</v>
      </c>
      <c r="I1232">
        <f>COUNTIFS(inventory__Data[product_id],inventory__Data[[#This Row],[product_id]],inventory__Data[stock_on_hand],"&lt;=0")</f>
        <v>25</v>
      </c>
    </row>
    <row r="1233" spans="1:9" x14ac:dyDescent="0.3">
      <c r="A1233" s="1">
        <v>45904</v>
      </c>
      <c r="B1233" t="s">
        <v>12</v>
      </c>
      <c r="C1233">
        <v>665</v>
      </c>
      <c r="D1233">
        <v>0.02</v>
      </c>
      <c r="E1233">
        <v>0</v>
      </c>
      <c r="F1233">
        <v>5</v>
      </c>
      <c r="G1233" t="b">
        <v>0</v>
      </c>
      <c r="H1233">
        <f>IF(inventory__Data[[#This Row],[stock_on_hand]]&lt;=0,1,0)</f>
        <v>0</v>
      </c>
      <c r="I1233">
        <f>COUNTIFS(inventory__Data[product_id],inventory__Data[[#This Row],[product_id]],inventory__Data[stock_on_hand],"&lt;=0")</f>
        <v>23</v>
      </c>
    </row>
    <row r="1234" spans="1:9" x14ac:dyDescent="0.3">
      <c r="A1234" s="1">
        <v>45904</v>
      </c>
      <c r="B1234" t="s">
        <v>15</v>
      </c>
      <c r="C1234">
        <v>293</v>
      </c>
      <c r="D1234">
        <v>0.04</v>
      </c>
      <c r="E1234">
        <v>0</v>
      </c>
      <c r="F1234">
        <v>15</v>
      </c>
      <c r="G1234" t="b">
        <v>0</v>
      </c>
      <c r="H1234">
        <f>IF(inventory__Data[[#This Row],[stock_on_hand]]&lt;=0,1,0)</f>
        <v>0</v>
      </c>
      <c r="I1234">
        <f>COUNTIFS(inventory__Data[product_id],inventory__Data[[#This Row],[product_id]],inventory__Data[stock_on_hand],"&lt;=0")</f>
        <v>30</v>
      </c>
    </row>
    <row r="1235" spans="1:9" x14ac:dyDescent="0.3">
      <c r="A1235" s="1">
        <v>45904</v>
      </c>
      <c r="B1235" t="s">
        <v>18</v>
      </c>
      <c r="C1235">
        <v>276</v>
      </c>
      <c r="D1235">
        <v>0.15</v>
      </c>
      <c r="E1235">
        <v>0</v>
      </c>
      <c r="F1235">
        <v>2</v>
      </c>
      <c r="G1235" t="b">
        <v>0</v>
      </c>
      <c r="H1235">
        <f>IF(inventory__Data[[#This Row],[stock_on_hand]]&lt;=0,1,0)</f>
        <v>0</v>
      </c>
      <c r="I1235">
        <f>COUNTIFS(inventory__Data[product_id],inventory__Data[[#This Row],[product_id]],inventory__Data[stock_on_hand],"&lt;=0")</f>
        <v>30</v>
      </c>
    </row>
    <row r="1236" spans="1:9" x14ac:dyDescent="0.3">
      <c r="A1236" s="1">
        <v>45904</v>
      </c>
      <c r="B1236" t="s">
        <v>21</v>
      </c>
      <c r="C1236">
        <v>409</v>
      </c>
      <c r="D1236">
        <v>0.03</v>
      </c>
      <c r="E1236">
        <v>0</v>
      </c>
      <c r="F1236">
        <v>15</v>
      </c>
      <c r="G1236" t="b">
        <v>0</v>
      </c>
      <c r="H1236">
        <f>IF(inventory__Data[[#This Row],[stock_on_hand]]&lt;=0,1,0)</f>
        <v>0</v>
      </c>
      <c r="I1236">
        <f>COUNTIFS(inventory__Data[product_id],inventory__Data[[#This Row],[product_id]],inventory__Data[stock_on_hand],"&lt;=0")</f>
        <v>29</v>
      </c>
    </row>
    <row r="1237" spans="1:9" x14ac:dyDescent="0.3">
      <c r="A1237" s="1">
        <v>45905</v>
      </c>
      <c r="B1237" t="s">
        <v>9</v>
      </c>
      <c r="C1237">
        <v>326</v>
      </c>
      <c r="D1237">
        <v>0.05</v>
      </c>
      <c r="E1237">
        <v>0</v>
      </c>
      <c r="F1237">
        <v>5</v>
      </c>
      <c r="G1237" t="b">
        <v>0</v>
      </c>
      <c r="H1237">
        <f>IF(inventory__Data[[#This Row],[stock_on_hand]]&lt;=0,1,0)</f>
        <v>0</v>
      </c>
      <c r="I1237">
        <f>COUNTIFS(inventory__Data[product_id],inventory__Data[[#This Row],[product_id]],inventory__Data[stock_on_hand],"&lt;=0")</f>
        <v>25</v>
      </c>
    </row>
    <row r="1238" spans="1:9" x14ac:dyDescent="0.3">
      <c r="A1238" s="1">
        <v>45905</v>
      </c>
      <c r="B1238" t="s">
        <v>12</v>
      </c>
      <c r="C1238">
        <v>810</v>
      </c>
      <c r="D1238">
        <v>0.02</v>
      </c>
      <c r="E1238">
        <v>0</v>
      </c>
      <c r="F1238">
        <v>2</v>
      </c>
      <c r="G1238" t="b">
        <v>0</v>
      </c>
      <c r="H1238">
        <f>IF(inventory__Data[[#This Row],[stock_on_hand]]&lt;=0,1,0)</f>
        <v>0</v>
      </c>
      <c r="I1238">
        <f>COUNTIFS(inventory__Data[product_id],inventory__Data[[#This Row],[product_id]],inventory__Data[stock_on_hand],"&lt;=0")</f>
        <v>23</v>
      </c>
    </row>
    <row r="1239" spans="1:9" x14ac:dyDescent="0.3">
      <c r="A1239" s="1">
        <v>45905</v>
      </c>
      <c r="B1239" t="s">
        <v>15</v>
      </c>
      <c r="C1239">
        <v>94</v>
      </c>
      <c r="D1239">
        <v>0.04</v>
      </c>
      <c r="E1239">
        <v>0</v>
      </c>
      <c r="F1239">
        <v>5</v>
      </c>
      <c r="G1239" t="b">
        <v>0</v>
      </c>
      <c r="H1239">
        <f>IF(inventory__Data[[#This Row],[stock_on_hand]]&lt;=0,1,0)</f>
        <v>0</v>
      </c>
      <c r="I1239">
        <f>COUNTIFS(inventory__Data[product_id],inventory__Data[[#This Row],[product_id]],inventory__Data[stock_on_hand],"&lt;=0")</f>
        <v>30</v>
      </c>
    </row>
    <row r="1240" spans="1:9" x14ac:dyDescent="0.3">
      <c r="A1240" s="1">
        <v>45905</v>
      </c>
      <c r="B1240" t="s">
        <v>18</v>
      </c>
      <c r="C1240">
        <v>9</v>
      </c>
      <c r="D1240">
        <v>0.15</v>
      </c>
      <c r="E1240">
        <v>0</v>
      </c>
      <c r="F1240">
        <v>2</v>
      </c>
      <c r="G1240" t="b">
        <v>0</v>
      </c>
      <c r="H1240">
        <f>IF(inventory__Data[[#This Row],[stock_on_hand]]&lt;=0,1,0)</f>
        <v>0</v>
      </c>
      <c r="I1240">
        <f>COUNTIFS(inventory__Data[product_id],inventory__Data[[#This Row],[product_id]],inventory__Data[stock_on_hand],"&lt;=0")</f>
        <v>30</v>
      </c>
    </row>
    <row r="1241" spans="1:9" x14ac:dyDescent="0.3">
      <c r="A1241" s="1">
        <v>45905</v>
      </c>
      <c r="B1241" t="s">
        <v>21</v>
      </c>
      <c r="C1241">
        <v>325</v>
      </c>
      <c r="D1241">
        <v>0.03</v>
      </c>
      <c r="E1241">
        <v>0</v>
      </c>
      <c r="F1241">
        <v>2</v>
      </c>
      <c r="G1241" t="b">
        <v>0</v>
      </c>
      <c r="H1241">
        <f>IF(inventory__Data[[#This Row],[stock_on_hand]]&lt;=0,1,0)</f>
        <v>0</v>
      </c>
      <c r="I1241">
        <f>COUNTIFS(inventory__Data[product_id],inventory__Data[[#This Row],[product_id]],inventory__Data[stock_on_hand],"&lt;=0")</f>
        <v>29</v>
      </c>
    </row>
    <row r="1242" spans="1:9" x14ac:dyDescent="0.3">
      <c r="A1242" s="1">
        <v>45906</v>
      </c>
      <c r="B1242" t="s">
        <v>9</v>
      </c>
      <c r="C1242">
        <v>350</v>
      </c>
      <c r="D1242">
        <v>0.05</v>
      </c>
      <c r="E1242">
        <v>0</v>
      </c>
      <c r="F1242">
        <v>5</v>
      </c>
      <c r="G1242" t="b">
        <v>0</v>
      </c>
      <c r="H1242">
        <f>IF(inventory__Data[[#This Row],[stock_on_hand]]&lt;=0,1,0)</f>
        <v>0</v>
      </c>
      <c r="I1242">
        <f>COUNTIFS(inventory__Data[product_id],inventory__Data[[#This Row],[product_id]],inventory__Data[stock_on_hand],"&lt;=0")</f>
        <v>25</v>
      </c>
    </row>
    <row r="1243" spans="1:9" x14ac:dyDescent="0.3">
      <c r="A1243" s="1">
        <v>45906</v>
      </c>
      <c r="B1243" t="s">
        <v>12</v>
      </c>
      <c r="C1243">
        <v>857</v>
      </c>
      <c r="D1243">
        <v>0.02</v>
      </c>
      <c r="E1243">
        <v>0</v>
      </c>
      <c r="F1243">
        <v>5</v>
      </c>
      <c r="G1243" t="b">
        <v>0</v>
      </c>
      <c r="H1243">
        <f>IF(inventory__Data[[#This Row],[stock_on_hand]]&lt;=0,1,0)</f>
        <v>0</v>
      </c>
      <c r="I1243">
        <f>COUNTIFS(inventory__Data[product_id],inventory__Data[[#This Row],[product_id]],inventory__Data[stock_on_hand],"&lt;=0")</f>
        <v>23</v>
      </c>
    </row>
    <row r="1244" spans="1:9" x14ac:dyDescent="0.3">
      <c r="A1244" s="1">
        <v>45906</v>
      </c>
      <c r="B1244" t="s">
        <v>15</v>
      </c>
      <c r="C1244">
        <v>736</v>
      </c>
      <c r="D1244">
        <v>0.04</v>
      </c>
      <c r="E1244">
        <v>0</v>
      </c>
      <c r="F1244">
        <v>5</v>
      </c>
      <c r="G1244" t="b">
        <v>0</v>
      </c>
      <c r="H1244">
        <f>IF(inventory__Data[[#This Row],[stock_on_hand]]&lt;=0,1,0)</f>
        <v>0</v>
      </c>
      <c r="I1244">
        <f>COUNTIFS(inventory__Data[product_id],inventory__Data[[#This Row],[product_id]],inventory__Data[stock_on_hand],"&lt;=0")</f>
        <v>30</v>
      </c>
    </row>
    <row r="1245" spans="1:9" x14ac:dyDescent="0.3">
      <c r="A1245" s="1">
        <v>45906</v>
      </c>
      <c r="B1245" t="s">
        <v>18</v>
      </c>
      <c r="C1245">
        <v>0</v>
      </c>
      <c r="D1245">
        <v>0.15</v>
      </c>
      <c r="E1245">
        <v>0</v>
      </c>
      <c r="F1245">
        <v>2</v>
      </c>
      <c r="G1245" t="b">
        <v>0</v>
      </c>
      <c r="H1245">
        <f>IF(inventory__Data[[#This Row],[stock_on_hand]]&lt;=0,1,0)</f>
        <v>1</v>
      </c>
      <c r="I1245">
        <f>COUNTIFS(inventory__Data[product_id],inventory__Data[[#This Row],[product_id]],inventory__Data[stock_on_hand],"&lt;=0")</f>
        <v>30</v>
      </c>
    </row>
    <row r="1246" spans="1:9" x14ac:dyDescent="0.3">
      <c r="A1246" s="1">
        <v>45906</v>
      </c>
      <c r="B1246" t="s">
        <v>21</v>
      </c>
      <c r="C1246">
        <v>825</v>
      </c>
      <c r="D1246">
        <v>0.03</v>
      </c>
      <c r="E1246">
        <v>0</v>
      </c>
      <c r="F1246">
        <v>5</v>
      </c>
      <c r="G1246" t="b">
        <v>0</v>
      </c>
      <c r="H1246">
        <f>IF(inventory__Data[[#This Row],[stock_on_hand]]&lt;=0,1,0)</f>
        <v>0</v>
      </c>
      <c r="I1246">
        <f>COUNTIFS(inventory__Data[product_id],inventory__Data[[#This Row],[product_id]],inventory__Data[stock_on_hand],"&lt;=0")</f>
        <v>29</v>
      </c>
    </row>
    <row r="1247" spans="1:9" x14ac:dyDescent="0.3">
      <c r="A1247" s="1">
        <v>45907</v>
      </c>
      <c r="B1247" t="s">
        <v>9</v>
      </c>
      <c r="C1247">
        <v>659</v>
      </c>
      <c r="D1247">
        <v>0.05</v>
      </c>
      <c r="E1247">
        <v>0</v>
      </c>
      <c r="F1247">
        <v>2</v>
      </c>
      <c r="G1247" t="b">
        <v>0</v>
      </c>
      <c r="H1247">
        <f>IF(inventory__Data[[#This Row],[stock_on_hand]]&lt;=0,1,0)</f>
        <v>0</v>
      </c>
      <c r="I1247">
        <f>COUNTIFS(inventory__Data[product_id],inventory__Data[[#This Row],[product_id]],inventory__Data[stock_on_hand],"&lt;=0")</f>
        <v>25</v>
      </c>
    </row>
    <row r="1248" spans="1:9" x14ac:dyDescent="0.3">
      <c r="A1248" s="1">
        <v>45907</v>
      </c>
      <c r="B1248" t="s">
        <v>12</v>
      </c>
      <c r="C1248">
        <v>155</v>
      </c>
      <c r="D1248">
        <v>0.02</v>
      </c>
      <c r="E1248">
        <v>0</v>
      </c>
      <c r="F1248">
        <v>2</v>
      </c>
      <c r="G1248" t="b">
        <v>0</v>
      </c>
      <c r="H1248">
        <f>IF(inventory__Data[[#This Row],[stock_on_hand]]&lt;=0,1,0)</f>
        <v>0</v>
      </c>
      <c r="I1248">
        <f>COUNTIFS(inventory__Data[product_id],inventory__Data[[#This Row],[product_id]],inventory__Data[stock_on_hand],"&lt;=0")</f>
        <v>23</v>
      </c>
    </row>
    <row r="1249" spans="1:9" x14ac:dyDescent="0.3">
      <c r="A1249" s="1">
        <v>45907</v>
      </c>
      <c r="B1249" t="s">
        <v>15</v>
      </c>
      <c r="C1249">
        <v>434</v>
      </c>
      <c r="D1249">
        <v>0.04</v>
      </c>
      <c r="E1249">
        <v>0</v>
      </c>
      <c r="F1249">
        <v>2</v>
      </c>
      <c r="G1249" t="b">
        <v>0</v>
      </c>
      <c r="H1249">
        <f>IF(inventory__Data[[#This Row],[stock_on_hand]]&lt;=0,1,0)</f>
        <v>0</v>
      </c>
      <c r="I1249">
        <f>COUNTIFS(inventory__Data[product_id],inventory__Data[[#This Row],[product_id]],inventory__Data[stock_on_hand],"&lt;=0")</f>
        <v>30</v>
      </c>
    </row>
    <row r="1250" spans="1:9" x14ac:dyDescent="0.3">
      <c r="A1250" s="1">
        <v>45907</v>
      </c>
      <c r="B1250" t="s">
        <v>18</v>
      </c>
      <c r="C1250">
        <v>134</v>
      </c>
      <c r="D1250">
        <v>0.15</v>
      </c>
      <c r="E1250">
        <v>0</v>
      </c>
      <c r="F1250">
        <v>2</v>
      </c>
      <c r="G1250" t="b">
        <v>0</v>
      </c>
      <c r="H1250">
        <f>IF(inventory__Data[[#This Row],[stock_on_hand]]&lt;=0,1,0)</f>
        <v>0</v>
      </c>
      <c r="I1250">
        <f>COUNTIFS(inventory__Data[product_id],inventory__Data[[#This Row],[product_id]],inventory__Data[stock_on_hand],"&lt;=0")</f>
        <v>30</v>
      </c>
    </row>
    <row r="1251" spans="1:9" x14ac:dyDescent="0.3">
      <c r="A1251" s="1">
        <v>45907</v>
      </c>
      <c r="B1251" t="s">
        <v>21</v>
      </c>
      <c r="C1251">
        <v>646</v>
      </c>
      <c r="D1251">
        <v>0.03</v>
      </c>
      <c r="E1251">
        <v>0</v>
      </c>
      <c r="F1251">
        <v>15</v>
      </c>
      <c r="G1251" t="b">
        <v>0</v>
      </c>
      <c r="H1251">
        <f>IF(inventory__Data[[#This Row],[stock_on_hand]]&lt;=0,1,0)</f>
        <v>0</v>
      </c>
      <c r="I1251">
        <f>COUNTIFS(inventory__Data[product_id],inventory__Data[[#This Row],[product_id]],inventory__Data[stock_on_hand],"&lt;=0")</f>
        <v>29</v>
      </c>
    </row>
    <row r="1252" spans="1:9" x14ac:dyDescent="0.3">
      <c r="A1252" s="1">
        <v>45908</v>
      </c>
      <c r="B1252" t="s">
        <v>9</v>
      </c>
      <c r="C1252">
        <v>0</v>
      </c>
      <c r="D1252">
        <v>0.05</v>
      </c>
      <c r="E1252">
        <v>0</v>
      </c>
      <c r="F1252">
        <v>5</v>
      </c>
      <c r="G1252" t="b">
        <v>0</v>
      </c>
      <c r="H1252">
        <f>IF(inventory__Data[[#This Row],[stock_on_hand]]&lt;=0,1,0)</f>
        <v>1</v>
      </c>
      <c r="I1252">
        <f>COUNTIFS(inventory__Data[product_id],inventory__Data[[#This Row],[product_id]],inventory__Data[stock_on_hand],"&lt;=0")</f>
        <v>25</v>
      </c>
    </row>
    <row r="1253" spans="1:9" x14ac:dyDescent="0.3">
      <c r="A1253" s="1">
        <v>45908</v>
      </c>
      <c r="B1253" t="s">
        <v>12</v>
      </c>
      <c r="C1253">
        <v>330</v>
      </c>
      <c r="D1253">
        <v>0.02</v>
      </c>
      <c r="E1253">
        <v>0</v>
      </c>
      <c r="F1253">
        <v>5</v>
      </c>
      <c r="G1253" t="b">
        <v>0</v>
      </c>
      <c r="H1253">
        <f>IF(inventory__Data[[#This Row],[stock_on_hand]]&lt;=0,1,0)</f>
        <v>0</v>
      </c>
      <c r="I1253">
        <f>COUNTIFS(inventory__Data[product_id],inventory__Data[[#This Row],[product_id]],inventory__Data[stock_on_hand],"&lt;=0")</f>
        <v>23</v>
      </c>
    </row>
    <row r="1254" spans="1:9" x14ac:dyDescent="0.3">
      <c r="A1254" s="1">
        <v>45908</v>
      </c>
      <c r="B1254" t="s">
        <v>15</v>
      </c>
      <c r="C1254">
        <v>517</v>
      </c>
      <c r="D1254">
        <v>0.04</v>
      </c>
      <c r="E1254">
        <v>0</v>
      </c>
      <c r="F1254">
        <v>5</v>
      </c>
      <c r="G1254" t="b">
        <v>0</v>
      </c>
      <c r="H1254">
        <f>IF(inventory__Data[[#This Row],[stock_on_hand]]&lt;=0,1,0)</f>
        <v>0</v>
      </c>
      <c r="I1254">
        <f>COUNTIFS(inventory__Data[product_id],inventory__Data[[#This Row],[product_id]],inventory__Data[stock_on_hand],"&lt;=0")</f>
        <v>30</v>
      </c>
    </row>
    <row r="1255" spans="1:9" x14ac:dyDescent="0.3">
      <c r="A1255" s="1">
        <v>45908</v>
      </c>
      <c r="B1255" t="s">
        <v>18</v>
      </c>
      <c r="C1255">
        <v>479</v>
      </c>
      <c r="D1255">
        <v>0.15</v>
      </c>
      <c r="E1255">
        <v>0</v>
      </c>
      <c r="F1255">
        <v>5</v>
      </c>
      <c r="G1255" t="b">
        <v>0</v>
      </c>
      <c r="H1255">
        <f>IF(inventory__Data[[#This Row],[stock_on_hand]]&lt;=0,1,0)</f>
        <v>0</v>
      </c>
      <c r="I1255">
        <f>COUNTIFS(inventory__Data[product_id],inventory__Data[[#This Row],[product_id]],inventory__Data[stock_on_hand],"&lt;=0")</f>
        <v>30</v>
      </c>
    </row>
    <row r="1256" spans="1:9" x14ac:dyDescent="0.3">
      <c r="A1256" s="1">
        <v>45908</v>
      </c>
      <c r="B1256" t="s">
        <v>21</v>
      </c>
      <c r="C1256">
        <v>237</v>
      </c>
      <c r="D1256">
        <v>0.03</v>
      </c>
      <c r="E1256">
        <v>0</v>
      </c>
      <c r="F1256">
        <v>2</v>
      </c>
      <c r="G1256" t="b">
        <v>0</v>
      </c>
      <c r="H1256">
        <f>IF(inventory__Data[[#This Row],[stock_on_hand]]&lt;=0,1,0)</f>
        <v>0</v>
      </c>
      <c r="I1256">
        <f>COUNTIFS(inventory__Data[product_id],inventory__Data[[#This Row],[product_id]],inventory__Data[stock_on_hand],"&lt;=0")</f>
        <v>29</v>
      </c>
    </row>
    <row r="1257" spans="1:9" x14ac:dyDescent="0.3">
      <c r="A1257" s="1">
        <v>45909</v>
      </c>
      <c r="B1257" t="s">
        <v>9</v>
      </c>
      <c r="C1257">
        <v>542</v>
      </c>
      <c r="D1257">
        <v>0.05</v>
      </c>
      <c r="E1257">
        <v>0</v>
      </c>
      <c r="F1257">
        <v>5</v>
      </c>
      <c r="G1257" t="b">
        <v>0</v>
      </c>
      <c r="H1257">
        <f>IF(inventory__Data[[#This Row],[stock_on_hand]]&lt;=0,1,0)</f>
        <v>0</v>
      </c>
      <c r="I1257">
        <f>COUNTIFS(inventory__Data[product_id],inventory__Data[[#This Row],[product_id]],inventory__Data[stock_on_hand],"&lt;=0")</f>
        <v>25</v>
      </c>
    </row>
    <row r="1258" spans="1:9" x14ac:dyDescent="0.3">
      <c r="A1258" s="1">
        <v>45909</v>
      </c>
      <c r="B1258" t="s">
        <v>12</v>
      </c>
      <c r="C1258">
        <v>530</v>
      </c>
      <c r="D1258">
        <v>0.02</v>
      </c>
      <c r="E1258">
        <v>0</v>
      </c>
      <c r="F1258">
        <v>2</v>
      </c>
      <c r="G1258" t="b">
        <v>0</v>
      </c>
      <c r="H1258">
        <f>IF(inventory__Data[[#This Row],[stock_on_hand]]&lt;=0,1,0)</f>
        <v>0</v>
      </c>
      <c r="I1258">
        <f>COUNTIFS(inventory__Data[product_id],inventory__Data[[#This Row],[product_id]],inventory__Data[stock_on_hand],"&lt;=0")</f>
        <v>23</v>
      </c>
    </row>
    <row r="1259" spans="1:9" x14ac:dyDescent="0.3">
      <c r="A1259" s="1">
        <v>45909</v>
      </c>
      <c r="B1259" t="s">
        <v>15</v>
      </c>
      <c r="C1259">
        <v>792</v>
      </c>
      <c r="D1259">
        <v>0.04</v>
      </c>
      <c r="E1259">
        <v>0</v>
      </c>
      <c r="F1259">
        <v>2</v>
      </c>
      <c r="G1259" t="b">
        <v>0</v>
      </c>
      <c r="H1259">
        <f>IF(inventory__Data[[#This Row],[stock_on_hand]]&lt;=0,1,0)</f>
        <v>0</v>
      </c>
      <c r="I1259">
        <f>COUNTIFS(inventory__Data[product_id],inventory__Data[[#This Row],[product_id]],inventory__Data[stock_on_hand],"&lt;=0")</f>
        <v>30</v>
      </c>
    </row>
    <row r="1260" spans="1:9" x14ac:dyDescent="0.3">
      <c r="A1260" s="1">
        <v>45909</v>
      </c>
      <c r="B1260" t="s">
        <v>18</v>
      </c>
      <c r="C1260">
        <v>608</v>
      </c>
      <c r="D1260">
        <v>0.15</v>
      </c>
      <c r="E1260">
        <v>0</v>
      </c>
      <c r="F1260">
        <v>2</v>
      </c>
      <c r="G1260" t="b">
        <v>0</v>
      </c>
      <c r="H1260">
        <f>IF(inventory__Data[[#This Row],[stock_on_hand]]&lt;=0,1,0)</f>
        <v>0</v>
      </c>
      <c r="I1260">
        <f>COUNTIFS(inventory__Data[product_id],inventory__Data[[#This Row],[product_id]],inventory__Data[stock_on_hand],"&lt;=0")</f>
        <v>30</v>
      </c>
    </row>
    <row r="1261" spans="1:9" x14ac:dyDescent="0.3">
      <c r="A1261" s="1">
        <v>45909</v>
      </c>
      <c r="B1261" t="s">
        <v>21</v>
      </c>
      <c r="C1261">
        <v>376</v>
      </c>
      <c r="D1261">
        <v>0.03</v>
      </c>
      <c r="E1261">
        <v>0</v>
      </c>
      <c r="F1261">
        <v>15</v>
      </c>
      <c r="G1261" t="b">
        <v>0</v>
      </c>
      <c r="H1261">
        <f>IF(inventory__Data[[#This Row],[stock_on_hand]]&lt;=0,1,0)</f>
        <v>0</v>
      </c>
      <c r="I1261">
        <f>COUNTIFS(inventory__Data[product_id],inventory__Data[[#This Row],[product_id]],inventory__Data[stock_on_hand],"&lt;=0")</f>
        <v>29</v>
      </c>
    </row>
    <row r="1262" spans="1:9" x14ac:dyDescent="0.3">
      <c r="A1262" s="1">
        <v>45910</v>
      </c>
      <c r="B1262" t="s">
        <v>9</v>
      </c>
      <c r="C1262">
        <v>794</v>
      </c>
      <c r="D1262">
        <v>0.05</v>
      </c>
      <c r="E1262">
        <v>0</v>
      </c>
      <c r="F1262">
        <v>5</v>
      </c>
      <c r="G1262" t="b">
        <v>0</v>
      </c>
      <c r="H1262">
        <f>IF(inventory__Data[[#This Row],[stock_on_hand]]&lt;=0,1,0)</f>
        <v>0</v>
      </c>
      <c r="I1262">
        <f>COUNTIFS(inventory__Data[product_id],inventory__Data[[#This Row],[product_id]],inventory__Data[stock_on_hand],"&lt;=0")</f>
        <v>25</v>
      </c>
    </row>
    <row r="1263" spans="1:9" x14ac:dyDescent="0.3">
      <c r="A1263" s="1">
        <v>45910</v>
      </c>
      <c r="B1263" t="s">
        <v>12</v>
      </c>
      <c r="C1263">
        <v>873</v>
      </c>
      <c r="D1263">
        <v>0.02</v>
      </c>
      <c r="E1263">
        <v>0</v>
      </c>
      <c r="F1263">
        <v>2</v>
      </c>
      <c r="G1263" t="b">
        <v>0</v>
      </c>
      <c r="H1263">
        <f>IF(inventory__Data[[#This Row],[stock_on_hand]]&lt;=0,1,0)</f>
        <v>0</v>
      </c>
      <c r="I1263">
        <f>COUNTIFS(inventory__Data[product_id],inventory__Data[[#This Row],[product_id]],inventory__Data[stock_on_hand],"&lt;=0")</f>
        <v>23</v>
      </c>
    </row>
    <row r="1264" spans="1:9" x14ac:dyDescent="0.3">
      <c r="A1264" s="1">
        <v>45910</v>
      </c>
      <c r="B1264" t="s">
        <v>15</v>
      </c>
      <c r="C1264">
        <v>388</v>
      </c>
      <c r="D1264">
        <v>0.04</v>
      </c>
      <c r="E1264">
        <v>0</v>
      </c>
      <c r="F1264">
        <v>5</v>
      </c>
      <c r="G1264" t="b">
        <v>0</v>
      </c>
      <c r="H1264">
        <f>IF(inventory__Data[[#This Row],[stock_on_hand]]&lt;=0,1,0)</f>
        <v>0</v>
      </c>
      <c r="I1264">
        <f>COUNTIFS(inventory__Data[product_id],inventory__Data[[#This Row],[product_id]],inventory__Data[stock_on_hand],"&lt;=0")</f>
        <v>30</v>
      </c>
    </row>
    <row r="1265" spans="1:9" x14ac:dyDescent="0.3">
      <c r="A1265" s="1">
        <v>45910</v>
      </c>
      <c r="B1265" t="s">
        <v>18</v>
      </c>
      <c r="C1265">
        <v>0</v>
      </c>
      <c r="D1265">
        <v>0.15</v>
      </c>
      <c r="E1265">
        <v>0</v>
      </c>
      <c r="F1265">
        <v>2</v>
      </c>
      <c r="G1265" t="b">
        <v>0</v>
      </c>
      <c r="H1265">
        <f>IF(inventory__Data[[#This Row],[stock_on_hand]]&lt;=0,1,0)</f>
        <v>1</v>
      </c>
      <c r="I1265">
        <f>COUNTIFS(inventory__Data[product_id],inventory__Data[[#This Row],[product_id]],inventory__Data[stock_on_hand],"&lt;=0")</f>
        <v>30</v>
      </c>
    </row>
    <row r="1266" spans="1:9" x14ac:dyDescent="0.3">
      <c r="A1266" s="1">
        <v>45910</v>
      </c>
      <c r="B1266" t="s">
        <v>21</v>
      </c>
      <c r="C1266">
        <v>702</v>
      </c>
      <c r="D1266">
        <v>0.03</v>
      </c>
      <c r="E1266">
        <v>0</v>
      </c>
      <c r="F1266">
        <v>2</v>
      </c>
      <c r="G1266" t="b">
        <v>0</v>
      </c>
      <c r="H1266">
        <f>IF(inventory__Data[[#This Row],[stock_on_hand]]&lt;=0,1,0)</f>
        <v>0</v>
      </c>
      <c r="I1266">
        <f>COUNTIFS(inventory__Data[product_id],inventory__Data[[#This Row],[product_id]],inventory__Data[stock_on_hand],"&lt;=0")</f>
        <v>29</v>
      </c>
    </row>
    <row r="1267" spans="1:9" x14ac:dyDescent="0.3">
      <c r="A1267" s="1">
        <v>45911</v>
      </c>
      <c r="B1267" t="s">
        <v>9</v>
      </c>
      <c r="C1267">
        <v>308</v>
      </c>
      <c r="D1267">
        <v>0.05</v>
      </c>
      <c r="E1267">
        <v>0</v>
      </c>
      <c r="F1267">
        <v>15</v>
      </c>
      <c r="G1267" t="b">
        <v>0</v>
      </c>
      <c r="H1267">
        <f>IF(inventory__Data[[#This Row],[stock_on_hand]]&lt;=0,1,0)</f>
        <v>0</v>
      </c>
      <c r="I1267">
        <f>COUNTIFS(inventory__Data[product_id],inventory__Data[[#This Row],[product_id]],inventory__Data[stock_on_hand],"&lt;=0")</f>
        <v>25</v>
      </c>
    </row>
    <row r="1268" spans="1:9" x14ac:dyDescent="0.3">
      <c r="A1268" s="1">
        <v>45911</v>
      </c>
      <c r="B1268" t="s">
        <v>12</v>
      </c>
      <c r="C1268">
        <v>231</v>
      </c>
      <c r="D1268">
        <v>0.02</v>
      </c>
      <c r="E1268">
        <v>0</v>
      </c>
      <c r="F1268">
        <v>5</v>
      </c>
      <c r="G1268" t="b">
        <v>0</v>
      </c>
      <c r="H1268">
        <f>IF(inventory__Data[[#This Row],[stock_on_hand]]&lt;=0,1,0)</f>
        <v>0</v>
      </c>
      <c r="I1268">
        <f>COUNTIFS(inventory__Data[product_id],inventory__Data[[#This Row],[product_id]],inventory__Data[stock_on_hand],"&lt;=0")</f>
        <v>23</v>
      </c>
    </row>
    <row r="1269" spans="1:9" x14ac:dyDescent="0.3">
      <c r="A1269" s="1">
        <v>45911</v>
      </c>
      <c r="B1269" t="s">
        <v>15</v>
      </c>
      <c r="C1269">
        <v>789</v>
      </c>
      <c r="D1269">
        <v>0.04</v>
      </c>
      <c r="E1269">
        <v>0</v>
      </c>
      <c r="F1269">
        <v>5</v>
      </c>
      <c r="G1269" t="b">
        <v>0</v>
      </c>
      <c r="H1269">
        <f>IF(inventory__Data[[#This Row],[stock_on_hand]]&lt;=0,1,0)</f>
        <v>0</v>
      </c>
      <c r="I1269">
        <f>COUNTIFS(inventory__Data[product_id],inventory__Data[[#This Row],[product_id]],inventory__Data[stock_on_hand],"&lt;=0")</f>
        <v>30</v>
      </c>
    </row>
    <row r="1270" spans="1:9" x14ac:dyDescent="0.3">
      <c r="A1270" s="1">
        <v>45911</v>
      </c>
      <c r="B1270" t="s">
        <v>18</v>
      </c>
      <c r="C1270">
        <v>700</v>
      </c>
      <c r="D1270">
        <v>0.15</v>
      </c>
      <c r="E1270">
        <v>0</v>
      </c>
      <c r="F1270">
        <v>5</v>
      </c>
      <c r="G1270" t="b">
        <v>0</v>
      </c>
      <c r="H1270">
        <f>IF(inventory__Data[[#This Row],[stock_on_hand]]&lt;=0,1,0)</f>
        <v>0</v>
      </c>
      <c r="I1270">
        <f>COUNTIFS(inventory__Data[product_id],inventory__Data[[#This Row],[product_id]],inventory__Data[stock_on_hand],"&lt;=0")</f>
        <v>30</v>
      </c>
    </row>
    <row r="1271" spans="1:9" x14ac:dyDescent="0.3">
      <c r="A1271" s="1">
        <v>45911</v>
      </c>
      <c r="B1271" t="s">
        <v>21</v>
      </c>
      <c r="C1271">
        <v>451</v>
      </c>
      <c r="D1271">
        <v>0.03</v>
      </c>
      <c r="E1271">
        <v>0</v>
      </c>
      <c r="F1271">
        <v>2</v>
      </c>
      <c r="G1271" t="b">
        <v>0</v>
      </c>
      <c r="H1271">
        <f>IF(inventory__Data[[#This Row],[stock_on_hand]]&lt;=0,1,0)</f>
        <v>0</v>
      </c>
      <c r="I1271">
        <f>COUNTIFS(inventory__Data[product_id],inventory__Data[[#This Row],[product_id]],inventory__Data[stock_on_hand],"&lt;=0")</f>
        <v>29</v>
      </c>
    </row>
    <row r="1272" spans="1:9" x14ac:dyDescent="0.3">
      <c r="A1272" s="1">
        <v>45912</v>
      </c>
      <c r="B1272" t="s">
        <v>9</v>
      </c>
      <c r="C1272">
        <v>43</v>
      </c>
      <c r="D1272">
        <v>0.05</v>
      </c>
      <c r="E1272">
        <v>0</v>
      </c>
      <c r="F1272">
        <v>2</v>
      </c>
      <c r="G1272" t="b">
        <v>0</v>
      </c>
      <c r="H1272">
        <f>IF(inventory__Data[[#This Row],[stock_on_hand]]&lt;=0,1,0)</f>
        <v>0</v>
      </c>
      <c r="I1272">
        <f>COUNTIFS(inventory__Data[product_id],inventory__Data[[#This Row],[product_id]],inventory__Data[stock_on_hand],"&lt;=0")</f>
        <v>25</v>
      </c>
    </row>
    <row r="1273" spans="1:9" x14ac:dyDescent="0.3">
      <c r="A1273" s="1">
        <v>45912</v>
      </c>
      <c r="B1273" t="s">
        <v>12</v>
      </c>
      <c r="C1273">
        <v>52</v>
      </c>
      <c r="D1273">
        <v>0.02</v>
      </c>
      <c r="E1273">
        <v>0</v>
      </c>
      <c r="F1273">
        <v>2</v>
      </c>
      <c r="G1273" t="b">
        <v>0</v>
      </c>
      <c r="H1273">
        <f>IF(inventory__Data[[#This Row],[stock_on_hand]]&lt;=0,1,0)</f>
        <v>0</v>
      </c>
      <c r="I1273">
        <f>COUNTIFS(inventory__Data[product_id],inventory__Data[[#This Row],[product_id]],inventory__Data[stock_on_hand],"&lt;=0")</f>
        <v>23</v>
      </c>
    </row>
    <row r="1274" spans="1:9" x14ac:dyDescent="0.3">
      <c r="A1274" s="1">
        <v>45912</v>
      </c>
      <c r="B1274" t="s">
        <v>15</v>
      </c>
      <c r="C1274">
        <v>72</v>
      </c>
      <c r="D1274">
        <v>0.04</v>
      </c>
      <c r="E1274">
        <v>0</v>
      </c>
      <c r="F1274">
        <v>5</v>
      </c>
      <c r="G1274" t="b">
        <v>0</v>
      </c>
      <c r="H1274">
        <f>IF(inventory__Data[[#This Row],[stock_on_hand]]&lt;=0,1,0)</f>
        <v>0</v>
      </c>
      <c r="I1274">
        <f>COUNTIFS(inventory__Data[product_id],inventory__Data[[#This Row],[product_id]],inventory__Data[stock_on_hand],"&lt;=0")</f>
        <v>30</v>
      </c>
    </row>
    <row r="1275" spans="1:9" x14ac:dyDescent="0.3">
      <c r="A1275" s="1">
        <v>45912</v>
      </c>
      <c r="B1275" t="s">
        <v>18</v>
      </c>
      <c r="C1275">
        <v>520</v>
      </c>
      <c r="D1275">
        <v>0.15</v>
      </c>
      <c r="E1275">
        <v>0</v>
      </c>
      <c r="F1275">
        <v>2</v>
      </c>
      <c r="G1275" t="b">
        <v>0</v>
      </c>
      <c r="H1275">
        <f>IF(inventory__Data[[#This Row],[stock_on_hand]]&lt;=0,1,0)</f>
        <v>0</v>
      </c>
      <c r="I1275">
        <f>COUNTIFS(inventory__Data[product_id],inventory__Data[[#This Row],[product_id]],inventory__Data[stock_on_hand],"&lt;=0")</f>
        <v>30</v>
      </c>
    </row>
    <row r="1276" spans="1:9" x14ac:dyDescent="0.3">
      <c r="A1276" s="1">
        <v>45912</v>
      </c>
      <c r="B1276" t="s">
        <v>21</v>
      </c>
      <c r="C1276">
        <v>490</v>
      </c>
      <c r="D1276">
        <v>0.03</v>
      </c>
      <c r="E1276">
        <v>0</v>
      </c>
      <c r="F1276">
        <v>2</v>
      </c>
      <c r="G1276" t="b">
        <v>0</v>
      </c>
      <c r="H1276">
        <f>IF(inventory__Data[[#This Row],[stock_on_hand]]&lt;=0,1,0)</f>
        <v>0</v>
      </c>
      <c r="I1276">
        <f>COUNTIFS(inventory__Data[product_id],inventory__Data[[#This Row],[product_id]],inventory__Data[stock_on_hand],"&lt;=0")</f>
        <v>29</v>
      </c>
    </row>
    <row r="1277" spans="1:9" x14ac:dyDescent="0.3">
      <c r="A1277" s="1">
        <v>45913</v>
      </c>
      <c r="B1277" t="s">
        <v>9</v>
      </c>
      <c r="C1277">
        <v>322</v>
      </c>
      <c r="D1277">
        <v>0.05</v>
      </c>
      <c r="E1277">
        <v>0</v>
      </c>
      <c r="F1277">
        <v>5</v>
      </c>
      <c r="G1277" t="b">
        <v>0</v>
      </c>
      <c r="H1277">
        <f>IF(inventory__Data[[#This Row],[stock_on_hand]]&lt;=0,1,0)</f>
        <v>0</v>
      </c>
      <c r="I1277">
        <f>COUNTIFS(inventory__Data[product_id],inventory__Data[[#This Row],[product_id]],inventory__Data[stock_on_hand],"&lt;=0")</f>
        <v>25</v>
      </c>
    </row>
    <row r="1278" spans="1:9" x14ac:dyDescent="0.3">
      <c r="A1278" s="1">
        <v>45913</v>
      </c>
      <c r="B1278" t="s">
        <v>12</v>
      </c>
      <c r="C1278">
        <v>438</v>
      </c>
      <c r="D1278">
        <v>0.02</v>
      </c>
      <c r="E1278">
        <v>0</v>
      </c>
      <c r="F1278">
        <v>2</v>
      </c>
      <c r="G1278" t="b">
        <v>0</v>
      </c>
      <c r="H1278">
        <f>IF(inventory__Data[[#This Row],[stock_on_hand]]&lt;=0,1,0)</f>
        <v>0</v>
      </c>
      <c r="I1278">
        <f>COUNTIFS(inventory__Data[product_id],inventory__Data[[#This Row],[product_id]],inventory__Data[stock_on_hand],"&lt;=0")</f>
        <v>23</v>
      </c>
    </row>
    <row r="1279" spans="1:9" x14ac:dyDescent="0.3">
      <c r="A1279" s="1">
        <v>45913</v>
      </c>
      <c r="B1279" t="s">
        <v>15</v>
      </c>
      <c r="C1279">
        <v>441</v>
      </c>
      <c r="D1279">
        <v>0.04</v>
      </c>
      <c r="E1279">
        <v>0</v>
      </c>
      <c r="F1279">
        <v>5</v>
      </c>
      <c r="G1279" t="b">
        <v>0</v>
      </c>
      <c r="H1279">
        <f>IF(inventory__Data[[#This Row],[stock_on_hand]]&lt;=0,1,0)</f>
        <v>0</v>
      </c>
      <c r="I1279">
        <f>COUNTIFS(inventory__Data[product_id],inventory__Data[[#This Row],[product_id]],inventory__Data[stock_on_hand],"&lt;=0")</f>
        <v>30</v>
      </c>
    </row>
    <row r="1280" spans="1:9" x14ac:dyDescent="0.3">
      <c r="A1280" s="1">
        <v>45913</v>
      </c>
      <c r="B1280" t="s">
        <v>18</v>
      </c>
      <c r="C1280">
        <v>237</v>
      </c>
      <c r="D1280">
        <v>0.15</v>
      </c>
      <c r="E1280">
        <v>0</v>
      </c>
      <c r="F1280">
        <v>2</v>
      </c>
      <c r="G1280" t="b">
        <v>0</v>
      </c>
      <c r="H1280">
        <f>IF(inventory__Data[[#This Row],[stock_on_hand]]&lt;=0,1,0)</f>
        <v>0</v>
      </c>
      <c r="I1280">
        <f>COUNTIFS(inventory__Data[product_id],inventory__Data[[#This Row],[product_id]],inventory__Data[stock_on_hand],"&lt;=0")</f>
        <v>30</v>
      </c>
    </row>
    <row r="1281" spans="1:9" x14ac:dyDescent="0.3">
      <c r="A1281" s="1">
        <v>45913</v>
      </c>
      <c r="B1281" t="s">
        <v>21</v>
      </c>
      <c r="C1281">
        <v>37</v>
      </c>
      <c r="D1281">
        <v>0.03</v>
      </c>
      <c r="E1281">
        <v>0</v>
      </c>
      <c r="F1281">
        <v>2</v>
      </c>
      <c r="G1281" t="b">
        <v>0</v>
      </c>
      <c r="H1281">
        <f>IF(inventory__Data[[#This Row],[stock_on_hand]]&lt;=0,1,0)</f>
        <v>0</v>
      </c>
      <c r="I1281">
        <f>COUNTIFS(inventory__Data[product_id],inventory__Data[[#This Row],[product_id]],inventory__Data[stock_on_hand],"&lt;=0")</f>
        <v>29</v>
      </c>
    </row>
    <row r="1282" spans="1:9" x14ac:dyDescent="0.3">
      <c r="A1282" s="1">
        <v>45914</v>
      </c>
      <c r="B1282" t="s">
        <v>9</v>
      </c>
      <c r="C1282">
        <v>680</v>
      </c>
      <c r="D1282">
        <v>0.05</v>
      </c>
      <c r="E1282">
        <v>0</v>
      </c>
      <c r="F1282">
        <v>5</v>
      </c>
      <c r="G1282" t="b">
        <v>0</v>
      </c>
      <c r="H1282">
        <f>IF(inventory__Data[[#This Row],[stock_on_hand]]&lt;=0,1,0)</f>
        <v>0</v>
      </c>
      <c r="I1282">
        <f>COUNTIFS(inventory__Data[product_id],inventory__Data[[#This Row],[product_id]],inventory__Data[stock_on_hand],"&lt;=0")</f>
        <v>25</v>
      </c>
    </row>
    <row r="1283" spans="1:9" x14ac:dyDescent="0.3">
      <c r="A1283" s="1">
        <v>45914</v>
      </c>
      <c r="B1283" t="s">
        <v>12</v>
      </c>
      <c r="C1283">
        <v>307</v>
      </c>
      <c r="D1283">
        <v>0.02</v>
      </c>
      <c r="E1283">
        <v>0</v>
      </c>
      <c r="F1283">
        <v>2</v>
      </c>
      <c r="G1283" t="b">
        <v>0</v>
      </c>
      <c r="H1283">
        <f>IF(inventory__Data[[#This Row],[stock_on_hand]]&lt;=0,1,0)</f>
        <v>0</v>
      </c>
      <c r="I1283">
        <f>COUNTIFS(inventory__Data[product_id],inventory__Data[[#This Row],[product_id]],inventory__Data[stock_on_hand],"&lt;=0")</f>
        <v>23</v>
      </c>
    </row>
    <row r="1284" spans="1:9" x14ac:dyDescent="0.3">
      <c r="A1284" s="1">
        <v>45914</v>
      </c>
      <c r="B1284" t="s">
        <v>15</v>
      </c>
      <c r="C1284">
        <v>769</v>
      </c>
      <c r="D1284">
        <v>0.04</v>
      </c>
      <c r="E1284">
        <v>0</v>
      </c>
      <c r="F1284">
        <v>15</v>
      </c>
      <c r="G1284" t="b">
        <v>0</v>
      </c>
      <c r="H1284">
        <f>IF(inventory__Data[[#This Row],[stock_on_hand]]&lt;=0,1,0)</f>
        <v>0</v>
      </c>
      <c r="I1284">
        <f>COUNTIFS(inventory__Data[product_id],inventory__Data[[#This Row],[product_id]],inventory__Data[stock_on_hand],"&lt;=0")</f>
        <v>30</v>
      </c>
    </row>
    <row r="1285" spans="1:9" x14ac:dyDescent="0.3">
      <c r="A1285" s="1">
        <v>45914</v>
      </c>
      <c r="B1285" t="s">
        <v>18</v>
      </c>
      <c r="C1285">
        <v>143</v>
      </c>
      <c r="D1285">
        <v>0.15</v>
      </c>
      <c r="E1285">
        <v>0</v>
      </c>
      <c r="F1285">
        <v>2</v>
      </c>
      <c r="G1285" t="b">
        <v>0</v>
      </c>
      <c r="H1285">
        <f>IF(inventory__Data[[#This Row],[stock_on_hand]]&lt;=0,1,0)</f>
        <v>0</v>
      </c>
      <c r="I1285">
        <f>COUNTIFS(inventory__Data[product_id],inventory__Data[[#This Row],[product_id]],inventory__Data[stock_on_hand],"&lt;=0")</f>
        <v>30</v>
      </c>
    </row>
    <row r="1286" spans="1:9" x14ac:dyDescent="0.3">
      <c r="A1286" s="1">
        <v>45914</v>
      </c>
      <c r="B1286" t="s">
        <v>21</v>
      </c>
      <c r="C1286">
        <v>0</v>
      </c>
      <c r="D1286">
        <v>0.03</v>
      </c>
      <c r="E1286">
        <v>0</v>
      </c>
      <c r="F1286">
        <v>2</v>
      </c>
      <c r="G1286" t="b">
        <v>0</v>
      </c>
      <c r="H1286">
        <f>IF(inventory__Data[[#This Row],[stock_on_hand]]&lt;=0,1,0)</f>
        <v>1</v>
      </c>
      <c r="I1286">
        <f>COUNTIFS(inventory__Data[product_id],inventory__Data[[#This Row],[product_id]],inventory__Data[stock_on_hand],"&lt;=0")</f>
        <v>29</v>
      </c>
    </row>
    <row r="1287" spans="1:9" x14ac:dyDescent="0.3">
      <c r="A1287" s="1">
        <v>45915</v>
      </c>
      <c r="B1287" t="s">
        <v>9</v>
      </c>
      <c r="C1287">
        <v>629</v>
      </c>
      <c r="D1287">
        <v>0.05</v>
      </c>
      <c r="E1287">
        <v>0</v>
      </c>
      <c r="F1287">
        <v>2</v>
      </c>
      <c r="G1287" t="b">
        <v>0</v>
      </c>
      <c r="H1287">
        <f>IF(inventory__Data[[#This Row],[stock_on_hand]]&lt;=0,1,0)</f>
        <v>0</v>
      </c>
      <c r="I1287">
        <f>COUNTIFS(inventory__Data[product_id],inventory__Data[[#This Row],[product_id]],inventory__Data[stock_on_hand],"&lt;=0")</f>
        <v>25</v>
      </c>
    </row>
    <row r="1288" spans="1:9" x14ac:dyDescent="0.3">
      <c r="A1288" s="1">
        <v>45915</v>
      </c>
      <c r="B1288" t="s">
        <v>12</v>
      </c>
      <c r="C1288">
        <v>49</v>
      </c>
      <c r="D1288">
        <v>0.02</v>
      </c>
      <c r="E1288">
        <v>0</v>
      </c>
      <c r="F1288">
        <v>5</v>
      </c>
      <c r="G1288" t="b">
        <v>0</v>
      </c>
      <c r="H1288">
        <f>IF(inventory__Data[[#This Row],[stock_on_hand]]&lt;=0,1,0)</f>
        <v>0</v>
      </c>
      <c r="I1288">
        <f>COUNTIFS(inventory__Data[product_id],inventory__Data[[#This Row],[product_id]],inventory__Data[stock_on_hand],"&lt;=0")</f>
        <v>23</v>
      </c>
    </row>
    <row r="1289" spans="1:9" x14ac:dyDescent="0.3">
      <c r="A1289" s="1">
        <v>45915</v>
      </c>
      <c r="B1289" t="s">
        <v>15</v>
      </c>
      <c r="C1289">
        <v>819</v>
      </c>
      <c r="D1289">
        <v>0.04</v>
      </c>
      <c r="E1289">
        <v>0</v>
      </c>
      <c r="F1289">
        <v>5</v>
      </c>
      <c r="G1289" t="b">
        <v>0</v>
      </c>
      <c r="H1289">
        <f>IF(inventory__Data[[#This Row],[stock_on_hand]]&lt;=0,1,0)</f>
        <v>0</v>
      </c>
      <c r="I1289">
        <f>COUNTIFS(inventory__Data[product_id],inventory__Data[[#This Row],[product_id]],inventory__Data[stock_on_hand],"&lt;=0")</f>
        <v>30</v>
      </c>
    </row>
    <row r="1290" spans="1:9" x14ac:dyDescent="0.3">
      <c r="A1290" s="1">
        <v>45915</v>
      </c>
      <c r="B1290" t="s">
        <v>18</v>
      </c>
      <c r="C1290">
        <v>877</v>
      </c>
      <c r="D1290">
        <v>0.15</v>
      </c>
      <c r="E1290">
        <v>0</v>
      </c>
      <c r="F1290">
        <v>2</v>
      </c>
      <c r="G1290" t="b">
        <v>0</v>
      </c>
      <c r="H1290">
        <f>IF(inventory__Data[[#This Row],[stock_on_hand]]&lt;=0,1,0)</f>
        <v>0</v>
      </c>
      <c r="I1290">
        <f>COUNTIFS(inventory__Data[product_id],inventory__Data[[#This Row],[product_id]],inventory__Data[stock_on_hand],"&lt;=0")</f>
        <v>30</v>
      </c>
    </row>
    <row r="1291" spans="1:9" x14ac:dyDescent="0.3">
      <c r="A1291" s="1">
        <v>45915</v>
      </c>
      <c r="B1291" t="s">
        <v>21</v>
      </c>
      <c r="C1291">
        <v>0</v>
      </c>
      <c r="D1291">
        <v>0.03</v>
      </c>
      <c r="E1291">
        <v>0</v>
      </c>
      <c r="F1291">
        <v>2</v>
      </c>
      <c r="G1291" t="b">
        <v>0</v>
      </c>
      <c r="H1291">
        <f>IF(inventory__Data[[#This Row],[stock_on_hand]]&lt;=0,1,0)</f>
        <v>1</v>
      </c>
      <c r="I1291">
        <f>COUNTIFS(inventory__Data[product_id],inventory__Data[[#This Row],[product_id]],inventory__Data[stock_on_hand],"&lt;=0")</f>
        <v>29</v>
      </c>
    </row>
    <row r="1292" spans="1:9" x14ac:dyDescent="0.3">
      <c r="A1292" s="1">
        <v>45916</v>
      </c>
      <c r="B1292" t="s">
        <v>9</v>
      </c>
      <c r="C1292">
        <v>503</v>
      </c>
      <c r="D1292">
        <v>0.05</v>
      </c>
      <c r="E1292">
        <v>0</v>
      </c>
      <c r="F1292">
        <v>5</v>
      </c>
      <c r="G1292" t="b">
        <v>0</v>
      </c>
      <c r="H1292">
        <f>IF(inventory__Data[[#This Row],[stock_on_hand]]&lt;=0,1,0)</f>
        <v>0</v>
      </c>
      <c r="I1292">
        <f>COUNTIFS(inventory__Data[product_id],inventory__Data[[#This Row],[product_id]],inventory__Data[stock_on_hand],"&lt;=0")</f>
        <v>25</v>
      </c>
    </row>
    <row r="1293" spans="1:9" x14ac:dyDescent="0.3">
      <c r="A1293" s="1">
        <v>45916</v>
      </c>
      <c r="B1293" t="s">
        <v>12</v>
      </c>
      <c r="C1293">
        <v>341</v>
      </c>
      <c r="D1293">
        <v>0.02</v>
      </c>
      <c r="E1293">
        <v>0</v>
      </c>
      <c r="F1293">
        <v>10</v>
      </c>
      <c r="G1293" t="b">
        <v>0</v>
      </c>
      <c r="H1293">
        <f>IF(inventory__Data[[#This Row],[stock_on_hand]]&lt;=0,1,0)</f>
        <v>0</v>
      </c>
      <c r="I1293">
        <f>COUNTIFS(inventory__Data[product_id],inventory__Data[[#This Row],[product_id]],inventory__Data[stock_on_hand],"&lt;=0")</f>
        <v>23</v>
      </c>
    </row>
    <row r="1294" spans="1:9" x14ac:dyDescent="0.3">
      <c r="A1294" s="1">
        <v>45916</v>
      </c>
      <c r="B1294" t="s">
        <v>15</v>
      </c>
      <c r="C1294">
        <v>426</v>
      </c>
      <c r="D1294">
        <v>0.04</v>
      </c>
      <c r="E1294">
        <v>0</v>
      </c>
      <c r="F1294">
        <v>5</v>
      </c>
      <c r="G1294" t="b">
        <v>0</v>
      </c>
      <c r="H1294">
        <f>IF(inventory__Data[[#This Row],[stock_on_hand]]&lt;=0,1,0)</f>
        <v>0</v>
      </c>
      <c r="I1294">
        <f>COUNTIFS(inventory__Data[product_id],inventory__Data[[#This Row],[product_id]],inventory__Data[stock_on_hand],"&lt;=0")</f>
        <v>30</v>
      </c>
    </row>
    <row r="1295" spans="1:9" x14ac:dyDescent="0.3">
      <c r="A1295" s="1">
        <v>45916</v>
      </c>
      <c r="B1295" t="s">
        <v>18</v>
      </c>
      <c r="C1295">
        <v>791</v>
      </c>
      <c r="D1295">
        <v>0.15</v>
      </c>
      <c r="E1295">
        <v>0</v>
      </c>
      <c r="F1295">
        <v>2</v>
      </c>
      <c r="G1295" t="b">
        <v>0</v>
      </c>
      <c r="H1295">
        <f>IF(inventory__Data[[#This Row],[stock_on_hand]]&lt;=0,1,0)</f>
        <v>0</v>
      </c>
      <c r="I1295">
        <f>COUNTIFS(inventory__Data[product_id],inventory__Data[[#This Row],[product_id]],inventory__Data[stock_on_hand],"&lt;=0")</f>
        <v>30</v>
      </c>
    </row>
    <row r="1296" spans="1:9" x14ac:dyDescent="0.3">
      <c r="A1296" s="1">
        <v>45916</v>
      </c>
      <c r="B1296" t="s">
        <v>21</v>
      </c>
      <c r="C1296">
        <v>349</v>
      </c>
      <c r="D1296">
        <v>0.03</v>
      </c>
      <c r="E1296">
        <v>0</v>
      </c>
      <c r="F1296">
        <v>5</v>
      </c>
      <c r="G1296" t="b">
        <v>0</v>
      </c>
      <c r="H1296">
        <f>IF(inventory__Data[[#This Row],[stock_on_hand]]&lt;=0,1,0)</f>
        <v>0</v>
      </c>
      <c r="I1296">
        <f>COUNTIFS(inventory__Data[product_id],inventory__Data[[#This Row],[product_id]],inventory__Data[stock_on_hand],"&lt;=0")</f>
        <v>29</v>
      </c>
    </row>
    <row r="1297" spans="1:9" x14ac:dyDescent="0.3">
      <c r="A1297" s="1">
        <v>45917</v>
      </c>
      <c r="B1297" t="s">
        <v>9</v>
      </c>
      <c r="C1297">
        <v>22</v>
      </c>
      <c r="D1297">
        <v>0.05</v>
      </c>
      <c r="E1297">
        <v>0</v>
      </c>
      <c r="F1297">
        <v>5</v>
      </c>
      <c r="G1297" t="b">
        <v>0</v>
      </c>
      <c r="H1297">
        <f>IF(inventory__Data[[#This Row],[stock_on_hand]]&lt;=0,1,0)</f>
        <v>0</v>
      </c>
      <c r="I1297">
        <f>COUNTIFS(inventory__Data[product_id],inventory__Data[[#This Row],[product_id]],inventory__Data[stock_on_hand],"&lt;=0")</f>
        <v>25</v>
      </c>
    </row>
    <row r="1298" spans="1:9" x14ac:dyDescent="0.3">
      <c r="A1298" s="1">
        <v>45917</v>
      </c>
      <c r="B1298" t="s">
        <v>12</v>
      </c>
      <c r="C1298">
        <v>619</v>
      </c>
      <c r="D1298">
        <v>0.02</v>
      </c>
      <c r="E1298">
        <v>0</v>
      </c>
      <c r="F1298">
        <v>2</v>
      </c>
      <c r="G1298" t="b">
        <v>0</v>
      </c>
      <c r="H1298">
        <f>IF(inventory__Data[[#This Row],[stock_on_hand]]&lt;=0,1,0)</f>
        <v>0</v>
      </c>
      <c r="I1298">
        <f>COUNTIFS(inventory__Data[product_id],inventory__Data[[#This Row],[product_id]],inventory__Data[stock_on_hand],"&lt;=0")</f>
        <v>23</v>
      </c>
    </row>
    <row r="1299" spans="1:9" x14ac:dyDescent="0.3">
      <c r="A1299" s="1">
        <v>45917</v>
      </c>
      <c r="B1299" t="s">
        <v>15</v>
      </c>
      <c r="C1299">
        <v>890</v>
      </c>
      <c r="D1299">
        <v>0.04</v>
      </c>
      <c r="E1299">
        <v>0</v>
      </c>
      <c r="F1299">
        <v>2</v>
      </c>
      <c r="G1299" t="b">
        <v>0</v>
      </c>
      <c r="H1299">
        <f>IF(inventory__Data[[#This Row],[stock_on_hand]]&lt;=0,1,0)</f>
        <v>0</v>
      </c>
      <c r="I1299">
        <f>COUNTIFS(inventory__Data[product_id],inventory__Data[[#This Row],[product_id]],inventory__Data[stock_on_hand],"&lt;=0")</f>
        <v>30</v>
      </c>
    </row>
    <row r="1300" spans="1:9" x14ac:dyDescent="0.3">
      <c r="A1300" s="1">
        <v>45917</v>
      </c>
      <c r="B1300" t="s">
        <v>18</v>
      </c>
      <c r="C1300">
        <v>605</v>
      </c>
      <c r="D1300">
        <v>0.15</v>
      </c>
      <c r="E1300">
        <v>0</v>
      </c>
      <c r="F1300">
        <v>5</v>
      </c>
      <c r="G1300" t="b">
        <v>0</v>
      </c>
      <c r="H1300">
        <f>IF(inventory__Data[[#This Row],[stock_on_hand]]&lt;=0,1,0)</f>
        <v>0</v>
      </c>
      <c r="I1300">
        <f>COUNTIFS(inventory__Data[product_id],inventory__Data[[#This Row],[product_id]],inventory__Data[stock_on_hand],"&lt;=0")</f>
        <v>30</v>
      </c>
    </row>
    <row r="1301" spans="1:9" x14ac:dyDescent="0.3">
      <c r="A1301" s="1">
        <v>45917</v>
      </c>
      <c r="B1301" t="s">
        <v>21</v>
      </c>
      <c r="C1301">
        <v>515</v>
      </c>
      <c r="D1301">
        <v>0.03</v>
      </c>
      <c r="E1301">
        <v>0</v>
      </c>
      <c r="F1301">
        <v>5</v>
      </c>
      <c r="G1301" t="b">
        <v>0</v>
      </c>
      <c r="H1301">
        <f>IF(inventory__Data[[#This Row],[stock_on_hand]]&lt;=0,1,0)</f>
        <v>0</v>
      </c>
      <c r="I1301">
        <f>COUNTIFS(inventory__Data[product_id],inventory__Data[[#This Row],[product_id]],inventory__Data[stock_on_hand],"&lt;=0")</f>
        <v>29</v>
      </c>
    </row>
    <row r="1302" spans="1:9" x14ac:dyDescent="0.3">
      <c r="A1302" s="1">
        <v>45918</v>
      </c>
      <c r="B1302" t="s">
        <v>9</v>
      </c>
      <c r="C1302">
        <v>460</v>
      </c>
      <c r="D1302">
        <v>0.05</v>
      </c>
      <c r="E1302">
        <v>0</v>
      </c>
      <c r="F1302">
        <v>2</v>
      </c>
      <c r="G1302" t="b">
        <v>0</v>
      </c>
      <c r="H1302">
        <f>IF(inventory__Data[[#This Row],[stock_on_hand]]&lt;=0,1,0)</f>
        <v>0</v>
      </c>
      <c r="I1302">
        <f>COUNTIFS(inventory__Data[product_id],inventory__Data[[#This Row],[product_id]],inventory__Data[stock_on_hand],"&lt;=0")</f>
        <v>25</v>
      </c>
    </row>
    <row r="1303" spans="1:9" x14ac:dyDescent="0.3">
      <c r="A1303" s="1">
        <v>45918</v>
      </c>
      <c r="B1303" t="s">
        <v>12</v>
      </c>
      <c r="C1303">
        <v>217</v>
      </c>
      <c r="D1303">
        <v>0.02</v>
      </c>
      <c r="E1303">
        <v>0</v>
      </c>
      <c r="F1303">
        <v>2</v>
      </c>
      <c r="G1303" t="b">
        <v>0</v>
      </c>
      <c r="H1303">
        <f>IF(inventory__Data[[#This Row],[stock_on_hand]]&lt;=0,1,0)</f>
        <v>0</v>
      </c>
      <c r="I1303">
        <f>COUNTIFS(inventory__Data[product_id],inventory__Data[[#This Row],[product_id]],inventory__Data[stock_on_hand],"&lt;=0")</f>
        <v>23</v>
      </c>
    </row>
    <row r="1304" spans="1:9" x14ac:dyDescent="0.3">
      <c r="A1304" s="1">
        <v>45918</v>
      </c>
      <c r="B1304" t="s">
        <v>15</v>
      </c>
      <c r="C1304">
        <v>203</v>
      </c>
      <c r="D1304">
        <v>0.04</v>
      </c>
      <c r="E1304">
        <v>0</v>
      </c>
      <c r="F1304">
        <v>2</v>
      </c>
      <c r="G1304" t="b">
        <v>0</v>
      </c>
      <c r="H1304">
        <f>IF(inventory__Data[[#This Row],[stock_on_hand]]&lt;=0,1,0)</f>
        <v>0</v>
      </c>
      <c r="I1304">
        <f>COUNTIFS(inventory__Data[product_id],inventory__Data[[#This Row],[product_id]],inventory__Data[stock_on_hand],"&lt;=0")</f>
        <v>30</v>
      </c>
    </row>
    <row r="1305" spans="1:9" x14ac:dyDescent="0.3">
      <c r="A1305" s="1">
        <v>45918</v>
      </c>
      <c r="B1305" t="s">
        <v>18</v>
      </c>
      <c r="C1305">
        <v>526</v>
      </c>
      <c r="D1305">
        <v>0.15</v>
      </c>
      <c r="E1305">
        <v>0</v>
      </c>
      <c r="F1305">
        <v>2</v>
      </c>
      <c r="G1305" t="b">
        <v>0</v>
      </c>
      <c r="H1305">
        <f>IF(inventory__Data[[#This Row],[stock_on_hand]]&lt;=0,1,0)</f>
        <v>0</v>
      </c>
      <c r="I1305">
        <f>COUNTIFS(inventory__Data[product_id],inventory__Data[[#This Row],[product_id]],inventory__Data[stock_on_hand],"&lt;=0")</f>
        <v>30</v>
      </c>
    </row>
    <row r="1306" spans="1:9" x14ac:dyDescent="0.3">
      <c r="A1306" s="1">
        <v>45918</v>
      </c>
      <c r="B1306" t="s">
        <v>21</v>
      </c>
      <c r="C1306">
        <v>415</v>
      </c>
      <c r="D1306">
        <v>0.03</v>
      </c>
      <c r="E1306">
        <v>0</v>
      </c>
      <c r="F1306">
        <v>5</v>
      </c>
      <c r="G1306" t="b">
        <v>0</v>
      </c>
      <c r="H1306">
        <f>IF(inventory__Data[[#This Row],[stock_on_hand]]&lt;=0,1,0)</f>
        <v>0</v>
      </c>
      <c r="I1306">
        <f>COUNTIFS(inventory__Data[product_id],inventory__Data[[#This Row],[product_id]],inventory__Data[stock_on_hand],"&lt;=0")</f>
        <v>29</v>
      </c>
    </row>
    <row r="1307" spans="1:9" x14ac:dyDescent="0.3">
      <c r="A1307" s="1">
        <v>45919</v>
      </c>
      <c r="B1307" t="s">
        <v>9</v>
      </c>
      <c r="C1307">
        <v>0</v>
      </c>
      <c r="D1307">
        <v>0.05</v>
      </c>
      <c r="E1307">
        <v>0</v>
      </c>
      <c r="F1307">
        <v>2</v>
      </c>
      <c r="G1307" t="b">
        <v>0</v>
      </c>
      <c r="H1307">
        <f>IF(inventory__Data[[#This Row],[stock_on_hand]]&lt;=0,1,0)</f>
        <v>1</v>
      </c>
      <c r="I1307">
        <f>COUNTIFS(inventory__Data[product_id],inventory__Data[[#This Row],[product_id]],inventory__Data[stock_on_hand],"&lt;=0")</f>
        <v>25</v>
      </c>
    </row>
    <row r="1308" spans="1:9" x14ac:dyDescent="0.3">
      <c r="A1308" s="1">
        <v>45919</v>
      </c>
      <c r="B1308" t="s">
        <v>12</v>
      </c>
      <c r="C1308">
        <v>339</v>
      </c>
      <c r="D1308">
        <v>0.02</v>
      </c>
      <c r="E1308">
        <v>0</v>
      </c>
      <c r="F1308">
        <v>2</v>
      </c>
      <c r="G1308" t="b">
        <v>0</v>
      </c>
      <c r="H1308">
        <f>IF(inventory__Data[[#This Row],[stock_on_hand]]&lt;=0,1,0)</f>
        <v>0</v>
      </c>
      <c r="I1308">
        <f>COUNTIFS(inventory__Data[product_id],inventory__Data[[#This Row],[product_id]],inventory__Data[stock_on_hand],"&lt;=0")</f>
        <v>23</v>
      </c>
    </row>
    <row r="1309" spans="1:9" x14ac:dyDescent="0.3">
      <c r="A1309" s="1">
        <v>45919</v>
      </c>
      <c r="B1309" t="s">
        <v>15</v>
      </c>
      <c r="C1309">
        <v>556</v>
      </c>
      <c r="D1309">
        <v>0.04</v>
      </c>
      <c r="E1309">
        <v>0</v>
      </c>
      <c r="F1309">
        <v>15</v>
      </c>
      <c r="G1309" t="b">
        <v>0</v>
      </c>
      <c r="H1309">
        <f>IF(inventory__Data[[#This Row],[stock_on_hand]]&lt;=0,1,0)</f>
        <v>0</v>
      </c>
      <c r="I1309">
        <f>COUNTIFS(inventory__Data[product_id],inventory__Data[[#This Row],[product_id]],inventory__Data[stock_on_hand],"&lt;=0")</f>
        <v>30</v>
      </c>
    </row>
    <row r="1310" spans="1:9" x14ac:dyDescent="0.3">
      <c r="A1310" s="1">
        <v>45919</v>
      </c>
      <c r="B1310" t="s">
        <v>18</v>
      </c>
      <c r="C1310">
        <v>294</v>
      </c>
      <c r="D1310">
        <v>0.15</v>
      </c>
      <c r="E1310">
        <v>0</v>
      </c>
      <c r="F1310">
        <v>2</v>
      </c>
      <c r="G1310" t="b">
        <v>0</v>
      </c>
      <c r="H1310">
        <f>IF(inventory__Data[[#This Row],[stock_on_hand]]&lt;=0,1,0)</f>
        <v>0</v>
      </c>
      <c r="I1310">
        <f>COUNTIFS(inventory__Data[product_id],inventory__Data[[#This Row],[product_id]],inventory__Data[stock_on_hand],"&lt;=0")</f>
        <v>30</v>
      </c>
    </row>
    <row r="1311" spans="1:9" x14ac:dyDescent="0.3">
      <c r="A1311" s="1">
        <v>45919</v>
      </c>
      <c r="B1311" t="s">
        <v>21</v>
      </c>
      <c r="C1311">
        <v>814</v>
      </c>
      <c r="D1311">
        <v>0.03</v>
      </c>
      <c r="E1311">
        <v>0</v>
      </c>
      <c r="F1311">
        <v>2</v>
      </c>
      <c r="G1311" t="b">
        <v>0</v>
      </c>
      <c r="H1311">
        <f>IF(inventory__Data[[#This Row],[stock_on_hand]]&lt;=0,1,0)</f>
        <v>0</v>
      </c>
      <c r="I1311">
        <f>COUNTIFS(inventory__Data[product_id],inventory__Data[[#This Row],[product_id]],inventory__Data[stock_on_hand],"&lt;=0")</f>
        <v>29</v>
      </c>
    </row>
    <row r="1312" spans="1:9" x14ac:dyDescent="0.3">
      <c r="A1312" s="1">
        <v>45920</v>
      </c>
      <c r="B1312" t="s">
        <v>9</v>
      </c>
      <c r="C1312">
        <v>834</v>
      </c>
      <c r="D1312">
        <v>0.05</v>
      </c>
      <c r="E1312">
        <v>0</v>
      </c>
      <c r="F1312">
        <v>5</v>
      </c>
      <c r="G1312" t="b">
        <v>0</v>
      </c>
      <c r="H1312">
        <f>IF(inventory__Data[[#This Row],[stock_on_hand]]&lt;=0,1,0)</f>
        <v>0</v>
      </c>
      <c r="I1312">
        <f>COUNTIFS(inventory__Data[product_id],inventory__Data[[#This Row],[product_id]],inventory__Data[stock_on_hand],"&lt;=0")</f>
        <v>25</v>
      </c>
    </row>
    <row r="1313" spans="1:9" x14ac:dyDescent="0.3">
      <c r="A1313" s="1">
        <v>45920</v>
      </c>
      <c r="B1313" t="s">
        <v>12</v>
      </c>
      <c r="C1313">
        <v>8</v>
      </c>
      <c r="D1313">
        <v>0.02</v>
      </c>
      <c r="E1313">
        <v>0</v>
      </c>
      <c r="F1313">
        <v>2</v>
      </c>
      <c r="G1313" t="b">
        <v>0</v>
      </c>
      <c r="H1313">
        <f>IF(inventory__Data[[#This Row],[stock_on_hand]]&lt;=0,1,0)</f>
        <v>0</v>
      </c>
      <c r="I1313">
        <f>COUNTIFS(inventory__Data[product_id],inventory__Data[[#This Row],[product_id]],inventory__Data[stock_on_hand],"&lt;=0")</f>
        <v>23</v>
      </c>
    </row>
    <row r="1314" spans="1:9" x14ac:dyDescent="0.3">
      <c r="A1314" s="1">
        <v>45920</v>
      </c>
      <c r="B1314" t="s">
        <v>15</v>
      </c>
      <c r="C1314">
        <v>404</v>
      </c>
      <c r="D1314">
        <v>0.04</v>
      </c>
      <c r="E1314">
        <v>0</v>
      </c>
      <c r="F1314">
        <v>2</v>
      </c>
      <c r="G1314" t="b">
        <v>0</v>
      </c>
      <c r="H1314">
        <f>IF(inventory__Data[[#This Row],[stock_on_hand]]&lt;=0,1,0)</f>
        <v>0</v>
      </c>
      <c r="I1314">
        <f>COUNTIFS(inventory__Data[product_id],inventory__Data[[#This Row],[product_id]],inventory__Data[stock_on_hand],"&lt;=0")</f>
        <v>30</v>
      </c>
    </row>
    <row r="1315" spans="1:9" x14ac:dyDescent="0.3">
      <c r="A1315" s="1">
        <v>45920</v>
      </c>
      <c r="B1315" t="s">
        <v>18</v>
      </c>
      <c r="C1315">
        <v>0</v>
      </c>
      <c r="D1315">
        <v>0.15</v>
      </c>
      <c r="E1315">
        <v>0</v>
      </c>
      <c r="F1315">
        <v>15</v>
      </c>
      <c r="G1315" t="b">
        <v>0</v>
      </c>
      <c r="H1315">
        <f>IF(inventory__Data[[#This Row],[stock_on_hand]]&lt;=0,1,0)</f>
        <v>1</v>
      </c>
      <c r="I1315">
        <f>COUNTIFS(inventory__Data[product_id],inventory__Data[[#This Row],[product_id]],inventory__Data[stock_on_hand],"&lt;=0")</f>
        <v>30</v>
      </c>
    </row>
    <row r="1316" spans="1:9" x14ac:dyDescent="0.3">
      <c r="A1316" s="1">
        <v>45920</v>
      </c>
      <c r="B1316" t="s">
        <v>21</v>
      </c>
      <c r="C1316">
        <v>471</v>
      </c>
      <c r="D1316">
        <v>0.03</v>
      </c>
      <c r="E1316">
        <v>0</v>
      </c>
      <c r="F1316">
        <v>2</v>
      </c>
      <c r="G1316" t="b">
        <v>0</v>
      </c>
      <c r="H1316">
        <f>IF(inventory__Data[[#This Row],[stock_on_hand]]&lt;=0,1,0)</f>
        <v>0</v>
      </c>
      <c r="I1316">
        <f>COUNTIFS(inventory__Data[product_id],inventory__Data[[#This Row],[product_id]],inventory__Data[stock_on_hand],"&lt;=0")</f>
        <v>29</v>
      </c>
    </row>
    <row r="1317" spans="1:9" x14ac:dyDescent="0.3">
      <c r="A1317" s="1">
        <v>45921</v>
      </c>
      <c r="B1317" t="s">
        <v>9</v>
      </c>
      <c r="C1317">
        <v>395</v>
      </c>
      <c r="D1317">
        <v>0.05</v>
      </c>
      <c r="E1317">
        <v>0</v>
      </c>
      <c r="F1317">
        <v>2</v>
      </c>
      <c r="G1317" t="b">
        <v>0</v>
      </c>
      <c r="H1317">
        <f>IF(inventory__Data[[#This Row],[stock_on_hand]]&lt;=0,1,0)</f>
        <v>0</v>
      </c>
      <c r="I1317">
        <f>COUNTIFS(inventory__Data[product_id],inventory__Data[[#This Row],[product_id]],inventory__Data[stock_on_hand],"&lt;=0")</f>
        <v>25</v>
      </c>
    </row>
    <row r="1318" spans="1:9" x14ac:dyDescent="0.3">
      <c r="A1318" s="1">
        <v>45921</v>
      </c>
      <c r="B1318" t="s">
        <v>12</v>
      </c>
      <c r="C1318">
        <v>199</v>
      </c>
      <c r="D1318">
        <v>0.02</v>
      </c>
      <c r="E1318">
        <v>0</v>
      </c>
      <c r="F1318">
        <v>2</v>
      </c>
      <c r="G1318" t="b">
        <v>0</v>
      </c>
      <c r="H1318">
        <f>IF(inventory__Data[[#This Row],[stock_on_hand]]&lt;=0,1,0)</f>
        <v>0</v>
      </c>
      <c r="I1318">
        <f>COUNTIFS(inventory__Data[product_id],inventory__Data[[#This Row],[product_id]],inventory__Data[stock_on_hand],"&lt;=0")</f>
        <v>23</v>
      </c>
    </row>
    <row r="1319" spans="1:9" x14ac:dyDescent="0.3">
      <c r="A1319" s="1">
        <v>45921</v>
      </c>
      <c r="B1319" t="s">
        <v>15</v>
      </c>
      <c r="C1319">
        <v>803</v>
      </c>
      <c r="D1319">
        <v>0.04</v>
      </c>
      <c r="E1319">
        <v>0</v>
      </c>
      <c r="F1319">
        <v>10</v>
      </c>
      <c r="G1319" t="b">
        <v>0</v>
      </c>
      <c r="H1319">
        <f>IF(inventory__Data[[#This Row],[stock_on_hand]]&lt;=0,1,0)</f>
        <v>0</v>
      </c>
      <c r="I1319">
        <f>COUNTIFS(inventory__Data[product_id],inventory__Data[[#This Row],[product_id]],inventory__Data[stock_on_hand],"&lt;=0")</f>
        <v>30</v>
      </c>
    </row>
    <row r="1320" spans="1:9" x14ac:dyDescent="0.3">
      <c r="A1320" s="1">
        <v>45921</v>
      </c>
      <c r="B1320" t="s">
        <v>18</v>
      </c>
      <c r="C1320">
        <v>202</v>
      </c>
      <c r="D1320">
        <v>0.15</v>
      </c>
      <c r="E1320">
        <v>0</v>
      </c>
      <c r="F1320">
        <v>5</v>
      </c>
      <c r="G1320" t="b">
        <v>0</v>
      </c>
      <c r="H1320">
        <f>IF(inventory__Data[[#This Row],[stock_on_hand]]&lt;=0,1,0)</f>
        <v>0</v>
      </c>
      <c r="I1320">
        <f>COUNTIFS(inventory__Data[product_id],inventory__Data[[#This Row],[product_id]],inventory__Data[stock_on_hand],"&lt;=0")</f>
        <v>30</v>
      </c>
    </row>
    <row r="1321" spans="1:9" x14ac:dyDescent="0.3">
      <c r="A1321" s="1">
        <v>45921</v>
      </c>
      <c r="B1321" t="s">
        <v>21</v>
      </c>
      <c r="C1321">
        <v>330</v>
      </c>
      <c r="D1321">
        <v>0.03</v>
      </c>
      <c r="E1321">
        <v>0</v>
      </c>
      <c r="F1321">
        <v>2</v>
      </c>
      <c r="G1321" t="b">
        <v>0</v>
      </c>
      <c r="H1321">
        <f>IF(inventory__Data[[#This Row],[stock_on_hand]]&lt;=0,1,0)</f>
        <v>0</v>
      </c>
      <c r="I1321">
        <f>COUNTIFS(inventory__Data[product_id],inventory__Data[[#This Row],[product_id]],inventory__Data[stock_on_hand],"&lt;=0")</f>
        <v>29</v>
      </c>
    </row>
    <row r="1322" spans="1:9" x14ac:dyDescent="0.3">
      <c r="A1322" s="1">
        <v>45922</v>
      </c>
      <c r="B1322" t="s">
        <v>9</v>
      </c>
      <c r="C1322">
        <v>69</v>
      </c>
      <c r="D1322">
        <v>0.05</v>
      </c>
      <c r="E1322">
        <v>0</v>
      </c>
      <c r="F1322">
        <v>5</v>
      </c>
      <c r="G1322" t="b">
        <v>0</v>
      </c>
      <c r="H1322">
        <f>IF(inventory__Data[[#This Row],[stock_on_hand]]&lt;=0,1,0)</f>
        <v>0</v>
      </c>
      <c r="I1322">
        <f>COUNTIFS(inventory__Data[product_id],inventory__Data[[#This Row],[product_id]],inventory__Data[stock_on_hand],"&lt;=0")</f>
        <v>25</v>
      </c>
    </row>
    <row r="1323" spans="1:9" x14ac:dyDescent="0.3">
      <c r="A1323" s="1">
        <v>45922</v>
      </c>
      <c r="B1323" t="s">
        <v>12</v>
      </c>
      <c r="C1323">
        <v>587</v>
      </c>
      <c r="D1323">
        <v>0.02</v>
      </c>
      <c r="E1323">
        <v>0</v>
      </c>
      <c r="F1323">
        <v>5</v>
      </c>
      <c r="G1323" t="b">
        <v>0</v>
      </c>
      <c r="H1323">
        <f>IF(inventory__Data[[#This Row],[stock_on_hand]]&lt;=0,1,0)</f>
        <v>0</v>
      </c>
      <c r="I1323">
        <f>COUNTIFS(inventory__Data[product_id],inventory__Data[[#This Row],[product_id]],inventory__Data[stock_on_hand],"&lt;=0")</f>
        <v>23</v>
      </c>
    </row>
    <row r="1324" spans="1:9" x14ac:dyDescent="0.3">
      <c r="A1324" s="1">
        <v>45922</v>
      </c>
      <c r="B1324" t="s">
        <v>15</v>
      </c>
      <c r="C1324">
        <v>275</v>
      </c>
      <c r="D1324">
        <v>0.04</v>
      </c>
      <c r="E1324">
        <v>0</v>
      </c>
      <c r="F1324">
        <v>5</v>
      </c>
      <c r="G1324" t="b">
        <v>0</v>
      </c>
      <c r="H1324">
        <f>IF(inventory__Data[[#This Row],[stock_on_hand]]&lt;=0,1,0)</f>
        <v>0</v>
      </c>
      <c r="I1324">
        <f>COUNTIFS(inventory__Data[product_id],inventory__Data[[#This Row],[product_id]],inventory__Data[stock_on_hand],"&lt;=0")</f>
        <v>30</v>
      </c>
    </row>
    <row r="1325" spans="1:9" x14ac:dyDescent="0.3">
      <c r="A1325" s="1">
        <v>45922</v>
      </c>
      <c r="B1325" t="s">
        <v>18</v>
      </c>
      <c r="C1325">
        <v>432</v>
      </c>
      <c r="D1325">
        <v>0.15</v>
      </c>
      <c r="E1325">
        <v>0</v>
      </c>
      <c r="F1325">
        <v>2</v>
      </c>
      <c r="G1325" t="b">
        <v>0</v>
      </c>
      <c r="H1325">
        <f>IF(inventory__Data[[#This Row],[stock_on_hand]]&lt;=0,1,0)</f>
        <v>0</v>
      </c>
      <c r="I1325">
        <f>COUNTIFS(inventory__Data[product_id],inventory__Data[[#This Row],[product_id]],inventory__Data[stock_on_hand],"&lt;=0")</f>
        <v>30</v>
      </c>
    </row>
    <row r="1326" spans="1:9" x14ac:dyDescent="0.3">
      <c r="A1326" s="1">
        <v>45922</v>
      </c>
      <c r="B1326" t="s">
        <v>21</v>
      </c>
      <c r="C1326">
        <v>3</v>
      </c>
      <c r="D1326">
        <v>0.03</v>
      </c>
      <c r="E1326">
        <v>0</v>
      </c>
      <c r="F1326">
        <v>2</v>
      </c>
      <c r="G1326" t="b">
        <v>0</v>
      </c>
      <c r="H1326">
        <f>IF(inventory__Data[[#This Row],[stock_on_hand]]&lt;=0,1,0)</f>
        <v>0</v>
      </c>
      <c r="I1326">
        <f>COUNTIFS(inventory__Data[product_id],inventory__Data[[#This Row],[product_id]],inventory__Data[stock_on_hand],"&lt;=0")</f>
        <v>29</v>
      </c>
    </row>
    <row r="1327" spans="1:9" x14ac:dyDescent="0.3">
      <c r="A1327" s="1">
        <v>45923</v>
      </c>
      <c r="B1327" t="s">
        <v>9</v>
      </c>
      <c r="C1327">
        <v>443</v>
      </c>
      <c r="D1327">
        <v>0.05</v>
      </c>
      <c r="E1327">
        <v>0</v>
      </c>
      <c r="F1327">
        <v>2</v>
      </c>
      <c r="G1327" t="b">
        <v>0</v>
      </c>
      <c r="H1327">
        <f>IF(inventory__Data[[#This Row],[stock_on_hand]]&lt;=0,1,0)</f>
        <v>0</v>
      </c>
      <c r="I1327">
        <f>COUNTIFS(inventory__Data[product_id],inventory__Data[[#This Row],[product_id]],inventory__Data[stock_on_hand],"&lt;=0")</f>
        <v>25</v>
      </c>
    </row>
    <row r="1328" spans="1:9" x14ac:dyDescent="0.3">
      <c r="A1328" s="1">
        <v>45923</v>
      </c>
      <c r="B1328" t="s">
        <v>12</v>
      </c>
      <c r="C1328">
        <v>599</v>
      </c>
      <c r="D1328">
        <v>0.02</v>
      </c>
      <c r="E1328">
        <v>0</v>
      </c>
      <c r="F1328">
        <v>2</v>
      </c>
      <c r="G1328" t="b">
        <v>0</v>
      </c>
      <c r="H1328">
        <f>IF(inventory__Data[[#This Row],[stock_on_hand]]&lt;=0,1,0)</f>
        <v>0</v>
      </c>
      <c r="I1328">
        <f>COUNTIFS(inventory__Data[product_id],inventory__Data[[#This Row],[product_id]],inventory__Data[stock_on_hand],"&lt;=0")</f>
        <v>23</v>
      </c>
    </row>
    <row r="1329" spans="1:9" x14ac:dyDescent="0.3">
      <c r="A1329" s="1">
        <v>45923</v>
      </c>
      <c r="B1329" t="s">
        <v>15</v>
      </c>
      <c r="C1329">
        <v>236</v>
      </c>
      <c r="D1329">
        <v>0.04</v>
      </c>
      <c r="E1329">
        <v>0</v>
      </c>
      <c r="F1329">
        <v>2</v>
      </c>
      <c r="G1329" t="b">
        <v>0</v>
      </c>
      <c r="H1329">
        <f>IF(inventory__Data[[#This Row],[stock_on_hand]]&lt;=0,1,0)</f>
        <v>0</v>
      </c>
      <c r="I1329">
        <f>COUNTIFS(inventory__Data[product_id],inventory__Data[[#This Row],[product_id]],inventory__Data[stock_on_hand],"&lt;=0")</f>
        <v>30</v>
      </c>
    </row>
    <row r="1330" spans="1:9" x14ac:dyDescent="0.3">
      <c r="A1330" s="1">
        <v>45923</v>
      </c>
      <c r="B1330" t="s">
        <v>18</v>
      </c>
      <c r="C1330">
        <v>14</v>
      </c>
      <c r="D1330">
        <v>0.15</v>
      </c>
      <c r="E1330">
        <v>0</v>
      </c>
      <c r="F1330">
        <v>5</v>
      </c>
      <c r="G1330" t="b">
        <v>0</v>
      </c>
      <c r="H1330">
        <f>IF(inventory__Data[[#This Row],[stock_on_hand]]&lt;=0,1,0)</f>
        <v>0</v>
      </c>
      <c r="I1330">
        <f>COUNTIFS(inventory__Data[product_id],inventory__Data[[#This Row],[product_id]],inventory__Data[stock_on_hand],"&lt;=0")</f>
        <v>30</v>
      </c>
    </row>
    <row r="1331" spans="1:9" x14ac:dyDescent="0.3">
      <c r="A1331" s="1">
        <v>45923</v>
      </c>
      <c r="B1331" t="s">
        <v>21</v>
      </c>
      <c r="C1331">
        <v>441</v>
      </c>
      <c r="D1331">
        <v>0.03</v>
      </c>
      <c r="E1331">
        <v>0</v>
      </c>
      <c r="F1331">
        <v>2</v>
      </c>
      <c r="G1331" t="b">
        <v>0</v>
      </c>
      <c r="H1331">
        <f>IF(inventory__Data[[#This Row],[stock_on_hand]]&lt;=0,1,0)</f>
        <v>0</v>
      </c>
      <c r="I1331">
        <f>COUNTIFS(inventory__Data[product_id],inventory__Data[[#This Row],[product_id]],inventory__Data[stock_on_hand],"&lt;=0")</f>
        <v>29</v>
      </c>
    </row>
    <row r="1332" spans="1:9" x14ac:dyDescent="0.3">
      <c r="A1332" s="1">
        <v>45924</v>
      </c>
      <c r="B1332" t="s">
        <v>9</v>
      </c>
      <c r="C1332">
        <v>641</v>
      </c>
      <c r="D1332">
        <v>0.05</v>
      </c>
      <c r="E1332">
        <v>0</v>
      </c>
      <c r="F1332">
        <v>5</v>
      </c>
      <c r="G1332" t="b">
        <v>0</v>
      </c>
      <c r="H1332">
        <f>IF(inventory__Data[[#This Row],[stock_on_hand]]&lt;=0,1,0)</f>
        <v>0</v>
      </c>
      <c r="I1332">
        <f>COUNTIFS(inventory__Data[product_id],inventory__Data[[#This Row],[product_id]],inventory__Data[stock_on_hand],"&lt;=0")</f>
        <v>25</v>
      </c>
    </row>
    <row r="1333" spans="1:9" x14ac:dyDescent="0.3">
      <c r="A1333" s="1">
        <v>45924</v>
      </c>
      <c r="B1333" t="s">
        <v>12</v>
      </c>
      <c r="C1333">
        <v>522</v>
      </c>
      <c r="D1333">
        <v>0.02</v>
      </c>
      <c r="E1333">
        <v>0</v>
      </c>
      <c r="F1333">
        <v>5</v>
      </c>
      <c r="G1333" t="b">
        <v>0</v>
      </c>
      <c r="H1333">
        <f>IF(inventory__Data[[#This Row],[stock_on_hand]]&lt;=0,1,0)</f>
        <v>0</v>
      </c>
      <c r="I1333">
        <f>COUNTIFS(inventory__Data[product_id],inventory__Data[[#This Row],[product_id]],inventory__Data[stock_on_hand],"&lt;=0")</f>
        <v>23</v>
      </c>
    </row>
    <row r="1334" spans="1:9" x14ac:dyDescent="0.3">
      <c r="A1334" s="1">
        <v>45924</v>
      </c>
      <c r="B1334" t="s">
        <v>15</v>
      </c>
      <c r="C1334">
        <v>45</v>
      </c>
      <c r="D1334">
        <v>0.04</v>
      </c>
      <c r="E1334">
        <v>0</v>
      </c>
      <c r="F1334">
        <v>2</v>
      </c>
      <c r="G1334" t="b">
        <v>0</v>
      </c>
      <c r="H1334">
        <f>IF(inventory__Data[[#This Row],[stock_on_hand]]&lt;=0,1,0)</f>
        <v>0</v>
      </c>
      <c r="I1334">
        <f>COUNTIFS(inventory__Data[product_id],inventory__Data[[#This Row],[product_id]],inventory__Data[stock_on_hand],"&lt;=0")</f>
        <v>30</v>
      </c>
    </row>
    <row r="1335" spans="1:9" x14ac:dyDescent="0.3">
      <c r="A1335" s="1">
        <v>45924</v>
      </c>
      <c r="B1335" t="s">
        <v>18</v>
      </c>
      <c r="C1335">
        <v>455</v>
      </c>
      <c r="D1335">
        <v>0.15</v>
      </c>
      <c r="E1335">
        <v>0</v>
      </c>
      <c r="F1335">
        <v>2</v>
      </c>
      <c r="G1335" t="b">
        <v>0</v>
      </c>
      <c r="H1335">
        <f>IF(inventory__Data[[#This Row],[stock_on_hand]]&lt;=0,1,0)</f>
        <v>0</v>
      </c>
      <c r="I1335">
        <f>COUNTIFS(inventory__Data[product_id],inventory__Data[[#This Row],[product_id]],inventory__Data[stock_on_hand],"&lt;=0")</f>
        <v>30</v>
      </c>
    </row>
    <row r="1336" spans="1:9" x14ac:dyDescent="0.3">
      <c r="A1336" s="1">
        <v>45924</v>
      </c>
      <c r="B1336" t="s">
        <v>21</v>
      </c>
      <c r="C1336">
        <v>752</v>
      </c>
      <c r="D1336">
        <v>0.03</v>
      </c>
      <c r="E1336">
        <v>0</v>
      </c>
      <c r="F1336">
        <v>2</v>
      </c>
      <c r="G1336" t="b">
        <v>0</v>
      </c>
      <c r="H1336">
        <f>IF(inventory__Data[[#This Row],[stock_on_hand]]&lt;=0,1,0)</f>
        <v>0</v>
      </c>
      <c r="I1336">
        <f>COUNTIFS(inventory__Data[product_id],inventory__Data[[#This Row],[product_id]],inventory__Data[stock_on_hand],"&lt;=0")</f>
        <v>29</v>
      </c>
    </row>
    <row r="1337" spans="1:9" x14ac:dyDescent="0.3">
      <c r="A1337" s="1">
        <v>45925</v>
      </c>
      <c r="B1337" t="s">
        <v>9</v>
      </c>
      <c r="C1337">
        <v>2</v>
      </c>
      <c r="D1337">
        <v>0.05</v>
      </c>
      <c r="E1337">
        <v>0</v>
      </c>
      <c r="F1337">
        <v>2</v>
      </c>
      <c r="G1337" t="b">
        <v>0</v>
      </c>
      <c r="H1337">
        <f>IF(inventory__Data[[#This Row],[stock_on_hand]]&lt;=0,1,0)</f>
        <v>0</v>
      </c>
      <c r="I1337">
        <f>COUNTIFS(inventory__Data[product_id],inventory__Data[[#This Row],[product_id]],inventory__Data[stock_on_hand],"&lt;=0")</f>
        <v>25</v>
      </c>
    </row>
    <row r="1338" spans="1:9" x14ac:dyDescent="0.3">
      <c r="A1338" s="1">
        <v>45925</v>
      </c>
      <c r="B1338" t="s">
        <v>12</v>
      </c>
      <c r="C1338">
        <v>0</v>
      </c>
      <c r="D1338">
        <v>0.02</v>
      </c>
      <c r="E1338">
        <v>0</v>
      </c>
      <c r="F1338">
        <v>2</v>
      </c>
      <c r="G1338" t="b">
        <v>0</v>
      </c>
      <c r="H1338">
        <f>IF(inventory__Data[[#This Row],[stock_on_hand]]&lt;=0,1,0)</f>
        <v>1</v>
      </c>
      <c r="I1338">
        <f>COUNTIFS(inventory__Data[product_id],inventory__Data[[#This Row],[product_id]],inventory__Data[stock_on_hand],"&lt;=0")</f>
        <v>23</v>
      </c>
    </row>
    <row r="1339" spans="1:9" x14ac:dyDescent="0.3">
      <c r="A1339" s="1">
        <v>45925</v>
      </c>
      <c r="B1339" t="s">
        <v>15</v>
      </c>
      <c r="C1339">
        <v>500</v>
      </c>
      <c r="D1339">
        <v>0.04</v>
      </c>
      <c r="E1339">
        <v>0</v>
      </c>
      <c r="F1339">
        <v>2</v>
      </c>
      <c r="G1339" t="b">
        <v>0</v>
      </c>
      <c r="H1339">
        <f>IF(inventory__Data[[#This Row],[stock_on_hand]]&lt;=0,1,0)</f>
        <v>0</v>
      </c>
      <c r="I1339">
        <f>COUNTIFS(inventory__Data[product_id],inventory__Data[[#This Row],[product_id]],inventory__Data[stock_on_hand],"&lt;=0")</f>
        <v>30</v>
      </c>
    </row>
    <row r="1340" spans="1:9" x14ac:dyDescent="0.3">
      <c r="A1340" s="1">
        <v>45925</v>
      </c>
      <c r="B1340" t="s">
        <v>18</v>
      </c>
      <c r="C1340">
        <v>693</v>
      </c>
      <c r="D1340">
        <v>0.15</v>
      </c>
      <c r="E1340">
        <v>0</v>
      </c>
      <c r="F1340">
        <v>2</v>
      </c>
      <c r="G1340" t="b">
        <v>0</v>
      </c>
      <c r="H1340">
        <f>IF(inventory__Data[[#This Row],[stock_on_hand]]&lt;=0,1,0)</f>
        <v>0</v>
      </c>
      <c r="I1340">
        <f>COUNTIFS(inventory__Data[product_id],inventory__Data[[#This Row],[product_id]],inventory__Data[stock_on_hand],"&lt;=0")</f>
        <v>30</v>
      </c>
    </row>
    <row r="1341" spans="1:9" x14ac:dyDescent="0.3">
      <c r="A1341" s="1">
        <v>45925</v>
      </c>
      <c r="B1341" t="s">
        <v>21</v>
      </c>
      <c r="C1341">
        <v>832</v>
      </c>
      <c r="D1341">
        <v>0.03</v>
      </c>
      <c r="E1341">
        <v>0</v>
      </c>
      <c r="F1341">
        <v>2</v>
      </c>
      <c r="G1341" t="b">
        <v>0</v>
      </c>
      <c r="H1341">
        <f>IF(inventory__Data[[#This Row],[stock_on_hand]]&lt;=0,1,0)</f>
        <v>0</v>
      </c>
      <c r="I1341">
        <f>COUNTIFS(inventory__Data[product_id],inventory__Data[[#This Row],[product_id]],inventory__Data[stock_on_hand],"&lt;=0")</f>
        <v>29</v>
      </c>
    </row>
    <row r="1342" spans="1:9" x14ac:dyDescent="0.3">
      <c r="A1342" s="1">
        <v>45926</v>
      </c>
      <c r="B1342" t="s">
        <v>9</v>
      </c>
      <c r="C1342">
        <v>870</v>
      </c>
      <c r="D1342">
        <v>0.05</v>
      </c>
      <c r="E1342">
        <v>0</v>
      </c>
      <c r="F1342">
        <v>2</v>
      </c>
      <c r="G1342" t="b">
        <v>0</v>
      </c>
      <c r="H1342">
        <f>IF(inventory__Data[[#This Row],[stock_on_hand]]&lt;=0,1,0)</f>
        <v>0</v>
      </c>
      <c r="I1342">
        <f>COUNTIFS(inventory__Data[product_id],inventory__Data[[#This Row],[product_id]],inventory__Data[stock_on_hand],"&lt;=0")</f>
        <v>25</v>
      </c>
    </row>
    <row r="1343" spans="1:9" x14ac:dyDescent="0.3">
      <c r="A1343" s="1">
        <v>45926</v>
      </c>
      <c r="B1343" t="s">
        <v>12</v>
      </c>
      <c r="C1343">
        <v>553</v>
      </c>
      <c r="D1343">
        <v>0.02</v>
      </c>
      <c r="E1343">
        <v>0</v>
      </c>
      <c r="F1343">
        <v>2</v>
      </c>
      <c r="G1343" t="b">
        <v>0</v>
      </c>
      <c r="H1343">
        <f>IF(inventory__Data[[#This Row],[stock_on_hand]]&lt;=0,1,0)</f>
        <v>0</v>
      </c>
      <c r="I1343">
        <f>COUNTIFS(inventory__Data[product_id],inventory__Data[[#This Row],[product_id]],inventory__Data[stock_on_hand],"&lt;=0")</f>
        <v>23</v>
      </c>
    </row>
    <row r="1344" spans="1:9" x14ac:dyDescent="0.3">
      <c r="A1344" s="1">
        <v>45926</v>
      </c>
      <c r="B1344" t="s">
        <v>15</v>
      </c>
      <c r="C1344">
        <v>533</v>
      </c>
      <c r="D1344">
        <v>0.04</v>
      </c>
      <c r="E1344">
        <v>0</v>
      </c>
      <c r="F1344">
        <v>5</v>
      </c>
      <c r="G1344" t="b">
        <v>0</v>
      </c>
      <c r="H1344">
        <f>IF(inventory__Data[[#This Row],[stock_on_hand]]&lt;=0,1,0)</f>
        <v>0</v>
      </c>
      <c r="I1344">
        <f>COUNTIFS(inventory__Data[product_id],inventory__Data[[#This Row],[product_id]],inventory__Data[stock_on_hand],"&lt;=0")</f>
        <v>30</v>
      </c>
    </row>
    <row r="1345" spans="1:9" x14ac:dyDescent="0.3">
      <c r="A1345" s="1">
        <v>45926</v>
      </c>
      <c r="B1345" t="s">
        <v>18</v>
      </c>
      <c r="C1345">
        <v>687</v>
      </c>
      <c r="D1345">
        <v>0.15</v>
      </c>
      <c r="E1345">
        <v>0</v>
      </c>
      <c r="F1345">
        <v>5</v>
      </c>
      <c r="G1345" t="b">
        <v>0</v>
      </c>
      <c r="H1345">
        <f>IF(inventory__Data[[#This Row],[stock_on_hand]]&lt;=0,1,0)</f>
        <v>0</v>
      </c>
      <c r="I1345">
        <f>COUNTIFS(inventory__Data[product_id],inventory__Data[[#This Row],[product_id]],inventory__Data[stock_on_hand],"&lt;=0")</f>
        <v>30</v>
      </c>
    </row>
    <row r="1346" spans="1:9" x14ac:dyDescent="0.3">
      <c r="A1346" s="1">
        <v>45926</v>
      </c>
      <c r="B1346" t="s">
        <v>21</v>
      </c>
      <c r="C1346">
        <v>54</v>
      </c>
      <c r="D1346">
        <v>0.03</v>
      </c>
      <c r="E1346">
        <v>0</v>
      </c>
      <c r="F1346">
        <v>2</v>
      </c>
      <c r="G1346" t="b">
        <v>0</v>
      </c>
      <c r="H1346">
        <f>IF(inventory__Data[[#This Row],[stock_on_hand]]&lt;=0,1,0)</f>
        <v>0</v>
      </c>
      <c r="I1346">
        <f>COUNTIFS(inventory__Data[product_id],inventory__Data[[#This Row],[product_id]],inventory__Data[stock_on_hand],"&lt;=0")</f>
        <v>29</v>
      </c>
    </row>
    <row r="1347" spans="1:9" x14ac:dyDescent="0.3">
      <c r="A1347" s="1">
        <v>45927</v>
      </c>
      <c r="B1347" t="s">
        <v>9</v>
      </c>
      <c r="C1347">
        <v>0</v>
      </c>
      <c r="D1347">
        <v>0.05</v>
      </c>
      <c r="E1347">
        <v>0</v>
      </c>
      <c r="F1347">
        <v>5</v>
      </c>
      <c r="G1347" t="b">
        <v>0</v>
      </c>
      <c r="H1347">
        <f>IF(inventory__Data[[#This Row],[stock_on_hand]]&lt;=0,1,0)</f>
        <v>1</v>
      </c>
      <c r="I1347">
        <f>COUNTIFS(inventory__Data[product_id],inventory__Data[[#This Row],[product_id]],inventory__Data[stock_on_hand],"&lt;=0")</f>
        <v>25</v>
      </c>
    </row>
    <row r="1348" spans="1:9" x14ac:dyDescent="0.3">
      <c r="A1348" s="1">
        <v>45927</v>
      </c>
      <c r="B1348" t="s">
        <v>12</v>
      </c>
      <c r="C1348">
        <v>699</v>
      </c>
      <c r="D1348">
        <v>0.02</v>
      </c>
      <c r="E1348">
        <v>0</v>
      </c>
      <c r="F1348">
        <v>5</v>
      </c>
      <c r="G1348" t="b">
        <v>0</v>
      </c>
      <c r="H1348">
        <f>IF(inventory__Data[[#This Row],[stock_on_hand]]&lt;=0,1,0)</f>
        <v>0</v>
      </c>
      <c r="I1348">
        <f>COUNTIFS(inventory__Data[product_id],inventory__Data[[#This Row],[product_id]],inventory__Data[stock_on_hand],"&lt;=0")</f>
        <v>23</v>
      </c>
    </row>
    <row r="1349" spans="1:9" x14ac:dyDescent="0.3">
      <c r="A1349" s="1">
        <v>45927</v>
      </c>
      <c r="B1349" t="s">
        <v>15</v>
      </c>
      <c r="C1349">
        <v>568</v>
      </c>
      <c r="D1349">
        <v>0.04</v>
      </c>
      <c r="E1349">
        <v>0</v>
      </c>
      <c r="F1349">
        <v>2</v>
      </c>
      <c r="G1349" t="b">
        <v>0</v>
      </c>
      <c r="H1349">
        <f>IF(inventory__Data[[#This Row],[stock_on_hand]]&lt;=0,1,0)</f>
        <v>0</v>
      </c>
      <c r="I1349">
        <f>COUNTIFS(inventory__Data[product_id],inventory__Data[[#This Row],[product_id]],inventory__Data[stock_on_hand],"&lt;=0")</f>
        <v>30</v>
      </c>
    </row>
    <row r="1350" spans="1:9" x14ac:dyDescent="0.3">
      <c r="A1350" s="1">
        <v>45927</v>
      </c>
      <c r="B1350" t="s">
        <v>18</v>
      </c>
      <c r="C1350">
        <v>553</v>
      </c>
      <c r="D1350">
        <v>0.15</v>
      </c>
      <c r="E1350">
        <v>0</v>
      </c>
      <c r="F1350">
        <v>2</v>
      </c>
      <c r="G1350" t="b">
        <v>0</v>
      </c>
      <c r="H1350">
        <f>IF(inventory__Data[[#This Row],[stock_on_hand]]&lt;=0,1,0)</f>
        <v>0</v>
      </c>
      <c r="I1350">
        <f>COUNTIFS(inventory__Data[product_id],inventory__Data[[#This Row],[product_id]],inventory__Data[stock_on_hand],"&lt;=0")</f>
        <v>30</v>
      </c>
    </row>
    <row r="1351" spans="1:9" x14ac:dyDescent="0.3">
      <c r="A1351" s="1">
        <v>45927</v>
      </c>
      <c r="B1351" t="s">
        <v>21</v>
      </c>
      <c r="C1351">
        <v>155</v>
      </c>
      <c r="D1351">
        <v>0.03</v>
      </c>
      <c r="E1351">
        <v>0</v>
      </c>
      <c r="F1351">
        <v>15</v>
      </c>
      <c r="G1351" t="b">
        <v>0</v>
      </c>
      <c r="H1351">
        <f>IF(inventory__Data[[#This Row],[stock_on_hand]]&lt;=0,1,0)</f>
        <v>0</v>
      </c>
      <c r="I1351">
        <f>COUNTIFS(inventory__Data[product_id],inventory__Data[[#This Row],[product_id]],inventory__Data[stock_on_hand],"&lt;=0")</f>
        <v>29</v>
      </c>
    </row>
    <row r="1352" spans="1:9" x14ac:dyDescent="0.3">
      <c r="A1352" s="1">
        <v>45928</v>
      </c>
      <c r="B1352" t="s">
        <v>9</v>
      </c>
      <c r="C1352">
        <v>873</v>
      </c>
      <c r="D1352">
        <v>0.05</v>
      </c>
      <c r="E1352">
        <v>0</v>
      </c>
      <c r="F1352">
        <v>2</v>
      </c>
      <c r="G1352" t="b">
        <v>0</v>
      </c>
      <c r="H1352">
        <f>IF(inventory__Data[[#This Row],[stock_on_hand]]&lt;=0,1,0)</f>
        <v>0</v>
      </c>
      <c r="I1352">
        <f>COUNTIFS(inventory__Data[product_id],inventory__Data[[#This Row],[product_id]],inventory__Data[stock_on_hand],"&lt;=0")</f>
        <v>25</v>
      </c>
    </row>
    <row r="1353" spans="1:9" x14ac:dyDescent="0.3">
      <c r="A1353" s="1">
        <v>45928</v>
      </c>
      <c r="B1353" t="s">
        <v>12</v>
      </c>
      <c r="C1353">
        <v>449</v>
      </c>
      <c r="D1353">
        <v>0.02</v>
      </c>
      <c r="E1353">
        <v>0</v>
      </c>
      <c r="F1353">
        <v>2</v>
      </c>
      <c r="G1353" t="b">
        <v>0</v>
      </c>
      <c r="H1353">
        <f>IF(inventory__Data[[#This Row],[stock_on_hand]]&lt;=0,1,0)</f>
        <v>0</v>
      </c>
      <c r="I1353">
        <f>COUNTIFS(inventory__Data[product_id],inventory__Data[[#This Row],[product_id]],inventory__Data[stock_on_hand],"&lt;=0")</f>
        <v>23</v>
      </c>
    </row>
    <row r="1354" spans="1:9" x14ac:dyDescent="0.3">
      <c r="A1354" s="1">
        <v>45928</v>
      </c>
      <c r="B1354" t="s">
        <v>15</v>
      </c>
      <c r="C1354">
        <v>611</v>
      </c>
      <c r="D1354">
        <v>0.04</v>
      </c>
      <c r="E1354">
        <v>0</v>
      </c>
      <c r="F1354">
        <v>2</v>
      </c>
      <c r="G1354" t="b">
        <v>0</v>
      </c>
      <c r="H1354">
        <f>IF(inventory__Data[[#This Row],[stock_on_hand]]&lt;=0,1,0)</f>
        <v>0</v>
      </c>
      <c r="I1354">
        <f>COUNTIFS(inventory__Data[product_id],inventory__Data[[#This Row],[product_id]],inventory__Data[stock_on_hand],"&lt;=0")</f>
        <v>30</v>
      </c>
    </row>
    <row r="1355" spans="1:9" x14ac:dyDescent="0.3">
      <c r="A1355" s="1">
        <v>45928</v>
      </c>
      <c r="B1355" t="s">
        <v>18</v>
      </c>
      <c r="C1355">
        <v>792</v>
      </c>
      <c r="D1355">
        <v>0.15</v>
      </c>
      <c r="E1355">
        <v>0</v>
      </c>
      <c r="F1355">
        <v>2</v>
      </c>
      <c r="G1355" t="b">
        <v>0</v>
      </c>
      <c r="H1355">
        <f>IF(inventory__Data[[#This Row],[stock_on_hand]]&lt;=0,1,0)</f>
        <v>0</v>
      </c>
      <c r="I1355">
        <f>COUNTIFS(inventory__Data[product_id],inventory__Data[[#This Row],[product_id]],inventory__Data[stock_on_hand],"&lt;=0")</f>
        <v>30</v>
      </c>
    </row>
    <row r="1356" spans="1:9" x14ac:dyDescent="0.3">
      <c r="A1356" s="1">
        <v>45928</v>
      </c>
      <c r="B1356" t="s">
        <v>21</v>
      </c>
      <c r="C1356">
        <v>479</v>
      </c>
      <c r="D1356">
        <v>0.03</v>
      </c>
      <c r="E1356">
        <v>0</v>
      </c>
      <c r="F1356">
        <v>2</v>
      </c>
      <c r="G1356" t="b">
        <v>0</v>
      </c>
      <c r="H1356">
        <f>IF(inventory__Data[[#This Row],[stock_on_hand]]&lt;=0,1,0)</f>
        <v>0</v>
      </c>
      <c r="I1356">
        <f>COUNTIFS(inventory__Data[product_id],inventory__Data[[#This Row],[product_id]],inventory__Data[stock_on_hand],"&lt;=0")</f>
        <v>29</v>
      </c>
    </row>
    <row r="1357" spans="1:9" x14ac:dyDescent="0.3">
      <c r="A1357" s="1">
        <v>45929</v>
      </c>
      <c r="B1357" t="s">
        <v>9</v>
      </c>
      <c r="C1357">
        <v>246</v>
      </c>
      <c r="D1357">
        <v>0.05</v>
      </c>
      <c r="E1357">
        <v>0</v>
      </c>
      <c r="F1357">
        <v>2</v>
      </c>
      <c r="G1357" t="b">
        <v>0</v>
      </c>
      <c r="H1357">
        <f>IF(inventory__Data[[#This Row],[stock_on_hand]]&lt;=0,1,0)</f>
        <v>0</v>
      </c>
      <c r="I1357">
        <f>COUNTIFS(inventory__Data[product_id],inventory__Data[[#This Row],[product_id]],inventory__Data[stock_on_hand],"&lt;=0")</f>
        <v>25</v>
      </c>
    </row>
    <row r="1358" spans="1:9" x14ac:dyDescent="0.3">
      <c r="A1358" s="1">
        <v>45929</v>
      </c>
      <c r="B1358" t="s">
        <v>12</v>
      </c>
      <c r="C1358">
        <v>743</v>
      </c>
      <c r="D1358">
        <v>0.02</v>
      </c>
      <c r="E1358">
        <v>0</v>
      </c>
      <c r="F1358">
        <v>2</v>
      </c>
      <c r="G1358" t="b">
        <v>0</v>
      </c>
      <c r="H1358">
        <f>IF(inventory__Data[[#This Row],[stock_on_hand]]&lt;=0,1,0)</f>
        <v>0</v>
      </c>
      <c r="I1358">
        <f>COUNTIFS(inventory__Data[product_id],inventory__Data[[#This Row],[product_id]],inventory__Data[stock_on_hand],"&lt;=0")</f>
        <v>23</v>
      </c>
    </row>
    <row r="1359" spans="1:9" x14ac:dyDescent="0.3">
      <c r="A1359" s="1">
        <v>45929</v>
      </c>
      <c r="B1359" t="s">
        <v>15</v>
      </c>
      <c r="C1359">
        <v>429</v>
      </c>
      <c r="D1359">
        <v>0.04</v>
      </c>
      <c r="E1359">
        <v>0</v>
      </c>
      <c r="F1359">
        <v>5</v>
      </c>
      <c r="G1359" t="b">
        <v>0</v>
      </c>
      <c r="H1359">
        <f>IF(inventory__Data[[#This Row],[stock_on_hand]]&lt;=0,1,0)</f>
        <v>0</v>
      </c>
      <c r="I1359">
        <f>COUNTIFS(inventory__Data[product_id],inventory__Data[[#This Row],[product_id]],inventory__Data[stock_on_hand],"&lt;=0")</f>
        <v>30</v>
      </c>
    </row>
    <row r="1360" spans="1:9" x14ac:dyDescent="0.3">
      <c r="A1360" s="1">
        <v>45929</v>
      </c>
      <c r="B1360" t="s">
        <v>18</v>
      </c>
      <c r="C1360">
        <v>138</v>
      </c>
      <c r="D1360">
        <v>0.15</v>
      </c>
      <c r="E1360">
        <v>0</v>
      </c>
      <c r="F1360">
        <v>2</v>
      </c>
      <c r="G1360" t="b">
        <v>0</v>
      </c>
      <c r="H1360">
        <f>IF(inventory__Data[[#This Row],[stock_on_hand]]&lt;=0,1,0)</f>
        <v>0</v>
      </c>
      <c r="I1360">
        <f>COUNTIFS(inventory__Data[product_id],inventory__Data[[#This Row],[product_id]],inventory__Data[stock_on_hand],"&lt;=0")</f>
        <v>30</v>
      </c>
    </row>
    <row r="1361" spans="1:9" x14ac:dyDescent="0.3">
      <c r="A1361" s="1">
        <v>45929</v>
      </c>
      <c r="B1361" t="s">
        <v>21</v>
      </c>
      <c r="C1361">
        <v>400</v>
      </c>
      <c r="D1361">
        <v>0.03</v>
      </c>
      <c r="E1361">
        <v>0</v>
      </c>
      <c r="F1361">
        <v>2</v>
      </c>
      <c r="G1361" t="b">
        <v>0</v>
      </c>
      <c r="H1361">
        <f>IF(inventory__Data[[#This Row],[stock_on_hand]]&lt;=0,1,0)</f>
        <v>0</v>
      </c>
      <c r="I1361">
        <f>COUNTIFS(inventory__Data[product_id],inventory__Data[[#This Row],[product_id]],inventory__Data[stock_on_hand],"&lt;=0")</f>
        <v>29</v>
      </c>
    </row>
    <row r="1362" spans="1:9" x14ac:dyDescent="0.3">
      <c r="A1362" s="1">
        <v>45930</v>
      </c>
      <c r="B1362" t="s">
        <v>9</v>
      </c>
      <c r="C1362">
        <v>544</v>
      </c>
      <c r="D1362">
        <v>0.05</v>
      </c>
      <c r="E1362">
        <v>0</v>
      </c>
      <c r="F1362">
        <v>5</v>
      </c>
      <c r="G1362" t="b">
        <v>0</v>
      </c>
      <c r="H1362">
        <f>IF(inventory__Data[[#This Row],[stock_on_hand]]&lt;=0,1,0)</f>
        <v>0</v>
      </c>
      <c r="I1362">
        <f>COUNTIFS(inventory__Data[product_id],inventory__Data[[#This Row],[product_id]],inventory__Data[stock_on_hand],"&lt;=0")</f>
        <v>25</v>
      </c>
    </row>
    <row r="1363" spans="1:9" x14ac:dyDescent="0.3">
      <c r="A1363" s="1">
        <v>45930</v>
      </c>
      <c r="B1363" t="s">
        <v>12</v>
      </c>
      <c r="C1363">
        <v>219</v>
      </c>
      <c r="D1363">
        <v>0.02</v>
      </c>
      <c r="E1363">
        <v>0</v>
      </c>
      <c r="F1363">
        <v>5</v>
      </c>
      <c r="G1363" t="b">
        <v>0</v>
      </c>
      <c r="H1363">
        <f>IF(inventory__Data[[#This Row],[stock_on_hand]]&lt;=0,1,0)</f>
        <v>0</v>
      </c>
      <c r="I1363">
        <f>COUNTIFS(inventory__Data[product_id],inventory__Data[[#This Row],[product_id]],inventory__Data[stock_on_hand],"&lt;=0")</f>
        <v>23</v>
      </c>
    </row>
    <row r="1364" spans="1:9" x14ac:dyDescent="0.3">
      <c r="A1364" s="1">
        <v>45930</v>
      </c>
      <c r="B1364" t="s">
        <v>15</v>
      </c>
      <c r="C1364">
        <v>379</v>
      </c>
      <c r="D1364">
        <v>0.04</v>
      </c>
      <c r="E1364">
        <v>0</v>
      </c>
      <c r="F1364">
        <v>5</v>
      </c>
      <c r="G1364" t="b">
        <v>0</v>
      </c>
      <c r="H1364">
        <f>IF(inventory__Data[[#This Row],[stock_on_hand]]&lt;=0,1,0)</f>
        <v>0</v>
      </c>
      <c r="I1364">
        <f>COUNTIFS(inventory__Data[product_id],inventory__Data[[#This Row],[product_id]],inventory__Data[stock_on_hand],"&lt;=0")</f>
        <v>30</v>
      </c>
    </row>
    <row r="1365" spans="1:9" x14ac:dyDescent="0.3">
      <c r="A1365" s="1">
        <v>45930</v>
      </c>
      <c r="B1365" t="s">
        <v>18</v>
      </c>
      <c r="C1365">
        <v>524</v>
      </c>
      <c r="D1365">
        <v>0.15</v>
      </c>
      <c r="E1365">
        <v>0</v>
      </c>
      <c r="F1365">
        <v>5</v>
      </c>
      <c r="G1365" t="b">
        <v>0</v>
      </c>
      <c r="H1365">
        <f>IF(inventory__Data[[#This Row],[stock_on_hand]]&lt;=0,1,0)</f>
        <v>0</v>
      </c>
      <c r="I1365">
        <f>COUNTIFS(inventory__Data[product_id],inventory__Data[[#This Row],[product_id]],inventory__Data[stock_on_hand],"&lt;=0")</f>
        <v>30</v>
      </c>
    </row>
    <row r="1366" spans="1:9" x14ac:dyDescent="0.3">
      <c r="A1366" s="1">
        <v>45930</v>
      </c>
      <c r="B1366" t="s">
        <v>21</v>
      </c>
      <c r="C1366">
        <v>0</v>
      </c>
      <c r="D1366">
        <v>0.03</v>
      </c>
      <c r="E1366">
        <v>0</v>
      </c>
      <c r="F1366">
        <v>5</v>
      </c>
      <c r="G1366" t="b">
        <v>0</v>
      </c>
      <c r="H1366">
        <f>IF(inventory__Data[[#This Row],[stock_on_hand]]&lt;=0,1,0)</f>
        <v>1</v>
      </c>
      <c r="I1366">
        <f>COUNTIFS(inventory__Data[product_id],inventory__Data[[#This Row],[product_id]],inventory__Data[stock_on_hand],"&lt;=0")</f>
        <v>29</v>
      </c>
    </row>
    <row r="1367" spans="1:9" x14ac:dyDescent="0.3">
      <c r="A1367" s="1">
        <v>45931</v>
      </c>
      <c r="B1367" t="s">
        <v>9</v>
      </c>
      <c r="C1367">
        <v>27</v>
      </c>
      <c r="D1367">
        <v>0.05</v>
      </c>
      <c r="E1367">
        <v>0</v>
      </c>
      <c r="F1367">
        <v>2</v>
      </c>
      <c r="G1367" t="b">
        <v>0</v>
      </c>
      <c r="H1367">
        <f>IF(inventory__Data[[#This Row],[stock_on_hand]]&lt;=0,1,0)</f>
        <v>0</v>
      </c>
      <c r="I1367">
        <f>COUNTIFS(inventory__Data[product_id],inventory__Data[[#This Row],[product_id]],inventory__Data[stock_on_hand],"&lt;=0")</f>
        <v>25</v>
      </c>
    </row>
    <row r="1368" spans="1:9" x14ac:dyDescent="0.3">
      <c r="A1368" s="1">
        <v>45931</v>
      </c>
      <c r="B1368" t="s">
        <v>12</v>
      </c>
      <c r="C1368">
        <v>677</v>
      </c>
      <c r="D1368">
        <v>0.02</v>
      </c>
      <c r="E1368">
        <v>0</v>
      </c>
      <c r="F1368">
        <v>2</v>
      </c>
      <c r="G1368" t="b">
        <v>0</v>
      </c>
      <c r="H1368">
        <f>IF(inventory__Data[[#This Row],[stock_on_hand]]&lt;=0,1,0)</f>
        <v>0</v>
      </c>
      <c r="I1368">
        <f>COUNTIFS(inventory__Data[product_id],inventory__Data[[#This Row],[product_id]],inventory__Data[stock_on_hand],"&lt;=0")</f>
        <v>23</v>
      </c>
    </row>
    <row r="1369" spans="1:9" x14ac:dyDescent="0.3">
      <c r="A1369" s="1">
        <v>45931</v>
      </c>
      <c r="B1369" t="s">
        <v>15</v>
      </c>
      <c r="C1369">
        <v>651</v>
      </c>
      <c r="D1369">
        <v>0.04</v>
      </c>
      <c r="E1369">
        <v>0</v>
      </c>
      <c r="F1369">
        <v>2</v>
      </c>
      <c r="G1369" t="b">
        <v>0</v>
      </c>
      <c r="H1369">
        <f>IF(inventory__Data[[#This Row],[stock_on_hand]]&lt;=0,1,0)</f>
        <v>0</v>
      </c>
      <c r="I1369">
        <f>COUNTIFS(inventory__Data[product_id],inventory__Data[[#This Row],[product_id]],inventory__Data[stock_on_hand],"&lt;=0")</f>
        <v>30</v>
      </c>
    </row>
    <row r="1370" spans="1:9" x14ac:dyDescent="0.3">
      <c r="A1370" s="1">
        <v>45931</v>
      </c>
      <c r="B1370" t="s">
        <v>18</v>
      </c>
      <c r="C1370">
        <v>153</v>
      </c>
      <c r="D1370">
        <v>0.15</v>
      </c>
      <c r="E1370">
        <v>0</v>
      </c>
      <c r="F1370">
        <v>5</v>
      </c>
      <c r="G1370" t="b">
        <v>0</v>
      </c>
      <c r="H1370">
        <f>IF(inventory__Data[[#This Row],[stock_on_hand]]&lt;=0,1,0)</f>
        <v>0</v>
      </c>
      <c r="I1370">
        <f>COUNTIFS(inventory__Data[product_id],inventory__Data[[#This Row],[product_id]],inventory__Data[stock_on_hand],"&lt;=0")</f>
        <v>30</v>
      </c>
    </row>
    <row r="1371" spans="1:9" x14ac:dyDescent="0.3">
      <c r="A1371" s="1">
        <v>45931</v>
      </c>
      <c r="B1371" t="s">
        <v>21</v>
      </c>
      <c r="C1371">
        <v>327</v>
      </c>
      <c r="D1371">
        <v>0.03</v>
      </c>
      <c r="E1371">
        <v>0</v>
      </c>
      <c r="F1371">
        <v>2</v>
      </c>
      <c r="G1371" t="b">
        <v>0</v>
      </c>
      <c r="H1371">
        <f>IF(inventory__Data[[#This Row],[stock_on_hand]]&lt;=0,1,0)</f>
        <v>0</v>
      </c>
      <c r="I1371">
        <f>COUNTIFS(inventory__Data[product_id],inventory__Data[[#This Row],[product_id]],inventory__Data[stock_on_hand],"&lt;=0")</f>
        <v>29</v>
      </c>
    </row>
    <row r="1372" spans="1:9" x14ac:dyDescent="0.3">
      <c r="A1372" s="1">
        <v>45932</v>
      </c>
      <c r="B1372" t="s">
        <v>9</v>
      </c>
      <c r="C1372">
        <v>0</v>
      </c>
      <c r="D1372">
        <v>0.05</v>
      </c>
      <c r="E1372">
        <v>0</v>
      </c>
      <c r="F1372">
        <v>2</v>
      </c>
      <c r="G1372" t="b">
        <v>0</v>
      </c>
      <c r="H1372">
        <f>IF(inventory__Data[[#This Row],[stock_on_hand]]&lt;=0,1,0)</f>
        <v>1</v>
      </c>
      <c r="I1372">
        <f>COUNTIFS(inventory__Data[product_id],inventory__Data[[#This Row],[product_id]],inventory__Data[stock_on_hand],"&lt;=0")</f>
        <v>25</v>
      </c>
    </row>
    <row r="1373" spans="1:9" x14ac:dyDescent="0.3">
      <c r="A1373" s="1">
        <v>45932</v>
      </c>
      <c r="B1373" t="s">
        <v>12</v>
      </c>
      <c r="C1373">
        <v>393</v>
      </c>
      <c r="D1373">
        <v>0.02</v>
      </c>
      <c r="E1373">
        <v>0</v>
      </c>
      <c r="F1373">
        <v>5</v>
      </c>
      <c r="G1373" t="b">
        <v>0</v>
      </c>
      <c r="H1373">
        <f>IF(inventory__Data[[#This Row],[stock_on_hand]]&lt;=0,1,0)</f>
        <v>0</v>
      </c>
      <c r="I1373">
        <f>COUNTIFS(inventory__Data[product_id],inventory__Data[[#This Row],[product_id]],inventory__Data[stock_on_hand],"&lt;=0")</f>
        <v>23</v>
      </c>
    </row>
    <row r="1374" spans="1:9" x14ac:dyDescent="0.3">
      <c r="A1374" s="1">
        <v>45932</v>
      </c>
      <c r="B1374" t="s">
        <v>15</v>
      </c>
      <c r="C1374">
        <v>844</v>
      </c>
      <c r="D1374">
        <v>0.04</v>
      </c>
      <c r="E1374">
        <v>0</v>
      </c>
      <c r="F1374">
        <v>5</v>
      </c>
      <c r="G1374" t="b">
        <v>0</v>
      </c>
      <c r="H1374">
        <f>IF(inventory__Data[[#This Row],[stock_on_hand]]&lt;=0,1,0)</f>
        <v>0</v>
      </c>
      <c r="I1374">
        <f>COUNTIFS(inventory__Data[product_id],inventory__Data[[#This Row],[product_id]],inventory__Data[stock_on_hand],"&lt;=0")</f>
        <v>30</v>
      </c>
    </row>
    <row r="1375" spans="1:9" x14ac:dyDescent="0.3">
      <c r="A1375" s="1">
        <v>45932</v>
      </c>
      <c r="B1375" t="s">
        <v>18</v>
      </c>
      <c r="C1375">
        <v>821</v>
      </c>
      <c r="D1375">
        <v>0.15</v>
      </c>
      <c r="E1375">
        <v>0</v>
      </c>
      <c r="F1375">
        <v>5</v>
      </c>
      <c r="G1375" t="b">
        <v>0</v>
      </c>
      <c r="H1375">
        <f>IF(inventory__Data[[#This Row],[stock_on_hand]]&lt;=0,1,0)</f>
        <v>0</v>
      </c>
      <c r="I1375">
        <f>COUNTIFS(inventory__Data[product_id],inventory__Data[[#This Row],[product_id]],inventory__Data[stock_on_hand],"&lt;=0")</f>
        <v>30</v>
      </c>
    </row>
    <row r="1376" spans="1:9" x14ac:dyDescent="0.3">
      <c r="A1376" s="1">
        <v>45932</v>
      </c>
      <c r="B1376" t="s">
        <v>21</v>
      </c>
      <c r="C1376">
        <v>674</v>
      </c>
      <c r="D1376">
        <v>0.03</v>
      </c>
      <c r="E1376">
        <v>0</v>
      </c>
      <c r="F1376">
        <v>2</v>
      </c>
      <c r="G1376" t="b">
        <v>0</v>
      </c>
      <c r="H1376">
        <f>IF(inventory__Data[[#This Row],[stock_on_hand]]&lt;=0,1,0)</f>
        <v>0</v>
      </c>
      <c r="I1376">
        <f>COUNTIFS(inventory__Data[product_id],inventory__Data[[#This Row],[product_id]],inventory__Data[stock_on_hand],"&lt;=0")</f>
        <v>29</v>
      </c>
    </row>
    <row r="1377" spans="1:9" x14ac:dyDescent="0.3">
      <c r="A1377" s="1">
        <v>45933</v>
      </c>
      <c r="B1377" t="s">
        <v>9</v>
      </c>
      <c r="C1377">
        <v>189</v>
      </c>
      <c r="D1377">
        <v>0.05</v>
      </c>
      <c r="E1377">
        <v>0</v>
      </c>
      <c r="F1377">
        <v>10</v>
      </c>
      <c r="G1377" t="b">
        <v>0</v>
      </c>
      <c r="H1377">
        <f>IF(inventory__Data[[#This Row],[stock_on_hand]]&lt;=0,1,0)</f>
        <v>0</v>
      </c>
      <c r="I1377">
        <f>COUNTIFS(inventory__Data[product_id],inventory__Data[[#This Row],[product_id]],inventory__Data[stock_on_hand],"&lt;=0")</f>
        <v>25</v>
      </c>
    </row>
    <row r="1378" spans="1:9" x14ac:dyDescent="0.3">
      <c r="A1378" s="1">
        <v>45933</v>
      </c>
      <c r="B1378" t="s">
        <v>12</v>
      </c>
      <c r="C1378">
        <v>161</v>
      </c>
      <c r="D1378">
        <v>0.02</v>
      </c>
      <c r="E1378">
        <v>0</v>
      </c>
      <c r="F1378">
        <v>2</v>
      </c>
      <c r="G1378" t="b">
        <v>0</v>
      </c>
      <c r="H1378">
        <f>IF(inventory__Data[[#This Row],[stock_on_hand]]&lt;=0,1,0)</f>
        <v>0</v>
      </c>
      <c r="I1378">
        <f>COUNTIFS(inventory__Data[product_id],inventory__Data[[#This Row],[product_id]],inventory__Data[stock_on_hand],"&lt;=0")</f>
        <v>23</v>
      </c>
    </row>
    <row r="1379" spans="1:9" x14ac:dyDescent="0.3">
      <c r="A1379" s="1">
        <v>45933</v>
      </c>
      <c r="B1379" t="s">
        <v>15</v>
      </c>
      <c r="C1379">
        <v>35</v>
      </c>
      <c r="D1379">
        <v>0.04</v>
      </c>
      <c r="E1379">
        <v>0</v>
      </c>
      <c r="F1379">
        <v>2</v>
      </c>
      <c r="G1379" t="b">
        <v>0</v>
      </c>
      <c r="H1379">
        <f>IF(inventory__Data[[#This Row],[stock_on_hand]]&lt;=0,1,0)</f>
        <v>0</v>
      </c>
      <c r="I1379">
        <f>COUNTIFS(inventory__Data[product_id],inventory__Data[[#This Row],[product_id]],inventory__Data[stock_on_hand],"&lt;=0")</f>
        <v>30</v>
      </c>
    </row>
    <row r="1380" spans="1:9" x14ac:dyDescent="0.3">
      <c r="A1380" s="1">
        <v>45933</v>
      </c>
      <c r="B1380" t="s">
        <v>18</v>
      </c>
      <c r="C1380">
        <v>369</v>
      </c>
      <c r="D1380">
        <v>0.15</v>
      </c>
      <c r="E1380">
        <v>0</v>
      </c>
      <c r="F1380">
        <v>2</v>
      </c>
      <c r="G1380" t="b">
        <v>0</v>
      </c>
      <c r="H1380">
        <f>IF(inventory__Data[[#This Row],[stock_on_hand]]&lt;=0,1,0)</f>
        <v>0</v>
      </c>
      <c r="I1380">
        <f>COUNTIFS(inventory__Data[product_id],inventory__Data[[#This Row],[product_id]],inventory__Data[stock_on_hand],"&lt;=0")</f>
        <v>30</v>
      </c>
    </row>
    <row r="1381" spans="1:9" x14ac:dyDescent="0.3">
      <c r="A1381" s="1">
        <v>45933</v>
      </c>
      <c r="B1381" t="s">
        <v>21</v>
      </c>
      <c r="C1381">
        <v>467</v>
      </c>
      <c r="D1381">
        <v>0.03</v>
      </c>
      <c r="E1381">
        <v>0</v>
      </c>
      <c r="F1381">
        <v>5</v>
      </c>
      <c r="G1381" t="b">
        <v>0</v>
      </c>
      <c r="H1381">
        <f>IF(inventory__Data[[#This Row],[stock_on_hand]]&lt;=0,1,0)</f>
        <v>0</v>
      </c>
      <c r="I1381">
        <f>COUNTIFS(inventory__Data[product_id],inventory__Data[[#This Row],[product_id]],inventory__Data[stock_on_hand],"&lt;=0")</f>
        <v>29</v>
      </c>
    </row>
    <row r="1382" spans="1:9" x14ac:dyDescent="0.3">
      <c r="A1382" s="1">
        <v>45934</v>
      </c>
      <c r="B1382" t="s">
        <v>9</v>
      </c>
      <c r="C1382">
        <v>39</v>
      </c>
      <c r="D1382">
        <v>0.05</v>
      </c>
      <c r="E1382">
        <v>0</v>
      </c>
      <c r="F1382">
        <v>10</v>
      </c>
      <c r="G1382" t="b">
        <v>0</v>
      </c>
      <c r="H1382">
        <f>IF(inventory__Data[[#This Row],[stock_on_hand]]&lt;=0,1,0)</f>
        <v>0</v>
      </c>
      <c r="I1382">
        <f>COUNTIFS(inventory__Data[product_id],inventory__Data[[#This Row],[product_id]],inventory__Data[stock_on_hand],"&lt;=0")</f>
        <v>25</v>
      </c>
    </row>
    <row r="1383" spans="1:9" x14ac:dyDescent="0.3">
      <c r="A1383" s="1">
        <v>45934</v>
      </c>
      <c r="B1383" t="s">
        <v>12</v>
      </c>
      <c r="C1383">
        <v>830</v>
      </c>
      <c r="D1383">
        <v>0.02</v>
      </c>
      <c r="E1383">
        <v>0</v>
      </c>
      <c r="F1383">
        <v>2</v>
      </c>
      <c r="G1383" t="b">
        <v>0</v>
      </c>
      <c r="H1383">
        <f>IF(inventory__Data[[#This Row],[stock_on_hand]]&lt;=0,1,0)</f>
        <v>0</v>
      </c>
      <c r="I1383">
        <f>COUNTIFS(inventory__Data[product_id],inventory__Data[[#This Row],[product_id]],inventory__Data[stock_on_hand],"&lt;=0")</f>
        <v>23</v>
      </c>
    </row>
    <row r="1384" spans="1:9" x14ac:dyDescent="0.3">
      <c r="A1384" s="1">
        <v>45934</v>
      </c>
      <c r="B1384" t="s">
        <v>15</v>
      </c>
      <c r="C1384">
        <v>735</v>
      </c>
      <c r="D1384">
        <v>0.04</v>
      </c>
      <c r="E1384">
        <v>0</v>
      </c>
      <c r="F1384">
        <v>2</v>
      </c>
      <c r="G1384" t="b">
        <v>0</v>
      </c>
      <c r="H1384">
        <f>IF(inventory__Data[[#This Row],[stock_on_hand]]&lt;=0,1,0)</f>
        <v>0</v>
      </c>
      <c r="I1384">
        <f>COUNTIFS(inventory__Data[product_id],inventory__Data[[#This Row],[product_id]],inventory__Data[stock_on_hand],"&lt;=0")</f>
        <v>30</v>
      </c>
    </row>
    <row r="1385" spans="1:9" x14ac:dyDescent="0.3">
      <c r="A1385" s="1">
        <v>45934</v>
      </c>
      <c r="B1385" t="s">
        <v>18</v>
      </c>
      <c r="C1385">
        <v>608</v>
      </c>
      <c r="D1385">
        <v>0.15</v>
      </c>
      <c r="E1385">
        <v>0</v>
      </c>
      <c r="F1385">
        <v>2</v>
      </c>
      <c r="G1385" t="b">
        <v>0</v>
      </c>
      <c r="H1385">
        <f>IF(inventory__Data[[#This Row],[stock_on_hand]]&lt;=0,1,0)</f>
        <v>0</v>
      </c>
      <c r="I1385">
        <f>COUNTIFS(inventory__Data[product_id],inventory__Data[[#This Row],[product_id]],inventory__Data[stock_on_hand],"&lt;=0")</f>
        <v>30</v>
      </c>
    </row>
    <row r="1386" spans="1:9" x14ac:dyDescent="0.3">
      <c r="A1386" s="1">
        <v>45934</v>
      </c>
      <c r="B1386" t="s">
        <v>21</v>
      </c>
      <c r="C1386">
        <v>630</v>
      </c>
      <c r="D1386">
        <v>0.03</v>
      </c>
      <c r="E1386">
        <v>0</v>
      </c>
      <c r="F1386">
        <v>2</v>
      </c>
      <c r="G1386" t="b">
        <v>0</v>
      </c>
      <c r="H1386">
        <f>IF(inventory__Data[[#This Row],[stock_on_hand]]&lt;=0,1,0)</f>
        <v>0</v>
      </c>
      <c r="I1386">
        <f>COUNTIFS(inventory__Data[product_id],inventory__Data[[#This Row],[product_id]],inventory__Data[stock_on_hand],"&lt;=0")</f>
        <v>29</v>
      </c>
    </row>
    <row r="1387" spans="1:9" x14ac:dyDescent="0.3">
      <c r="A1387" s="1">
        <v>45935</v>
      </c>
      <c r="B1387" t="s">
        <v>9</v>
      </c>
      <c r="C1387">
        <v>92</v>
      </c>
      <c r="D1387">
        <v>0.05</v>
      </c>
      <c r="E1387">
        <v>0</v>
      </c>
      <c r="F1387">
        <v>2</v>
      </c>
      <c r="G1387" t="b">
        <v>0</v>
      </c>
      <c r="H1387">
        <f>IF(inventory__Data[[#This Row],[stock_on_hand]]&lt;=0,1,0)</f>
        <v>0</v>
      </c>
      <c r="I1387">
        <f>COUNTIFS(inventory__Data[product_id],inventory__Data[[#This Row],[product_id]],inventory__Data[stock_on_hand],"&lt;=0")</f>
        <v>25</v>
      </c>
    </row>
    <row r="1388" spans="1:9" x14ac:dyDescent="0.3">
      <c r="A1388" s="1">
        <v>45935</v>
      </c>
      <c r="B1388" t="s">
        <v>12</v>
      </c>
      <c r="C1388">
        <v>0</v>
      </c>
      <c r="D1388">
        <v>0.02</v>
      </c>
      <c r="E1388">
        <v>0</v>
      </c>
      <c r="F1388">
        <v>10</v>
      </c>
      <c r="G1388" t="b">
        <v>0</v>
      </c>
      <c r="H1388">
        <f>IF(inventory__Data[[#This Row],[stock_on_hand]]&lt;=0,1,0)</f>
        <v>1</v>
      </c>
      <c r="I1388">
        <f>COUNTIFS(inventory__Data[product_id],inventory__Data[[#This Row],[product_id]],inventory__Data[stock_on_hand],"&lt;=0")</f>
        <v>23</v>
      </c>
    </row>
    <row r="1389" spans="1:9" x14ac:dyDescent="0.3">
      <c r="A1389" s="1">
        <v>45935</v>
      </c>
      <c r="B1389" t="s">
        <v>15</v>
      </c>
      <c r="C1389">
        <v>882</v>
      </c>
      <c r="D1389">
        <v>0.04</v>
      </c>
      <c r="E1389">
        <v>0</v>
      </c>
      <c r="F1389">
        <v>2</v>
      </c>
      <c r="G1389" t="b">
        <v>0</v>
      </c>
      <c r="H1389">
        <f>IF(inventory__Data[[#This Row],[stock_on_hand]]&lt;=0,1,0)</f>
        <v>0</v>
      </c>
      <c r="I1389">
        <f>COUNTIFS(inventory__Data[product_id],inventory__Data[[#This Row],[product_id]],inventory__Data[stock_on_hand],"&lt;=0")</f>
        <v>30</v>
      </c>
    </row>
    <row r="1390" spans="1:9" x14ac:dyDescent="0.3">
      <c r="A1390" s="1">
        <v>45935</v>
      </c>
      <c r="B1390" t="s">
        <v>18</v>
      </c>
      <c r="C1390">
        <v>551</v>
      </c>
      <c r="D1390">
        <v>0.15</v>
      </c>
      <c r="E1390">
        <v>0</v>
      </c>
      <c r="F1390">
        <v>5</v>
      </c>
      <c r="G1390" t="b">
        <v>0</v>
      </c>
      <c r="H1390">
        <f>IF(inventory__Data[[#This Row],[stock_on_hand]]&lt;=0,1,0)</f>
        <v>0</v>
      </c>
      <c r="I1390">
        <f>COUNTIFS(inventory__Data[product_id],inventory__Data[[#This Row],[product_id]],inventory__Data[stock_on_hand],"&lt;=0")</f>
        <v>30</v>
      </c>
    </row>
    <row r="1391" spans="1:9" x14ac:dyDescent="0.3">
      <c r="A1391" s="1">
        <v>45935</v>
      </c>
      <c r="B1391" t="s">
        <v>21</v>
      </c>
      <c r="C1391">
        <v>695</v>
      </c>
      <c r="D1391">
        <v>0.03</v>
      </c>
      <c r="E1391">
        <v>0</v>
      </c>
      <c r="F1391">
        <v>2</v>
      </c>
      <c r="G1391" t="b">
        <v>0</v>
      </c>
      <c r="H1391">
        <f>IF(inventory__Data[[#This Row],[stock_on_hand]]&lt;=0,1,0)</f>
        <v>0</v>
      </c>
      <c r="I1391">
        <f>COUNTIFS(inventory__Data[product_id],inventory__Data[[#This Row],[product_id]],inventory__Data[stock_on_hand],"&lt;=0")</f>
        <v>29</v>
      </c>
    </row>
    <row r="1392" spans="1:9" x14ac:dyDescent="0.3">
      <c r="A1392" s="1">
        <v>45936</v>
      </c>
      <c r="B1392" t="s">
        <v>9</v>
      </c>
      <c r="C1392">
        <v>668</v>
      </c>
      <c r="D1392">
        <v>0.05</v>
      </c>
      <c r="E1392">
        <v>0</v>
      </c>
      <c r="F1392">
        <v>2</v>
      </c>
      <c r="G1392" t="b">
        <v>0</v>
      </c>
      <c r="H1392">
        <f>IF(inventory__Data[[#This Row],[stock_on_hand]]&lt;=0,1,0)</f>
        <v>0</v>
      </c>
      <c r="I1392">
        <f>COUNTIFS(inventory__Data[product_id],inventory__Data[[#This Row],[product_id]],inventory__Data[stock_on_hand],"&lt;=0")</f>
        <v>25</v>
      </c>
    </row>
    <row r="1393" spans="1:9" x14ac:dyDescent="0.3">
      <c r="A1393" s="1">
        <v>45936</v>
      </c>
      <c r="B1393" t="s">
        <v>12</v>
      </c>
      <c r="C1393">
        <v>589</v>
      </c>
      <c r="D1393">
        <v>0.02</v>
      </c>
      <c r="E1393">
        <v>0</v>
      </c>
      <c r="F1393">
        <v>2</v>
      </c>
      <c r="G1393" t="b">
        <v>0</v>
      </c>
      <c r="H1393">
        <f>IF(inventory__Data[[#This Row],[stock_on_hand]]&lt;=0,1,0)</f>
        <v>0</v>
      </c>
      <c r="I1393">
        <f>COUNTIFS(inventory__Data[product_id],inventory__Data[[#This Row],[product_id]],inventory__Data[stock_on_hand],"&lt;=0")</f>
        <v>23</v>
      </c>
    </row>
    <row r="1394" spans="1:9" x14ac:dyDescent="0.3">
      <c r="A1394" s="1">
        <v>45936</v>
      </c>
      <c r="B1394" t="s">
        <v>15</v>
      </c>
      <c r="C1394">
        <v>708</v>
      </c>
      <c r="D1394">
        <v>0.04</v>
      </c>
      <c r="E1394">
        <v>0</v>
      </c>
      <c r="F1394">
        <v>5</v>
      </c>
      <c r="G1394" t="b">
        <v>0</v>
      </c>
      <c r="H1394">
        <f>IF(inventory__Data[[#This Row],[stock_on_hand]]&lt;=0,1,0)</f>
        <v>0</v>
      </c>
      <c r="I1394">
        <f>COUNTIFS(inventory__Data[product_id],inventory__Data[[#This Row],[product_id]],inventory__Data[stock_on_hand],"&lt;=0")</f>
        <v>30</v>
      </c>
    </row>
    <row r="1395" spans="1:9" x14ac:dyDescent="0.3">
      <c r="A1395" s="1">
        <v>45936</v>
      </c>
      <c r="B1395" t="s">
        <v>18</v>
      </c>
      <c r="C1395">
        <v>140</v>
      </c>
      <c r="D1395">
        <v>0.15</v>
      </c>
      <c r="E1395">
        <v>0</v>
      </c>
      <c r="F1395">
        <v>2</v>
      </c>
      <c r="G1395" t="b">
        <v>0</v>
      </c>
      <c r="H1395">
        <f>IF(inventory__Data[[#This Row],[stock_on_hand]]&lt;=0,1,0)</f>
        <v>0</v>
      </c>
      <c r="I1395">
        <f>COUNTIFS(inventory__Data[product_id],inventory__Data[[#This Row],[product_id]],inventory__Data[stock_on_hand],"&lt;=0")</f>
        <v>30</v>
      </c>
    </row>
    <row r="1396" spans="1:9" x14ac:dyDescent="0.3">
      <c r="A1396" s="1">
        <v>45936</v>
      </c>
      <c r="B1396" t="s">
        <v>21</v>
      </c>
      <c r="C1396">
        <v>677</v>
      </c>
      <c r="D1396">
        <v>0.03</v>
      </c>
      <c r="E1396">
        <v>0</v>
      </c>
      <c r="F1396">
        <v>2</v>
      </c>
      <c r="G1396" t="b">
        <v>0</v>
      </c>
      <c r="H1396">
        <f>IF(inventory__Data[[#This Row],[stock_on_hand]]&lt;=0,1,0)</f>
        <v>0</v>
      </c>
      <c r="I1396">
        <f>COUNTIFS(inventory__Data[product_id],inventory__Data[[#This Row],[product_id]],inventory__Data[stock_on_hand],"&lt;=0")</f>
        <v>29</v>
      </c>
    </row>
    <row r="1397" spans="1:9" x14ac:dyDescent="0.3">
      <c r="A1397" s="1">
        <v>45937</v>
      </c>
      <c r="B1397" t="s">
        <v>9</v>
      </c>
      <c r="C1397">
        <v>731</v>
      </c>
      <c r="D1397">
        <v>0.05</v>
      </c>
      <c r="E1397">
        <v>0</v>
      </c>
      <c r="F1397">
        <v>15</v>
      </c>
      <c r="G1397" t="b">
        <v>0</v>
      </c>
      <c r="H1397">
        <f>IF(inventory__Data[[#This Row],[stock_on_hand]]&lt;=0,1,0)</f>
        <v>0</v>
      </c>
      <c r="I1397">
        <f>COUNTIFS(inventory__Data[product_id],inventory__Data[[#This Row],[product_id]],inventory__Data[stock_on_hand],"&lt;=0")</f>
        <v>25</v>
      </c>
    </row>
    <row r="1398" spans="1:9" x14ac:dyDescent="0.3">
      <c r="A1398" s="1">
        <v>45937</v>
      </c>
      <c r="B1398" t="s">
        <v>12</v>
      </c>
      <c r="C1398">
        <v>37</v>
      </c>
      <c r="D1398">
        <v>0.02</v>
      </c>
      <c r="E1398">
        <v>0</v>
      </c>
      <c r="F1398">
        <v>5</v>
      </c>
      <c r="G1398" t="b">
        <v>0</v>
      </c>
      <c r="H1398">
        <f>IF(inventory__Data[[#This Row],[stock_on_hand]]&lt;=0,1,0)</f>
        <v>0</v>
      </c>
      <c r="I1398">
        <f>COUNTIFS(inventory__Data[product_id],inventory__Data[[#This Row],[product_id]],inventory__Data[stock_on_hand],"&lt;=0")</f>
        <v>23</v>
      </c>
    </row>
    <row r="1399" spans="1:9" x14ac:dyDescent="0.3">
      <c r="A1399" s="1">
        <v>45937</v>
      </c>
      <c r="B1399" t="s">
        <v>15</v>
      </c>
      <c r="C1399">
        <v>319</v>
      </c>
      <c r="D1399">
        <v>0.04</v>
      </c>
      <c r="E1399">
        <v>0</v>
      </c>
      <c r="F1399">
        <v>2</v>
      </c>
      <c r="G1399" t="b">
        <v>0</v>
      </c>
      <c r="H1399">
        <f>IF(inventory__Data[[#This Row],[stock_on_hand]]&lt;=0,1,0)</f>
        <v>0</v>
      </c>
      <c r="I1399">
        <f>COUNTIFS(inventory__Data[product_id],inventory__Data[[#This Row],[product_id]],inventory__Data[stock_on_hand],"&lt;=0")</f>
        <v>30</v>
      </c>
    </row>
    <row r="1400" spans="1:9" x14ac:dyDescent="0.3">
      <c r="A1400" s="1">
        <v>45937</v>
      </c>
      <c r="B1400" t="s">
        <v>18</v>
      </c>
      <c r="C1400">
        <v>0</v>
      </c>
      <c r="D1400">
        <v>0.15</v>
      </c>
      <c r="E1400">
        <v>0</v>
      </c>
      <c r="F1400">
        <v>5</v>
      </c>
      <c r="G1400" t="b">
        <v>0</v>
      </c>
      <c r="H1400">
        <f>IF(inventory__Data[[#This Row],[stock_on_hand]]&lt;=0,1,0)</f>
        <v>1</v>
      </c>
      <c r="I1400">
        <f>COUNTIFS(inventory__Data[product_id],inventory__Data[[#This Row],[product_id]],inventory__Data[stock_on_hand],"&lt;=0")</f>
        <v>30</v>
      </c>
    </row>
    <row r="1401" spans="1:9" x14ac:dyDescent="0.3">
      <c r="A1401" s="1">
        <v>45937</v>
      </c>
      <c r="B1401" t="s">
        <v>21</v>
      </c>
      <c r="C1401">
        <v>244</v>
      </c>
      <c r="D1401">
        <v>0.03</v>
      </c>
      <c r="E1401">
        <v>0</v>
      </c>
      <c r="F1401">
        <v>2</v>
      </c>
      <c r="G1401" t="b">
        <v>0</v>
      </c>
      <c r="H1401">
        <f>IF(inventory__Data[[#This Row],[stock_on_hand]]&lt;=0,1,0)</f>
        <v>0</v>
      </c>
      <c r="I1401">
        <f>COUNTIFS(inventory__Data[product_id],inventory__Data[[#This Row],[product_id]],inventory__Data[stock_on_hand],"&lt;=0")</f>
        <v>29</v>
      </c>
    </row>
    <row r="1402" spans="1:9" x14ac:dyDescent="0.3">
      <c r="A1402" s="1">
        <v>45938</v>
      </c>
      <c r="B1402" t="s">
        <v>9</v>
      </c>
      <c r="C1402">
        <v>163</v>
      </c>
      <c r="D1402">
        <v>0.05</v>
      </c>
      <c r="E1402">
        <v>0</v>
      </c>
      <c r="F1402">
        <v>2</v>
      </c>
      <c r="G1402" t="b">
        <v>0</v>
      </c>
      <c r="H1402">
        <f>IF(inventory__Data[[#This Row],[stock_on_hand]]&lt;=0,1,0)</f>
        <v>0</v>
      </c>
      <c r="I1402">
        <f>COUNTIFS(inventory__Data[product_id],inventory__Data[[#This Row],[product_id]],inventory__Data[stock_on_hand],"&lt;=0")</f>
        <v>25</v>
      </c>
    </row>
    <row r="1403" spans="1:9" x14ac:dyDescent="0.3">
      <c r="A1403" s="1">
        <v>45938</v>
      </c>
      <c r="B1403" t="s">
        <v>12</v>
      </c>
      <c r="C1403">
        <v>525</v>
      </c>
      <c r="D1403">
        <v>0.02</v>
      </c>
      <c r="E1403">
        <v>0</v>
      </c>
      <c r="F1403">
        <v>2</v>
      </c>
      <c r="G1403" t="b">
        <v>0</v>
      </c>
      <c r="H1403">
        <f>IF(inventory__Data[[#This Row],[stock_on_hand]]&lt;=0,1,0)</f>
        <v>0</v>
      </c>
      <c r="I1403">
        <f>COUNTIFS(inventory__Data[product_id],inventory__Data[[#This Row],[product_id]],inventory__Data[stock_on_hand],"&lt;=0")</f>
        <v>23</v>
      </c>
    </row>
    <row r="1404" spans="1:9" x14ac:dyDescent="0.3">
      <c r="A1404" s="1">
        <v>45938</v>
      </c>
      <c r="B1404" t="s">
        <v>15</v>
      </c>
      <c r="C1404">
        <v>112</v>
      </c>
      <c r="D1404">
        <v>0.04</v>
      </c>
      <c r="E1404">
        <v>0</v>
      </c>
      <c r="F1404">
        <v>5</v>
      </c>
      <c r="G1404" t="b">
        <v>0</v>
      </c>
      <c r="H1404">
        <f>IF(inventory__Data[[#This Row],[stock_on_hand]]&lt;=0,1,0)</f>
        <v>0</v>
      </c>
      <c r="I1404">
        <f>COUNTIFS(inventory__Data[product_id],inventory__Data[[#This Row],[product_id]],inventory__Data[stock_on_hand],"&lt;=0")</f>
        <v>30</v>
      </c>
    </row>
    <row r="1405" spans="1:9" x14ac:dyDescent="0.3">
      <c r="A1405" s="1">
        <v>45938</v>
      </c>
      <c r="B1405" t="s">
        <v>18</v>
      </c>
      <c r="C1405">
        <v>365</v>
      </c>
      <c r="D1405">
        <v>0.15</v>
      </c>
      <c r="E1405">
        <v>0</v>
      </c>
      <c r="F1405">
        <v>2</v>
      </c>
      <c r="G1405" t="b">
        <v>0</v>
      </c>
      <c r="H1405">
        <f>IF(inventory__Data[[#This Row],[stock_on_hand]]&lt;=0,1,0)</f>
        <v>0</v>
      </c>
      <c r="I1405">
        <f>COUNTIFS(inventory__Data[product_id],inventory__Data[[#This Row],[product_id]],inventory__Data[stock_on_hand],"&lt;=0")</f>
        <v>30</v>
      </c>
    </row>
    <row r="1406" spans="1:9" x14ac:dyDescent="0.3">
      <c r="A1406" s="1">
        <v>45938</v>
      </c>
      <c r="B1406" t="s">
        <v>21</v>
      </c>
      <c r="C1406">
        <v>417</v>
      </c>
      <c r="D1406">
        <v>0.03</v>
      </c>
      <c r="E1406">
        <v>0</v>
      </c>
      <c r="F1406">
        <v>2</v>
      </c>
      <c r="G1406" t="b">
        <v>0</v>
      </c>
      <c r="H1406">
        <f>IF(inventory__Data[[#This Row],[stock_on_hand]]&lt;=0,1,0)</f>
        <v>0</v>
      </c>
      <c r="I1406">
        <f>COUNTIFS(inventory__Data[product_id],inventory__Data[[#This Row],[product_id]],inventory__Data[stock_on_hand],"&lt;=0")</f>
        <v>29</v>
      </c>
    </row>
    <row r="1407" spans="1:9" x14ac:dyDescent="0.3">
      <c r="A1407" s="1">
        <v>45939</v>
      </c>
      <c r="B1407" t="s">
        <v>9</v>
      </c>
      <c r="C1407">
        <v>647</v>
      </c>
      <c r="D1407">
        <v>0.05</v>
      </c>
      <c r="E1407">
        <v>0</v>
      </c>
      <c r="F1407">
        <v>2</v>
      </c>
      <c r="G1407" t="b">
        <v>0</v>
      </c>
      <c r="H1407">
        <f>IF(inventory__Data[[#This Row],[stock_on_hand]]&lt;=0,1,0)</f>
        <v>0</v>
      </c>
      <c r="I1407">
        <f>COUNTIFS(inventory__Data[product_id],inventory__Data[[#This Row],[product_id]],inventory__Data[stock_on_hand],"&lt;=0")</f>
        <v>25</v>
      </c>
    </row>
    <row r="1408" spans="1:9" x14ac:dyDescent="0.3">
      <c r="A1408" s="1">
        <v>45939</v>
      </c>
      <c r="B1408" t="s">
        <v>12</v>
      </c>
      <c r="C1408">
        <v>66</v>
      </c>
      <c r="D1408">
        <v>0.02</v>
      </c>
      <c r="E1408">
        <v>0</v>
      </c>
      <c r="F1408">
        <v>2</v>
      </c>
      <c r="G1408" t="b">
        <v>0</v>
      </c>
      <c r="H1408">
        <f>IF(inventory__Data[[#This Row],[stock_on_hand]]&lt;=0,1,0)</f>
        <v>0</v>
      </c>
      <c r="I1408">
        <f>COUNTIFS(inventory__Data[product_id],inventory__Data[[#This Row],[product_id]],inventory__Data[stock_on_hand],"&lt;=0")</f>
        <v>23</v>
      </c>
    </row>
    <row r="1409" spans="1:9" x14ac:dyDescent="0.3">
      <c r="A1409" s="1">
        <v>45939</v>
      </c>
      <c r="B1409" t="s">
        <v>15</v>
      </c>
      <c r="C1409">
        <v>142</v>
      </c>
      <c r="D1409">
        <v>0.04</v>
      </c>
      <c r="E1409">
        <v>0</v>
      </c>
      <c r="F1409">
        <v>2</v>
      </c>
      <c r="G1409" t="b">
        <v>0</v>
      </c>
      <c r="H1409">
        <f>IF(inventory__Data[[#This Row],[stock_on_hand]]&lt;=0,1,0)</f>
        <v>0</v>
      </c>
      <c r="I1409">
        <f>COUNTIFS(inventory__Data[product_id],inventory__Data[[#This Row],[product_id]],inventory__Data[stock_on_hand],"&lt;=0")</f>
        <v>30</v>
      </c>
    </row>
    <row r="1410" spans="1:9" x14ac:dyDescent="0.3">
      <c r="A1410" s="1">
        <v>45939</v>
      </c>
      <c r="B1410" t="s">
        <v>18</v>
      </c>
      <c r="C1410">
        <v>640</v>
      </c>
      <c r="D1410">
        <v>0.15</v>
      </c>
      <c r="E1410">
        <v>0</v>
      </c>
      <c r="F1410">
        <v>2</v>
      </c>
      <c r="G1410" t="b">
        <v>0</v>
      </c>
      <c r="H1410">
        <f>IF(inventory__Data[[#This Row],[stock_on_hand]]&lt;=0,1,0)</f>
        <v>0</v>
      </c>
      <c r="I1410">
        <f>COUNTIFS(inventory__Data[product_id],inventory__Data[[#This Row],[product_id]],inventory__Data[stock_on_hand],"&lt;=0")</f>
        <v>30</v>
      </c>
    </row>
    <row r="1411" spans="1:9" x14ac:dyDescent="0.3">
      <c r="A1411" s="1">
        <v>45939</v>
      </c>
      <c r="B1411" t="s">
        <v>21</v>
      </c>
      <c r="C1411">
        <v>235</v>
      </c>
      <c r="D1411">
        <v>0.03</v>
      </c>
      <c r="E1411">
        <v>0</v>
      </c>
      <c r="F1411">
        <v>2</v>
      </c>
      <c r="G1411" t="b">
        <v>0</v>
      </c>
      <c r="H1411">
        <f>IF(inventory__Data[[#This Row],[stock_on_hand]]&lt;=0,1,0)</f>
        <v>0</v>
      </c>
      <c r="I1411">
        <f>COUNTIFS(inventory__Data[product_id],inventory__Data[[#This Row],[product_id]],inventory__Data[stock_on_hand],"&lt;=0")</f>
        <v>29</v>
      </c>
    </row>
    <row r="1412" spans="1:9" x14ac:dyDescent="0.3">
      <c r="A1412" s="1">
        <v>45940</v>
      </c>
      <c r="B1412" t="s">
        <v>9</v>
      </c>
      <c r="C1412">
        <v>277</v>
      </c>
      <c r="D1412">
        <v>0.05</v>
      </c>
      <c r="E1412">
        <v>0</v>
      </c>
      <c r="F1412">
        <v>2</v>
      </c>
      <c r="G1412" t="b">
        <v>0</v>
      </c>
      <c r="H1412">
        <f>IF(inventory__Data[[#This Row],[stock_on_hand]]&lt;=0,1,0)</f>
        <v>0</v>
      </c>
      <c r="I1412">
        <f>COUNTIFS(inventory__Data[product_id],inventory__Data[[#This Row],[product_id]],inventory__Data[stock_on_hand],"&lt;=0")</f>
        <v>25</v>
      </c>
    </row>
    <row r="1413" spans="1:9" x14ac:dyDescent="0.3">
      <c r="A1413" s="1">
        <v>45940</v>
      </c>
      <c r="B1413" t="s">
        <v>12</v>
      </c>
      <c r="C1413">
        <v>611</v>
      </c>
      <c r="D1413">
        <v>0.02</v>
      </c>
      <c r="E1413">
        <v>0</v>
      </c>
      <c r="F1413">
        <v>5</v>
      </c>
      <c r="G1413" t="b">
        <v>0</v>
      </c>
      <c r="H1413">
        <f>IF(inventory__Data[[#This Row],[stock_on_hand]]&lt;=0,1,0)</f>
        <v>0</v>
      </c>
      <c r="I1413">
        <f>COUNTIFS(inventory__Data[product_id],inventory__Data[[#This Row],[product_id]],inventory__Data[stock_on_hand],"&lt;=0")</f>
        <v>23</v>
      </c>
    </row>
    <row r="1414" spans="1:9" x14ac:dyDescent="0.3">
      <c r="A1414" s="1">
        <v>45940</v>
      </c>
      <c r="B1414" t="s">
        <v>15</v>
      </c>
      <c r="C1414">
        <v>553</v>
      </c>
      <c r="D1414">
        <v>0.04</v>
      </c>
      <c r="E1414">
        <v>0</v>
      </c>
      <c r="F1414">
        <v>2</v>
      </c>
      <c r="G1414" t="b">
        <v>0</v>
      </c>
      <c r="H1414">
        <f>IF(inventory__Data[[#This Row],[stock_on_hand]]&lt;=0,1,0)</f>
        <v>0</v>
      </c>
      <c r="I1414">
        <f>COUNTIFS(inventory__Data[product_id],inventory__Data[[#This Row],[product_id]],inventory__Data[stock_on_hand],"&lt;=0")</f>
        <v>30</v>
      </c>
    </row>
    <row r="1415" spans="1:9" x14ac:dyDescent="0.3">
      <c r="A1415" s="1">
        <v>45940</v>
      </c>
      <c r="B1415" t="s">
        <v>18</v>
      </c>
      <c r="C1415">
        <v>697</v>
      </c>
      <c r="D1415">
        <v>0.15</v>
      </c>
      <c r="E1415">
        <v>0</v>
      </c>
      <c r="F1415">
        <v>5</v>
      </c>
      <c r="G1415" t="b">
        <v>0</v>
      </c>
      <c r="H1415">
        <f>IF(inventory__Data[[#This Row],[stock_on_hand]]&lt;=0,1,0)</f>
        <v>0</v>
      </c>
      <c r="I1415">
        <f>COUNTIFS(inventory__Data[product_id],inventory__Data[[#This Row],[product_id]],inventory__Data[stock_on_hand],"&lt;=0")</f>
        <v>30</v>
      </c>
    </row>
    <row r="1416" spans="1:9" x14ac:dyDescent="0.3">
      <c r="A1416" s="1">
        <v>45940</v>
      </c>
      <c r="B1416" t="s">
        <v>21</v>
      </c>
      <c r="C1416">
        <v>0</v>
      </c>
      <c r="D1416">
        <v>0.03</v>
      </c>
      <c r="E1416">
        <v>0</v>
      </c>
      <c r="F1416">
        <v>2</v>
      </c>
      <c r="G1416" t="b">
        <v>0</v>
      </c>
      <c r="H1416">
        <f>IF(inventory__Data[[#This Row],[stock_on_hand]]&lt;=0,1,0)</f>
        <v>1</v>
      </c>
      <c r="I1416">
        <f>COUNTIFS(inventory__Data[product_id],inventory__Data[[#This Row],[product_id]],inventory__Data[stock_on_hand],"&lt;=0")</f>
        <v>29</v>
      </c>
    </row>
    <row r="1417" spans="1:9" x14ac:dyDescent="0.3">
      <c r="A1417" s="1">
        <v>45941</v>
      </c>
      <c r="B1417" t="s">
        <v>9</v>
      </c>
      <c r="C1417">
        <v>767</v>
      </c>
      <c r="D1417">
        <v>0.05</v>
      </c>
      <c r="E1417">
        <v>0</v>
      </c>
      <c r="F1417">
        <v>2</v>
      </c>
      <c r="G1417" t="b">
        <v>0</v>
      </c>
      <c r="H1417">
        <f>IF(inventory__Data[[#This Row],[stock_on_hand]]&lt;=0,1,0)</f>
        <v>0</v>
      </c>
      <c r="I1417">
        <f>COUNTIFS(inventory__Data[product_id],inventory__Data[[#This Row],[product_id]],inventory__Data[stock_on_hand],"&lt;=0")</f>
        <v>25</v>
      </c>
    </row>
    <row r="1418" spans="1:9" x14ac:dyDescent="0.3">
      <c r="A1418" s="1">
        <v>45941</v>
      </c>
      <c r="B1418" t="s">
        <v>12</v>
      </c>
      <c r="C1418">
        <v>692</v>
      </c>
      <c r="D1418">
        <v>0.02</v>
      </c>
      <c r="E1418">
        <v>0</v>
      </c>
      <c r="F1418">
        <v>5</v>
      </c>
      <c r="G1418" t="b">
        <v>0</v>
      </c>
      <c r="H1418">
        <f>IF(inventory__Data[[#This Row],[stock_on_hand]]&lt;=0,1,0)</f>
        <v>0</v>
      </c>
      <c r="I1418">
        <f>COUNTIFS(inventory__Data[product_id],inventory__Data[[#This Row],[product_id]],inventory__Data[stock_on_hand],"&lt;=0")</f>
        <v>23</v>
      </c>
    </row>
    <row r="1419" spans="1:9" x14ac:dyDescent="0.3">
      <c r="A1419" s="1">
        <v>45941</v>
      </c>
      <c r="B1419" t="s">
        <v>15</v>
      </c>
      <c r="C1419">
        <v>858</v>
      </c>
      <c r="D1419">
        <v>0.04</v>
      </c>
      <c r="E1419">
        <v>0</v>
      </c>
      <c r="F1419">
        <v>15</v>
      </c>
      <c r="G1419" t="b">
        <v>0</v>
      </c>
      <c r="H1419">
        <f>IF(inventory__Data[[#This Row],[stock_on_hand]]&lt;=0,1,0)</f>
        <v>0</v>
      </c>
      <c r="I1419">
        <f>COUNTIFS(inventory__Data[product_id],inventory__Data[[#This Row],[product_id]],inventory__Data[stock_on_hand],"&lt;=0")</f>
        <v>30</v>
      </c>
    </row>
    <row r="1420" spans="1:9" x14ac:dyDescent="0.3">
      <c r="A1420" s="1">
        <v>45941</v>
      </c>
      <c r="B1420" t="s">
        <v>18</v>
      </c>
      <c r="C1420">
        <v>587</v>
      </c>
      <c r="D1420">
        <v>0.15</v>
      </c>
      <c r="E1420">
        <v>0</v>
      </c>
      <c r="F1420">
        <v>2</v>
      </c>
      <c r="G1420" t="b">
        <v>0</v>
      </c>
      <c r="H1420">
        <f>IF(inventory__Data[[#This Row],[stock_on_hand]]&lt;=0,1,0)</f>
        <v>0</v>
      </c>
      <c r="I1420">
        <f>COUNTIFS(inventory__Data[product_id],inventory__Data[[#This Row],[product_id]],inventory__Data[stock_on_hand],"&lt;=0")</f>
        <v>30</v>
      </c>
    </row>
    <row r="1421" spans="1:9" x14ac:dyDescent="0.3">
      <c r="A1421" s="1">
        <v>45941</v>
      </c>
      <c r="B1421" t="s">
        <v>21</v>
      </c>
      <c r="C1421">
        <v>650</v>
      </c>
      <c r="D1421">
        <v>0.03</v>
      </c>
      <c r="E1421">
        <v>0</v>
      </c>
      <c r="F1421">
        <v>2</v>
      </c>
      <c r="G1421" t="b">
        <v>0</v>
      </c>
      <c r="H1421">
        <f>IF(inventory__Data[[#This Row],[stock_on_hand]]&lt;=0,1,0)</f>
        <v>0</v>
      </c>
      <c r="I1421">
        <f>COUNTIFS(inventory__Data[product_id],inventory__Data[[#This Row],[product_id]],inventory__Data[stock_on_hand],"&lt;=0")</f>
        <v>29</v>
      </c>
    </row>
    <row r="1422" spans="1:9" x14ac:dyDescent="0.3">
      <c r="A1422" s="1">
        <v>45942</v>
      </c>
      <c r="B1422" t="s">
        <v>9</v>
      </c>
      <c r="C1422">
        <v>202</v>
      </c>
      <c r="D1422">
        <v>0.05</v>
      </c>
      <c r="E1422">
        <v>0</v>
      </c>
      <c r="F1422">
        <v>2</v>
      </c>
      <c r="G1422" t="b">
        <v>0</v>
      </c>
      <c r="H1422">
        <f>IF(inventory__Data[[#This Row],[stock_on_hand]]&lt;=0,1,0)</f>
        <v>0</v>
      </c>
      <c r="I1422">
        <f>COUNTIFS(inventory__Data[product_id],inventory__Data[[#This Row],[product_id]],inventory__Data[stock_on_hand],"&lt;=0")</f>
        <v>25</v>
      </c>
    </row>
    <row r="1423" spans="1:9" x14ac:dyDescent="0.3">
      <c r="A1423" s="1">
        <v>45942</v>
      </c>
      <c r="B1423" t="s">
        <v>12</v>
      </c>
      <c r="C1423">
        <v>361</v>
      </c>
      <c r="D1423">
        <v>0.02</v>
      </c>
      <c r="E1423">
        <v>0</v>
      </c>
      <c r="F1423">
        <v>2</v>
      </c>
      <c r="G1423" t="b">
        <v>0</v>
      </c>
      <c r="H1423">
        <f>IF(inventory__Data[[#This Row],[stock_on_hand]]&lt;=0,1,0)</f>
        <v>0</v>
      </c>
      <c r="I1423">
        <f>COUNTIFS(inventory__Data[product_id],inventory__Data[[#This Row],[product_id]],inventory__Data[stock_on_hand],"&lt;=0")</f>
        <v>23</v>
      </c>
    </row>
    <row r="1424" spans="1:9" x14ac:dyDescent="0.3">
      <c r="A1424" s="1">
        <v>45942</v>
      </c>
      <c r="B1424" t="s">
        <v>15</v>
      </c>
      <c r="C1424">
        <v>135</v>
      </c>
      <c r="D1424">
        <v>0.04</v>
      </c>
      <c r="E1424">
        <v>0</v>
      </c>
      <c r="F1424">
        <v>2</v>
      </c>
      <c r="G1424" t="b">
        <v>0</v>
      </c>
      <c r="H1424">
        <f>IF(inventory__Data[[#This Row],[stock_on_hand]]&lt;=0,1,0)</f>
        <v>0</v>
      </c>
      <c r="I1424">
        <f>COUNTIFS(inventory__Data[product_id],inventory__Data[[#This Row],[product_id]],inventory__Data[stock_on_hand],"&lt;=0")</f>
        <v>30</v>
      </c>
    </row>
    <row r="1425" spans="1:9" x14ac:dyDescent="0.3">
      <c r="A1425" s="1">
        <v>45942</v>
      </c>
      <c r="B1425" t="s">
        <v>18</v>
      </c>
      <c r="C1425">
        <v>462</v>
      </c>
      <c r="D1425">
        <v>0.15</v>
      </c>
      <c r="E1425">
        <v>0</v>
      </c>
      <c r="F1425">
        <v>2</v>
      </c>
      <c r="G1425" t="b">
        <v>0</v>
      </c>
      <c r="H1425">
        <f>IF(inventory__Data[[#This Row],[stock_on_hand]]&lt;=0,1,0)</f>
        <v>0</v>
      </c>
      <c r="I1425">
        <f>COUNTIFS(inventory__Data[product_id],inventory__Data[[#This Row],[product_id]],inventory__Data[stock_on_hand],"&lt;=0")</f>
        <v>30</v>
      </c>
    </row>
    <row r="1426" spans="1:9" x14ac:dyDescent="0.3">
      <c r="A1426" s="1">
        <v>45942</v>
      </c>
      <c r="B1426" t="s">
        <v>21</v>
      </c>
      <c r="C1426">
        <v>222</v>
      </c>
      <c r="D1426">
        <v>0.03</v>
      </c>
      <c r="E1426">
        <v>0</v>
      </c>
      <c r="F1426">
        <v>5</v>
      </c>
      <c r="G1426" t="b">
        <v>0</v>
      </c>
      <c r="H1426">
        <f>IF(inventory__Data[[#This Row],[stock_on_hand]]&lt;=0,1,0)</f>
        <v>0</v>
      </c>
      <c r="I1426">
        <f>COUNTIFS(inventory__Data[product_id],inventory__Data[[#This Row],[product_id]],inventory__Data[stock_on_hand],"&lt;=0")</f>
        <v>29</v>
      </c>
    </row>
    <row r="1427" spans="1:9" x14ac:dyDescent="0.3">
      <c r="A1427" s="1">
        <v>45943</v>
      </c>
      <c r="B1427" t="s">
        <v>9</v>
      </c>
      <c r="C1427">
        <v>710</v>
      </c>
      <c r="D1427">
        <v>0.05</v>
      </c>
      <c r="E1427">
        <v>0</v>
      </c>
      <c r="F1427">
        <v>2</v>
      </c>
      <c r="G1427" t="b">
        <v>0</v>
      </c>
      <c r="H1427">
        <f>IF(inventory__Data[[#This Row],[stock_on_hand]]&lt;=0,1,0)</f>
        <v>0</v>
      </c>
      <c r="I1427">
        <f>COUNTIFS(inventory__Data[product_id],inventory__Data[[#This Row],[product_id]],inventory__Data[stock_on_hand],"&lt;=0")</f>
        <v>25</v>
      </c>
    </row>
    <row r="1428" spans="1:9" x14ac:dyDescent="0.3">
      <c r="A1428" s="1">
        <v>45943</v>
      </c>
      <c r="B1428" t="s">
        <v>12</v>
      </c>
      <c r="C1428">
        <v>732</v>
      </c>
      <c r="D1428">
        <v>0.02</v>
      </c>
      <c r="E1428">
        <v>0</v>
      </c>
      <c r="F1428">
        <v>2</v>
      </c>
      <c r="G1428" t="b">
        <v>0</v>
      </c>
      <c r="H1428">
        <f>IF(inventory__Data[[#This Row],[stock_on_hand]]&lt;=0,1,0)</f>
        <v>0</v>
      </c>
      <c r="I1428">
        <f>COUNTIFS(inventory__Data[product_id],inventory__Data[[#This Row],[product_id]],inventory__Data[stock_on_hand],"&lt;=0")</f>
        <v>23</v>
      </c>
    </row>
    <row r="1429" spans="1:9" x14ac:dyDescent="0.3">
      <c r="A1429" s="1">
        <v>45943</v>
      </c>
      <c r="B1429" t="s">
        <v>15</v>
      </c>
      <c r="C1429">
        <v>0</v>
      </c>
      <c r="D1429">
        <v>0.04</v>
      </c>
      <c r="E1429">
        <v>0</v>
      </c>
      <c r="F1429">
        <v>5</v>
      </c>
      <c r="G1429" t="b">
        <v>0</v>
      </c>
      <c r="H1429">
        <f>IF(inventory__Data[[#This Row],[stock_on_hand]]&lt;=0,1,0)</f>
        <v>1</v>
      </c>
      <c r="I1429">
        <f>COUNTIFS(inventory__Data[product_id],inventory__Data[[#This Row],[product_id]],inventory__Data[stock_on_hand],"&lt;=0")</f>
        <v>30</v>
      </c>
    </row>
    <row r="1430" spans="1:9" x14ac:dyDescent="0.3">
      <c r="A1430" s="1">
        <v>45943</v>
      </c>
      <c r="B1430" t="s">
        <v>18</v>
      </c>
      <c r="C1430">
        <v>591</v>
      </c>
      <c r="D1430">
        <v>0.15</v>
      </c>
      <c r="E1430">
        <v>0</v>
      </c>
      <c r="F1430">
        <v>2</v>
      </c>
      <c r="G1430" t="b">
        <v>0</v>
      </c>
      <c r="H1430">
        <f>IF(inventory__Data[[#This Row],[stock_on_hand]]&lt;=0,1,0)</f>
        <v>0</v>
      </c>
      <c r="I1430">
        <f>COUNTIFS(inventory__Data[product_id],inventory__Data[[#This Row],[product_id]],inventory__Data[stock_on_hand],"&lt;=0")</f>
        <v>30</v>
      </c>
    </row>
    <row r="1431" spans="1:9" x14ac:dyDescent="0.3">
      <c r="A1431" s="1">
        <v>45943</v>
      </c>
      <c r="B1431" t="s">
        <v>21</v>
      </c>
      <c r="C1431">
        <v>177</v>
      </c>
      <c r="D1431">
        <v>0.03</v>
      </c>
      <c r="E1431">
        <v>0</v>
      </c>
      <c r="F1431">
        <v>2</v>
      </c>
      <c r="G1431" t="b">
        <v>0</v>
      </c>
      <c r="H1431">
        <f>IF(inventory__Data[[#This Row],[stock_on_hand]]&lt;=0,1,0)</f>
        <v>0</v>
      </c>
      <c r="I1431">
        <f>COUNTIFS(inventory__Data[product_id],inventory__Data[[#This Row],[product_id]],inventory__Data[stock_on_hand],"&lt;=0")</f>
        <v>29</v>
      </c>
    </row>
    <row r="1432" spans="1:9" x14ac:dyDescent="0.3">
      <c r="A1432" s="1">
        <v>45944</v>
      </c>
      <c r="B1432" t="s">
        <v>9</v>
      </c>
      <c r="C1432">
        <v>217</v>
      </c>
      <c r="D1432">
        <v>0.05</v>
      </c>
      <c r="E1432">
        <v>0</v>
      </c>
      <c r="F1432">
        <v>2</v>
      </c>
      <c r="G1432" t="b">
        <v>0</v>
      </c>
      <c r="H1432">
        <f>IF(inventory__Data[[#This Row],[stock_on_hand]]&lt;=0,1,0)</f>
        <v>0</v>
      </c>
      <c r="I1432">
        <f>COUNTIFS(inventory__Data[product_id],inventory__Data[[#This Row],[product_id]],inventory__Data[stock_on_hand],"&lt;=0")</f>
        <v>25</v>
      </c>
    </row>
    <row r="1433" spans="1:9" x14ac:dyDescent="0.3">
      <c r="A1433" s="1">
        <v>45944</v>
      </c>
      <c r="B1433" t="s">
        <v>12</v>
      </c>
      <c r="C1433">
        <v>162</v>
      </c>
      <c r="D1433">
        <v>0.02</v>
      </c>
      <c r="E1433">
        <v>0</v>
      </c>
      <c r="F1433">
        <v>5</v>
      </c>
      <c r="G1433" t="b">
        <v>0</v>
      </c>
      <c r="H1433">
        <f>IF(inventory__Data[[#This Row],[stock_on_hand]]&lt;=0,1,0)</f>
        <v>0</v>
      </c>
      <c r="I1433">
        <f>COUNTIFS(inventory__Data[product_id],inventory__Data[[#This Row],[product_id]],inventory__Data[stock_on_hand],"&lt;=0")</f>
        <v>23</v>
      </c>
    </row>
    <row r="1434" spans="1:9" x14ac:dyDescent="0.3">
      <c r="A1434" s="1">
        <v>45944</v>
      </c>
      <c r="B1434" t="s">
        <v>15</v>
      </c>
      <c r="C1434">
        <v>856</v>
      </c>
      <c r="D1434">
        <v>0.04</v>
      </c>
      <c r="E1434">
        <v>0</v>
      </c>
      <c r="F1434">
        <v>2</v>
      </c>
      <c r="G1434" t="b">
        <v>0</v>
      </c>
      <c r="H1434">
        <f>IF(inventory__Data[[#This Row],[stock_on_hand]]&lt;=0,1,0)</f>
        <v>0</v>
      </c>
      <c r="I1434">
        <f>COUNTIFS(inventory__Data[product_id],inventory__Data[[#This Row],[product_id]],inventory__Data[stock_on_hand],"&lt;=0")</f>
        <v>30</v>
      </c>
    </row>
    <row r="1435" spans="1:9" x14ac:dyDescent="0.3">
      <c r="A1435" s="1">
        <v>45944</v>
      </c>
      <c r="B1435" t="s">
        <v>18</v>
      </c>
      <c r="C1435">
        <v>0</v>
      </c>
      <c r="D1435">
        <v>0.15</v>
      </c>
      <c r="E1435">
        <v>0</v>
      </c>
      <c r="F1435">
        <v>2</v>
      </c>
      <c r="G1435" t="b">
        <v>0</v>
      </c>
      <c r="H1435">
        <f>IF(inventory__Data[[#This Row],[stock_on_hand]]&lt;=0,1,0)</f>
        <v>1</v>
      </c>
      <c r="I1435">
        <f>COUNTIFS(inventory__Data[product_id],inventory__Data[[#This Row],[product_id]],inventory__Data[stock_on_hand],"&lt;=0")</f>
        <v>30</v>
      </c>
    </row>
    <row r="1436" spans="1:9" x14ac:dyDescent="0.3">
      <c r="A1436" s="1">
        <v>45944</v>
      </c>
      <c r="B1436" t="s">
        <v>21</v>
      </c>
      <c r="C1436">
        <v>69</v>
      </c>
      <c r="D1436">
        <v>0.03</v>
      </c>
      <c r="E1436">
        <v>0</v>
      </c>
      <c r="F1436">
        <v>15</v>
      </c>
      <c r="G1436" t="b">
        <v>0</v>
      </c>
      <c r="H1436">
        <f>IF(inventory__Data[[#This Row],[stock_on_hand]]&lt;=0,1,0)</f>
        <v>0</v>
      </c>
      <c r="I1436">
        <f>COUNTIFS(inventory__Data[product_id],inventory__Data[[#This Row],[product_id]],inventory__Data[stock_on_hand],"&lt;=0")</f>
        <v>29</v>
      </c>
    </row>
    <row r="1437" spans="1:9" x14ac:dyDescent="0.3">
      <c r="A1437" s="1">
        <v>45945</v>
      </c>
      <c r="B1437" t="s">
        <v>9</v>
      </c>
      <c r="C1437">
        <v>474</v>
      </c>
      <c r="D1437">
        <v>0.05</v>
      </c>
      <c r="E1437">
        <v>0</v>
      </c>
      <c r="F1437">
        <v>2</v>
      </c>
      <c r="G1437" t="b">
        <v>0</v>
      </c>
      <c r="H1437">
        <f>IF(inventory__Data[[#This Row],[stock_on_hand]]&lt;=0,1,0)</f>
        <v>0</v>
      </c>
      <c r="I1437">
        <f>COUNTIFS(inventory__Data[product_id],inventory__Data[[#This Row],[product_id]],inventory__Data[stock_on_hand],"&lt;=0")</f>
        <v>25</v>
      </c>
    </row>
    <row r="1438" spans="1:9" x14ac:dyDescent="0.3">
      <c r="A1438" s="1">
        <v>45945</v>
      </c>
      <c r="B1438" t="s">
        <v>12</v>
      </c>
      <c r="C1438">
        <v>382</v>
      </c>
      <c r="D1438">
        <v>0.02</v>
      </c>
      <c r="E1438">
        <v>0</v>
      </c>
      <c r="F1438">
        <v>10</v>
      </c>
      <c r="G1438" t="b">
        <v>0</v>
      </c>
      <c r="H1438">
        <f>IF(inventory__Data[[#This Row],[stock_on_hand]]&lt;=0,1,0)</f>
        <v>0</v>
      </c>
      <c r="I1438">
        <f>COUNTIFS(inventory__Data[product_id],inventory__Data[[#This Row],[product_id]],inventory__Data[stock_on_hand],"&lt;=0")</f>
        <v>23</v>
      </c>
    </row>
    <row r="1439" spans="1:9" x14ac:dyDescent="0.3">
      <c r="A1439" s="1">
        <v>45945</v>
      </c>
      <c r="B1439" t="s">
        <v>15</v>
      </c>
      <c r="C1439">
        <v>380</v>
      </c>
      <c r="D1439">
        <v>0.04</v>
      </c>
      <c r="E1439">
        <v>0</v>
      </c>
      <c r="F1439">
        <v>2</v>
      </c>
      <c r="G1439" t="b">
        <v>0</v>
      </c>
      <c r="H1439">
        <f>IF(inventory__Data[[#This Row],[stock_on_hand]]&lt;=0,1,0)</f>
        <v>0</v>
      </c>
      <c r="I1439">
        <f>COUNTIFS(inventory__Data[product_id],inventory__Data[[#This Row],[product_id]],inventory__Data[stock_on_hand],"&lt;=0")</f>
        <v>30</v>
      </c>
    </row>
    <row r="1440" spans="1:9" x14ac:dyDescent="0.3">
      <c r="A1440" s="1">
        <v>45945</v>
      </c>
      <c r="B1440" t="s">
        <v>18</v>
      </c>
      <c r="C1440">
        <v>625</v>
      </c>
      <c r="D1440">
        <v>0.15</v>
      </c>
      <c r="E1440">
        <v>0</v>
      </c>
      <c r="F1440">
        <v>5</v>
      </c>
      <c r="G1440" t="b">
        <v>0</v>
      </c>
      <c r="H1440">
        <f>IF(inventory__Data[[#This Row],[stock_on_hand]]&lt;=0,1,0)</f>
        <v>0</v>
      </c>
      <c r="I1440">
        <f>COUNTIFS(inventory__Data[product_id],inventory__Data[[#This Row],[product_id]],inventory__Data[stock_on_hand],"&lt;=0")</f>
        <v>30</v>
      </c>
    </row>
    <row r="1441" spans="1:9" x14ac:dyDescent="0.3">
      <c r="A1441" s="1">
        <v>45945</v>
      </c>
      <c r="B1441" t="s">
        <v>21</v>
      </c>
      <c r="C1441">
        <v>669</v>
      </c>
      <c r="D1441">
        <v>0.03</v>
      </c>
      <c r="E1441">
        <v>0</v>
      </c>
      <c r="F1441">
        <v>2</v>
      </c>
      <c r="G1441" t="b">
        <v>0</v>
      </c>
      <c r="H1441">
        <f>IF(inventory__Data[[#This Row],[stock_on_hand]]&lt;=0,1,0)</f>
        <v>0</v>
      </c>
      <c r="I1441">
        <f>COUNTIFS(inventory__Data[product_id],inventory__Data[[#This Row],[product_id]],inventory__Data[stock_on_hand],"&lt;=0")</f>
        <v>29</v>
      </c>
    </row>
    <row r="1442" spans="1:9" x14ac:dyDescent="0.3">
      <c r="A1442" s="1">
        <v>45946</v>
      </c>
      <c r="B1442" t="s">
        <v>9</v>
      </c>
      <c r="C1442">
        <v>299</v>
      </c>
      <c r="D1442">
        <v>0.05</v>
      </c>
      <c r="E1442">
        <v>0</v>
      </c>
      <c r="F1442">
        <v>2</v>
      </c>
      <c r="G1442" t="b">
        <v>0</v>
      </c>
      <c r="H1442">
        <f>IF(inventory__Data[[#This Row],[stock_on_hand]]&lt;=0,1,0)</f>
        <v>0</v>
      </c>
      <c r="I1442">
        <f>COUNTIFS(inventory__Data[product_id],inventory__Data[[#This Row],[product_id]],inventory__Data[stock_on_hand],"&lt;=0")</f>
        <v>25</v>
      </c>
    </row>
    <row r="1443" spans="1:9" x14ac:dyDescent="0.3">
      <c r="A1443" s="1">
        <v>45946</v>
      </c>
      <c r="B1443" t="s">
        <v>12</v>
      </c>
      <c r="C1443">
        <v>398</v>
      </c>
      <c r="D1443">
        <v>0.02</v>
      </c>
      <c r="E1443">
        <v>0</v>
      </c>
      <c r="F1443">
        <v>2</v>
      </c>
      <c r="G1443" t="b">
        <v>0</v>
      </c>
      <c r="H1443">
        <f>IF(inventory__Data[[#This Row],[stock_on_hand]]&lt;=0,1,0)</f>
        <v>0</v>
      </c>
      <c r="I1443">
        <f>COUNTIFS(inventory__Data[product_id],inventory__Data[[#This Row],[product_id]],inventory__Data[stock_on_hand],"&lt;=0")</f>
        <v>23</v>
      </c>
    </row>
    <row r="1444" spans="1:9" x14ac:dyDescent="0.3">
      <c r="A1444" s="1">
        <v>45946</v>
      </c>
      <c r="B1444" t="s">
        <v>15</v>
      </c>
      <c r="C1444">
        <v>635</v>
      </c>
      <c r="D1444">
        <v>0.04</v>
      </c>
      <c r="E1444">
        <v>0</v>
      </c>
      <c r="F1444">
        <v>2</v>
      </c>
      <c r="G1444" t="b">
        <v>0</v>
      </c>
      <c r="H1444">
        <f>IF(inventory__Data[[#This Row],[stock_on_hand]]&lt;=0,1,0)</f>
        <v>0</v>
      </c>
      <c r="I1444">
        <f>COUNTIFS(inventory__Data[product_id],inventory__Data[[#This Row],[product_id]],inventory__Data[stock_on_hand],"&lt;=0")</f>
        <v>30</v>
      </c>
    </row>
    <row r="1445" spans="1:9" x14ac:dyDescent="0.3">
      <c r="A1445" s="1">
        <v>45946</v>
      </c>
      <c r="B1445" t="s">
        <v>18</v>
      </c>
      <c r="C1445">
        <v>7</v>
      </c>
      <c r="D1445">
        <v>0.15</v>
      </c>
      <c r="E1445">
        <v>0</v>
      </c>
      <c r="F1445">
        <v>2</v>
      </c>
      <c r="G1445" t="b">
        <v>0</v>
      </c>
      <c r="H1445">
        <f>IF(inventory__Data[[#This Row],[stock_on_hand]]&lt;=0,1,0)</f>
        <v>0</v>
      </c>
      <c r="I1445">
        <f>COUNTIFS(inventory__Data[product_id],inventory__Data[[#This Row],[product_id]],inventory__Data[stock_on_hand],"&lt;=0")</f>
        <v>30</v>
      </c>
    </row>
    <row r="1446" spans="1:9" x14ac:dyDescent="0.3">
      <c r="A1446" s="1">
        <v>45946</v>
      </c>
      <c r="B1446" t="s">
        <v>21</v>
      </c>
      <c r="C1446">
        <v>453</v>
      </c>
      <c r="D1446">
        <v>0.03</v>
      </c>
      <c r="E1446">
        <v>0</v>
      </c>
      <c r="F1446">
        <v>2</v>
      </c>
      <c r="G1446" t="b">
        <v>0</v>
      </c>
      <c r="H1446">
        <f>IF(inventory__Data[[#This Row],[stock_on_hand]]&lt;=0,1,0)</f>
        <v>0</v>
      </c>
      <c r="I1446">
        <f>COUNTIFS(inventory__Data[product_id],inventory__Data[[#This Row],[product_id]],inventory__Data[stock_on_hand],"&lt;=0")</f>
        <v>29</v>
      </c>
    </row>
    <row r="1447" spans="1:9" x14ac:dyDescent="0.3">
      <c r="A1447" s="1">
        <v>45947</v>
      </c>
      <c r="B1447" t="s">
        <v>9</v>
      </c>
      <c r="C1447">
        <v>509</v>
      </c>
      <c r="D1447">
        <v>0.05</v>
      </c>
      <c r="E1447">
        <v>0</v>
      </c>
      <c r="F1447">
        <v>2</v>
      </c>
      <c r="G1447" t="b">
        <v>0</v>
      </c>
      <c r="H1447">
        <f>IF(inventory__Data[[#This Row],[stock_on_hand]]&lt;=0,1,0)</f>
        <v>0</v>
      </c>
      <c r="I1447">
        <f>COUNTIFS(inventory__Data[product_id],inventory__Data[[#This Row],[product_id]],inventory__Data[stock_on_hand],"&lt;=0")</f>
        <v>25</v>
      </c>
    </row>
    <row r="1448" spans="1:9" x14ac:dyDescent="0.3">
      <c r="A1448" s="1">
        <v>45947</v>
      </c>
      <c r="B1448" t="s">
        <v>12</v>
      </c>
      <c r="C1448">
        <v>273</v>
      </c>
      <c r="D1448">
        <v>0.02</v>
      </c>
      <c r="E1448">
        <v>0</v>
      </c>
      <c r="F1448">
        <v>2</v>
      </c>
      <c r="G1448" t="b">
        <v>0</v>
      </c>
      <c r="H1448">
        <f>IF(inventory__Data[[#This Row],[stock_on_hand]]&lt;=0,1,0)</f>
        <v>0</v>
      </c>
      <c r="I1448">
        <f>COUNTIFS(inventory__Data[product_id],inventory__Data[[#This Row],[product_id]],inventory__Data[stock_on_hand],"&lt;=0")</f>
        <v>23</v>
      </c>
    </row>
    <row r="1449" spans="1:9" x14ac:dyDescent="0.3">
      <c r="A1449" s="1">
        <v>45947</v>
      </c>
      <c r="B1449" t="s">
        <v>15</v>
      </c>
      <c r="C1449">
        <v>824</v>
      </c>
      <c r="D1449">
        <v>0.04</v>
      </c>
      <c r="E1449">
        <v>0</v>
      </c>
      <c r="F1449">
        <v>5</v>
      </c>
      <c r="G1449" t="b">
        <v>0</v>
      </c>
      <c r="H1449">
        <f>IF(inventory__Data[[#This Row],[stock_on_hand]]&lt;=0,1,0)</f>
        <v>0</v>
      </c>
      <c r="I1449">
        <f>COUNTIFS(inventory__Data[product_id],inventory__Data[[#This Row],[product_id]],inventory__Data[stock_on_hand],"&lt;=0")</f>
        <v>30</v>
      </c>
    </row>
    <row r="1450" spans="1:9" x14ac:dyDescent="0.3">
      <c r="A1450" s="1">
        <v>45947</v>
      </c>
      <c r="B1450" t="s">
        <v>18</v>
      </c>
      <c r="C1450">
        <v>663</v>
      </c>
      <c r="D1450">
        <v>0.15</v>
      </c>
      <c r="E1450">
        <v>0</v>
      </c>
      <c r="F1450">
        <v>2</v>
      </c>
      <c r="G1450" t="b">
        <v>0</v>
      </c>
      <c r="H1450">
        <f>IF(inventory__Data[[#This Row],[stock_on_hand]]&lt;=0,1,0)</f>
        <v>0</v>
      </c>
      <c r="I1450">
        <f>COUNTIFS(inventory__Data[product_id],inventory__Data[[#This Row],[product_id]],inventory__Data[stock_on_hand],"&lt;=0")</f>
        <v>30</v>
      </c>
    </row>
    <row r="1451" spans="1:9" x14ac:dyDescent="0.3">
      <c r="A1451" s="1">
        <v>45947</v>
      </c>
      <c r="B1451" t="s">
        <v>21</v>
      </c>
      <c r="C1451">
        <v>372</v>
      </c>
      <c r="D1451">
        <v>0.03</v>
      </c>
      <c r="E1451">
        <v>0</v>
      </c>
      <c r="F1451">
        <v>2</v>
      </c>
      <c r="G1451" t="b">
        <v>0</v>
      </c>
      <c r="H1451">
        <f>IF(inventory__Data[[#This Row],[stock_on_hand]]&lt;=0,1,0)</f>
        <v>0</v>
      </c>
      <c r="I1451">
        <f>COUNTIFS(inventory__Data[product_id],inventory__Data[[#This Row],[product_id]],inventory__Data[stock_on_hand],"&lt;=0")</f>
        <v>29</v>
      </c>
    </row>
    <row r="1452" spans="1:9" x14ac:dyDescent="0.3">
      <c r="A1452" s="1">
        <v>45948</v>
      </c>
      <c r="B1452" t="s">
        <v>9</v>
      </c>
      <c r="C1452">
        <v>892</v>
      </c>
      <c r="D1452">
        <v>0.05</v>
      </c>
      <c r="E1452">
        <v>0</v>
      </c>
      <c r="F1452">
        <v>2</v>
      </c>
      <c r="G1452" t="b">
        <v>0</v>
      </c>
      <c r="H1452">
        <f>IF(inventory__Data[[#This Row],[stock_on_hand]]&lt;=0,1,0)</f>
        <v>0</v>
      </c>
      <c r="I1452">
        <f>COUNTIFS(inventory__Data[product_id],inventory__Data[[#This Row],[product_id]],inventory__Data[stock_on_hand],"&lt;=0")</f>
        <v>25</v>
      </c>
    </row>
    <row r="1453" spans="1:9" x14ac:dyDescent="0.3">
      <c r="A1453" s="1">
        <v>45948</v>
      </c>
      <c r="B1453" t="s">
        <v>12</v>
      </c>
      <c r="C1453">
        <v>169</v>
      </c>
      <c r="D1453">
        <v>0.02</v>
      </c>
      <c r="E1453">
        <v>0</v>
      </c>
      <c r="F1453">
        <v>2</v>
      </c>
      <c r="G1453" t="b">
        <v>0</v>
      </c>
      <c r="H1453">
        <f>IF(inventory__Data[[#This Row],[stock_on_hand]]&lt;=0,1,0)</f>
        <v>0</v>
      </c>
      <c r="I1453">
        <f>COUNTIFS(inventory__Data[product_id],inventory__Data[[#This Row],[product_id]],inventory__Data[stock_on_hand],"&lt;=0")</f>
        <v>23</v>
      </c>
    </row>
    <row r="1454" spans="1:9" x14ac:dyDescent="0.3">
      <c r="A1454" s="1">
        <v>45948</v>
      </c>
      <c r="B1454" t="s">
        <v>15</v>
      </c>
      <c r="C1454">
        <v>135</v>
      </c>
      <c r="D1454">
        <v>0.04</v>
      </c>
      <c r="E1454">
        <v>0</v>
      </c>
      <c r="F1454">
        <v>2</v>
      </c>
      <c r="G1454" t="b">
        <v>0</v>
      </c>
      <c r="H1454">
        <f>IF(inventory__Data[[#This Row],[stock_on_hand]]&lt;=0,1,0)</f>
        <v>0</v>
      </c>
      <c r="I1454">
        <f>COUNTIFS(inventory__Data[product_id],inventory__Data[[#This Row],[product_id]],inventory__Data[stock_on_hand],"&lt;=0")</f>
        <v>30</v>
      </c>
    </row>
    <row r="1455" spans="1:9" x14ac:dyDescent="0.3">
      <c r="A1455" s="1">
        <v>45948</v>
      </c>
      <c r="B1455" t="s">
        <v>18</v>
      </c>
      <c r="C1455">
        <v>797</v>
      </c>
      <c r="D1455">
        <v>0.15</v>
      </c>
      <c r="E1455">
        <v>0</v>
      </c>
      <c r="F1455">
        <v>2</v>
      </c>
      <c r="G1455" t="b">
        <v>0</v>
      </c>
      <c r="H1455">
        <f>IF(inventory__Data[[#This Row],[stock_on_hand]]&lt;=0,1,0)</f>
        <v>0</v>
      </c>
      <c r="I1455">
        <f>COUNTIFS(inventory__Data[product_id],inventory__Data[[#This Row],[product_id]],inventory__Data[stock_on_hand],"&lt;=0")</f>
        <v>30</v>
      </c>
    </row>
    <row r="1456" spans="1:9" x14ac:dyDescent="0.3">
      <c r="A1456" s="1">
        <v>45948</v>
      </c>
      <c r="B1456" t="s">
        <v>21</v>
      </c>
      <c r="C1456">
        <v>671</v>
      </c>
      <c r="D1456">
        <v>0.03</v>
      </c>
      <c r="E1456">
        <v>0</v>
      </c>
      <c r="F1456">
        <v>2</v>
      </c>
      <c r="G1456" t="b">
        <v>0</v>
      </c>
      <c r="H1456">
        <f>IF(inventory__Data[[#This Row],[stock_on_hand]]&lt;=0,1,0)</f>
        <v>0</v>
      </c>
      <c r="I1456">
        <f>COUNTIFS(inventory__Data[product_id],inventory__Data[[#This Row],[product_id]],inventory__Data[stock_on_hand],"&lt;=0")</f>
        <v>29</v>
      </c>
    </row>
    <row r="1457" spans="1:9" x14ac:dyDescent="0.3">
      <c r="A1457" s="1">
        <v>45949</v>
      </c>
      <c r="B1457" t="s">
        <v>9</v>
      </c>
      <c r="C1457">
        <v>801</v>
      </c>
      <c r="D1457">
        <v>0.05</v>
      </c>
      <c r="E1457">
        <v>0</v>
      </c>
      <c r="F1457">
        <v>2</v>
      </c>
      <c r="G1457" t="b">
        <v>0</v>
      </c>
      <c r="H1457">
        <f>IF(inventory__Data[[#This Row],[stock_on_hand]]&lt;=0,1,0)</f>
        <v>0</v>
      </c>
      <c r="I1457">
        <f>COUNTIFS(inventory__Data[product_id],inventory__Data[[#This Row],[product_id]],inventory__Data[stock_on_hand],"&lt;=0")</f>
        <v>25</v>
      </c>
    </row>
    <row r="1458" spans="1:9" x14ac:dyDescent="0.3">
      <c r="A1458" s="1">
        <v>45949</v>
      </c>
      <c r="B1458" t="s">
        <v>12</v>
      </c>
      <c r="C1458">
        <v>288</v>
      </c>
      <c r="D1458">
        <v>0.02</v>
      </c>
      <c r="E1458">
        <v>0</v>
      </c>
      <c r="F1458">
        <v>2</v>
      </c>
      <c r="G1458" t="b">
        <v>0</v>
      </c>
      <c r="H1458">
        <f>IF(inventory__Data[[#This Row],[stock_on_hand]]&lt;=0,1,0)</f>
        <v>0</v>
      </c>
      <c r="I1458">
        <f>COUNTIFS(inventory__Data[product_id],inventory__Data[[#This Row],[product_id]],inventory__Data[stock_on_hand],"&lt;=0")</f>
        <v>23</v>
      </c>
    </row>
    <row r="1459" spans="1:9" x14ac:dyDescent="0.3">
      <c r="A1459" s="1">
        <v>45949</v>
      </c>
      <c r="B1459" t="s">
        <v>15</v>
      </c>
      <c r="C1459">
        <v>0</v>
      </c>
      <c r="D1459">
        <v>0.04</v>
      </c>
      <c r="E1459">
        <v>0</v>
      </c>
      <c r="F1459">
        <v>5</v>
      </c>
      <c r="G1459" t="b">
        <v>0</v>
      </c>
      <c r="H1459">
        <f>IF(inventory__Data[[#This Row],[stock_on_hand]]&lt;=0,1,0)</f>
        <v>1</v>
      </c>
      <c r="I1459">
        <f>COUNTIFS(inventory__Data[product_id],inventory__Data[[#This Row],[product_id]],inventory__Data[stock_on_hand],"&lt;=0")</f>
        <v>30</v>
      </c>
    </row>
    <row r="1460" spans="1:9" x14ac:dyDescent="0.3">
      <c r="A1460" s="1">
        <v>45949</v>
      </c>
      <c r="B1460" t="s">
        <v>18</v>
      </c>
      <c r="C1460">
        <v>638</v>
      </c>
      <c r="D1460">
        <v>0.15</v>
      </c>
      <c r="E1460">
        <v>0</v>
      </c>
      <c r="F1460">
        <v>2</v>
      </c>
      <c r="G1460" t="b">
        <v>0</v>
      </c>
      <c r="H1460">
        <f>IF(inventory__Data[[#This Row],[stock_on_hand]]&lt;=0,1,0)</f>
        <v>0</v>
      </c>
      <c r="I1460">
        <f>COUNTIFS(inventory__Data[product_id],inventory__Data[[#This Row],[product_id]],inventory__Data[stock_on_hand],"&lt;=0")</f>
        <v>30</v>
      </c>
    </row>
    <row r="1461" spans="1:9" x14ac:dyDescent="0.3">
      <c r="A1461" s="1">
        <v>45949</v>
      </c>
      <c r="B1461" t="s">
        <v>21</v>
      </c>
      <c r="C1461">
        <v>523</v>
      </c>
      <c r="D1461">
        <v>0.03</v>
      </c>
      <c r="E1461">
        <v>0</v>
      </c>
      <c r="F1461">
        <v>2</v>
      </c>
      <c r="G1461" t="b">
        <v>0</v>
      </c>
      <c r="H1461">
        <f>IF(inventory__Data[[#This Row],[stock_on_hand]]&lt;=0,1,0)</f>
        <v>0</v>
      </c>
      <c r="I1461">
        <f>COUNTIFS(inventory__Data[product_id],inventory__Data[[#This Row],[product_id]],inventory__Data[stock_on_hand],"&lt;=0")</f>
        <v>29</v>
      </c>
    </row>
    <row r="1462" spans="1:9" x14ac:dyDescent="0.3">
      <c r="A1462" s="1">
        <v>45950</v>
      </c>
      <c r="B1462" t="s">
        <v>9</v>
      </c>
      <c r="C1462">
        <v>185</v>
      </c>
      <c r="D1462">
        <v>0.05</v>
      </c>
      <c r="E1462">
        <v>0</v>
      </c>
      <c r="F1462">
        <v>2</v>
      </c>
      <c r="G1462" t="b">
        <v>0</v>
      </c>
      <c r="H1462">
        <f>IF(inventory__Data[[#This Row],[stock_on_hand]]&lt;=0,1,0)</f>
        <v>0</v>
      </c>
      <c r="I1462">
        <f>COUNTIFS(inventory__Data[product_id],inventory__Data[[#This Row],[product_id]],inventory__Data[stock_on_hand],"&lt;=0")</f>
        <v>25</v>
      </c>
    </row>
    <row r="1463" spans="1:9" x14ac:dyDescent="0.3">
      <c r="A1463" s="1">
        <v>45950</v>
      </c>
      <c r="B1463" t="s">
        <v>12</v>
      </c>
      <c r="C1463">
        <v>816</v>
      </c>
      <c r="D1463">
        <v>0.02</v>
      </c>
      <c r="E1463">
        <v>0</v>
      </c>
      <c r="F1463">
        <v>2</v>
      </c>
      <c r="G1463" t="b">
        <v>0</v>
      </c>
      <c r="H1463">
        <f>IF(inventory__Data[[#This Row],[stock_on_hand]]&lt;=0,1,0)</f>
        <v>0</v>
      </c>
      <c r="I1463">
        <f>COUNTIFS(inventory__Data[product_id],inventory__Data[[#This Row],[product_id]],inventory__Data[stock_on_hand],"&lt;=0")</f>
        <v>23</v>
      </c>
    </row>
    <row r="1464" spans="1:9" x14ac:dyDescent="0.3">
      <c r="A1464" s="1">
        <v>45950</v>
      </c>
      <c r="B1464" t="s">
        <v>15</v>
      </c>
      <c r="C1464">
        <v>369</v>
      </c>
      <c r="D1464">
        <v>0.04</v>
      </c>
      <c r="E1464">
        <v>0</v>
      </c>
      <c r="F1464">
        <v>5</v>
      </c>
      <c r="G1464" t="b">
        <v>0</v>
      </c>
      <c r="H1464">
        <f>IF(inventory__Data[[#This Row],[stock_on_hand]]&lt;=0,1,0)</f>
        <v>0</v>
      </c>
      <c r="I1464">
        <f>COUNTIFS(inventory__Data[product_id],inventory__Data[[#This Row],[product_id]],inventory__Data[stock_on_hand],"&lt;=0")</f>
        <v>30</v>
      </c>
    </row>
    <row r="1465" spans="1:9" x14ac:dyDescent="0.3">
      <c r="A1465" s="1">
        <v>45950</v>
      </c>
      <c r="B1465" t="s">
        <v>18</v>
      </c>
      <c r="C1465">
        <v>745</v>
      </c>
      <c r="D1465">
        <v>0.15</v>
      </c>
      <c r="E1465">
        <v>0</v>
      </c>
      <c r="F1465">
        <v>5</v>
      </c>
      <c r="G1465" t="b">
        <v>0</v>
      </c>
      <c r="H1465">
        <f>IF(inventory__Data[[#This Row],[stock_on_hand]]&lt;=0,1,0)</f>
        <v>0</v>
      </c>
      <c r="I1465">
        <f>COUNTIFS(inventory__Data[product_id],inventory__Data[[#This Row],[product_id]],inventory__Data[stock_on_hand],"&lt;=0")</f>
        <v>30</v>
      </c>
    </row>
    <row r="1466" spans="1:9" x14ac:dyDescent="0.3">
      <c r="A1466" s="1">
        <v>45950</v>
      </c>
      <c r="B1466" t="s">
        <v>21</v>
      </c>
      <c r="C1466">
        <v>543</v>
      </c>
      <c r="D1466">
        <v>0.03</v>
      </c>
      <c r="E1466">
        <v>0</v>
      </c>
      <c r="F1466">
        <v>5</v>
      </c>
      <c r="G1466" t="b">
        <v>0</v>
      </c>
      <c r="H1466">
        <f>IF(inventory__Data[[#This Row],[stock_on_hand]]&lt;=0,1,0)</f>
        <v>0</v>
      </c>
      <c r="I1466">
        <f>COUNTIFS(inventory__Data[product_id],inventory__Data[[#This Row],[product_id]],inventory__Data[stock_on_hand],"&lt;=0")</f>
        <v>29</v>
      </c>
    </row>
    <row r="1467" spans="1:9" x14ac:dyDescent="0.3">
      <c r="A1467" s="1">
        <v>45951</v>
      </c>
      <c r="B1467" t="s">
        <v>9</v>
      </c>
      <c r="C1467">
        <v>574</v>
      </c>
      <c r="D1467">
        <v>0.05</v>
      </c>
      <c r="E1467">
        <v>0</v>
      </c>
      <c r="F1467">
        <v>2</v>
      </c>
      <c r="G1467" t="b">
        <v>0</v>
      </c>
      <c r="H1467">
        <f>IF(inventory__Data[[#This Row],[stock_on_hand]]&lt;=0,1,0)</f>
        <v>0</v>
      </c>
      <c r="I1467">
        <f>COUNTIFS(inventory__Data[product_id],inventory__Data[[#This Row],[product_id]],inventory__Data[stock_on_hand],"&lt;=0")</f>
        <v>25</v>
      </c>
    </row>
    <row r="1468" spans="1:9" x14ac:dyDescent="0.3">
      <c r="A1468" s="1">
        <v>45951</v>
      </c>
      <c r="B1468" t="s">
        <v>12</v>
      </c>
      <c r="C1468">
        <v>749</v>
      </c>
      <c r="D1468">
        <v>0.02</v>
      </c>
      <c r="E1468">
        <v>0</v>
      </c>
      <c r="F1468">
        <v>5</v>
      </c>
      <c r="G1468" t="b">
        <v>0</v>
      </c>
      <c r="H1468">
        <f>IF(inventory__Data[[#This Row],[stock_on_hand]]&lt;=0,1,0)</f>
        <v>0</v>
      </c>
      <c r="I1468">
        <f>COUNTIFS(inventory__Data[product_id],inventory__Data[[#This Row],[product_id]],inventory__Data[stock_on_hand],"&lt;=0")</f>
        <v>23</v>
      </c>
    </row>
    <row r="1469" spans="1:9" x14ac:dyDescent="0.3">
      <c r="A1469" s="1">
        <v>45951</v>
      </c>
      <c r="B1469" t="s">
        <v>15</v>
      </c>
      <c r="C1469">
        <v>86</v>
      </c>
      <c r="D1469">
        <v>0.04</v>
      </c>
      <c r="E1469">
        <v>0</v>
      </c>
      <c r="F1469">
        <v>2</v>
      </c>
      <c r="G1469" t="b">
        <v>0</v>
      </c>
      <c r="H1469">
        <f>IF(inventory__Data[[#This Row],[stock_on_hand]]&lt;=0,1,0)</f>
        <v>0</v>
      </c>
      <c r="I1469">
        <f>COUNTIFS(inventory__Data[product_id],inventory__Data[[#This Row],[product_id]],inventory__Data[stock_on_hand],"&lt;=0")</f>
        <v>30</v>
      </c>
    </row>
    <row r="1470" spans="1:9" x14ac:dyDescent="0.3">
      <c r="A1470" s="1">
        <v>45951</v>
      </c>
      <c r="B1470" t="s">
        <v>18</v>
      </c>
      <c r="C1470">
        <v>0</v>
      </c>
      <c r="D1470">
        <v>0.15</v>
      </c>
      <c r="E1470">
        <v>0</v>
      </c>
      <c r="F1470">
        <v>5</v>
      </c>
      <c r="G1470" t="b">
        <v>0</v>
      </c>
      <c r="H1470">
        <f>IF(inventory__Data[[#This Row],[stock_on_hand]]&lt;=0,1,0)</f>
        <v>1</v>
      </c>
      <c r="I1470">
        <f>COUNTIFS(inventory__Data[product_id],inventory__Data[[#This Row],[product_id]],inventory__Data[stock_on_hand],"&lt;=0")</f>
        <v>30</v>
      </c>
    </row>
    <row r="1471" spans="1:9" x14ac:dyDescent="0.3">
      <c r="A1471" s="1">
        <v>45951</v>
      </c>
      <c r="B1471" t="s">
        <v>21</v>
      </c>
      <c r="C1471">
        <v>157</v>
      </c>
      <c r="D1471">
        <v>0.03</v>
      </c>
      <c r="E1471">
        <v>0</v>
      </c>
      <c r="F1471">
        <v>2</v>
      </c>
      <c r="G1471" t="b">
        <v>0</v>
      </c>
      <c r="H1471">
        <f>IF(inventory__Data[[#This Row],[stock_on_hand]]&lt;=0,1,0)</f>
        <v>0</v>
      </c>
      <c r="I1471">
        <f>COUNTIFS(inventory__Data[product_id],inventory__Data[[#This Row],[product_id]],inventory__Data[stock_on_hand],"&lt;=0")</f>
        <v>29</v>
      </c>
    </row>
    <row r="1472" spans="1:9" x14ac:dyDescent="0.3">
      <c r="A1472" s="1">
        <v>45952</v>
      </c>
      <c r="B1472" t="s">
        <v>9</v>
      </c>
      <c r="C1472">
        <v>644</v>
      </c>
      <c r="D1472">
        <v>0.05</v>
      </c>
      <c r="E1472">
        <v>0</v>
      </c>
      <c r="F1472">
        <v>2</v>
      </c>
      <c r="G1472" t="b">
        <v>0</v>
      </c>
      <c r="H1472">
        <f>IF(inventory__Data[[#This Row],[stock_on_hand]]&lt;=0,1,0)</f>
        <v>0</v>
      </c>
      <c r="I1472">
        <f>COUNTIFS(inventory__Data[product_id],inventory__Data[[#This Row],[product_id]],inventory__Data[stock_on_hand],"&lt;=0")</f>
        <v>25</v>
      </c>
    </row>
    <row r="1473" spans="1:9" x14ac:dyDescent="0.3">
      <c r="A1473" s="1">
        <v>45952</v>
      </c>
      <c r="B1473" t="s">
        <v>12</v>
      </c>
      <c r="C1473">
        <v>477</v>
      </c>
      <c r="D1473">
        <v>0.02</v>
      </c>
      <c r="E1473">
        <v>0</v>
      </c>
      <c r="F1473">
        <v>5</v>
      </c>
      <c r="G1473" t="b">
        <v>0</v>
      </c>
      <c r="H1473">
        <f>IF(inventory__Data[[#This Row],[stock_on_hand]]&lt;=0,1,0)</f>
        <v>0</v>
      </c>
      <c r="I1473">
        <f>COUNTIFS(inventory__Data[product_id],inventory__Data[[#This Row],[product_id]],inventory__Data[stock_on_hand],"&lt;=0")</f>
        <v>23</v>
      </c>
    </row>
    <row r="1474" spans="1:9" x14ac:dyDescent="0.3">
      <c r="A1474" s="1">
        <v>45952</v>
      </c>
      <c r="B1474" t="s">
        <v>15</v>
      </c>
      <c r="C1474">
        <v>5</v>
      </c>
      <c r="D1474">
        <v>0.04</v>
      </c>
      <c r="E1474">
        <v>0</v>
      </c>
      <c r="F1474">
        <v>2</v>
      </c>
      <c r="G1474" t="b">
        <v>0</v>
      </c>
      <c r="H1474">
        <f>IF(inventory__Data[[#This Row],[stock_on_hand]]&lt;=0,1,0)</f>
        <v>0</v>
      </c>
      <c r="I1474">
        <f>COUNTIFS(inventory__Data[product_id],inventory__Data[[#This Row],[product_id]],inventory__Data[stock_on_hand],"&lt;=0")</f>
        <v>30</v>
      </c>
    </row>
    <row r="1475" spans="1:9" x14ac:dyDescent="0.3">
      <c r="A1475" s="1">
        <v>45952</v>
      </c>
      <c r="B1475" t="s">
        <v>18</v>
      </c>
      <c r="C1475">
        <v>300</v>
      </c>
      <c r="D1475">
        <v>0.15</v>
      </c>
      <c r="E1475">
        <v>0</v>
      </c>
      <c r="F1475">
        <v>2</v>
      </c>
      <c r="G1475" t="b">
        <v>0</v>
      </c>
      <c r="H1475">
        <f>IF(inventory__Data[[#This Row],[stock_on_hand]]&lt;=0,1,0)</f>
        <v>0</v>
      </c>
      <c r="I1475">
        <f>COUNTIFS(inventory__Data[product_id],inventory__Data[[#This Row],[product_id]],inventory__Data[stock_on_hand],"&lt;=0")</f>
        <v>30</v>
      </c>
    </row>
    <row r="1476" spans="1:9" x14ac:dyDescent="0.3">
      <c r="A1476" s="1">
        <v>45952</v>
      </c>
      <c r="B1476" t="s">
        <v>21</v>
      </c>
      <c r="C1476">
        <v>601</v>
      </c>
      <c r="D1476">
        <v>0.03</v>
      </c>
      <c r="E1476">
        <v>0</v>
      </c>
      <c r="F1476">
        <v>2</v>
      </c>
      <c r="G1476" t="b">
        <v>0</v>
      </c>
      <c r="H1476">
        <f>IF(inventory__Data[[#This Row],[stock_on_hand]]&lt;=0,1,0)</f>
        <v>0</v>
      </c>
      <c r="I1476">
        <f>COUNTIFS(inventory__Data[product_id],inventory__Data[[#This Row],[product_id]],inventory__Data[stock_on_hand],"&lt;=0")</f>
        <v>29</v>
      </c>
    </row>
    <row r="1477" spans="1:9" x14ac:dyDescent="0.3">
      <c r="A1477" s="1">
        <v>45953</v>
      </c>
      <c r="B1477" t="s">
        <v>9</v>
      </c>
      <c r="C1477">
        <v>875</v>
      </c>
      <c r="D1477">
        <v>0.05</v>
      </c>
      <c r="E1477">
        <v>0</v>
      </c>
      <c r="F1477">
        <v>2</v>
      </c>
      <c r="G1477" t="b">
        <v>0</v>
      </c>
      <c r="H1477">
        <f>IF(inventory__Data[[#This Row],[stock_on_hand]]&lt;=0,1,0)</f>
        <v>0</v>
      </c>
      <c r="I1477">
        <f>COUNTIFS(inventory__Data[product_id],inventory__Data[[#This Row],[product_id]],inventory__Data[stock_on_hand],"&lt;=0")</f>
        <v>25</v>
      </c>
    </row>
    <row r="1478" spans="1:9" x14ac:dyDescent="0.3">
      <c r="A1478" s="1">
        <v>45953</v>
      </c>
      <c r="B1478" t="s">
        <v>12</v>
      </c>
      <c r="C1478">
        <v>326</v>
      </c>
      <c r="D1478">
        <v>0.02</v>
      </c>
      <c r="E1478">
        <v>0</v>
      </c>
      <c r="F1478">
        <v>5</v>
      </c>
      <c r="G1478" t="b">
        <v>0</v>
      </c>
      <c r="H1478">
        <f>IF(inventory__Data[[#This Row],[stock_on_hand]]&lt;=0,1,0)</f>
        <v>0</v>
      </c>
      <c r="I1478">
        <f>COUNTIFS(inventory__Data[product_id],inventory__Data[[#This Row],[product_id]],inventory__Data[stock_on_hand],"&lt;=0")</f>
        <v>23</v>
      </c>
    </row>
    <row r="1479" spans="1:9" x14ac:dyDescent="0.3">
      <c r="A1479" s="1">
        <v>45953</v>
      </c>
      <c r="B1479" t="s">
        <v>15</v>
      </c>
      <c r="C1479">
        <v>267</v>
      </c>
      <c r="D1479">
        <v>0.04</v>
      </c>
      <c r="E1479">
        <v>0</v>
      </c>
      <c r="F1479">
        <v>5</v>
      </c>
      <c r="G1479" t="b">
        <v>0</v>
      </c>
      <c r="H1479">
        <f>IF(inventory__Data[[#This Row],[stock_on_hand]]&lt;=0,1,0)</f>
        <v>0</v>
      </c>
      <c r="I1479">
        <f>COUNTIFS(inventory__Data[product_id],inventory__Data[[#This Row],[product_id]],inventory__Data[stock_on_hand],"&lt;=0")</f>
        <v>30</v>
      </c>
    </row>
    <row r="1480" spans="1:9" x14ac:dyDescent="0.3">
      <c r="A1480" s="1">
        <v>45953</v>
      </c>
      <c r="B1480" t="s">
        <v>18</v>
      </c>
      <c r="C1480">
        <v>695</v>
      </c>
      <c r="D1480">
        <v>0.15</v>
      </c>
      <c r="E1480">
        <v>0</v>
      </c>
      <c r="F1480">
        <v>2</v>
      </c>
      <c r="G1480" t="b">
        <v>0</v>
      </c>
      <c r="H1480">
        <f>IF(inventory__Data[[#This Row],[stock_on_hand]]&lt;=0,1,0)</f>
        <v>0</v>
      </c>
      <c r="I1480">
        <f>COUNTIFS(inventory__Data[product_id],inventory__Data[[#This Row],[product_id]],inventory__Data[stock_on_hand],"&lt;=0")</f>
        <v>30</v>
      </c>
    </row>
    <row r="1481" spans="1:9" x14ac:dyDescent="0.3">
      <c r="A1481" s="1">
        <v>45953</v>
      </c>
      <c r="B1481" t="s">
        <v>21</v>
      </c>
      <c r="C1481">
        <v>441</v>
      </c>
      <c r="D1481">
        <v>0.03</v>
      </c>
      <c r="E1481">
        <v>0</v>
      </c>
      <c r="F1481">
        <v>2</v>
      </c>
      <c r="G1481" t="b">
        <v>0</v>
      </c>
      <c r="H1481">
        <f>IF(inventory__Data[[#This Row],[stock_on_hand]]&lt;=0,1,0)</f>
        <v>0</v>
      </c>
      <c r="I1481">
        <f>COUNTIFS(inventory__Data[product_id],inventory__Data[[#This Row],[product_id]],inventory__Data[stock_on_hand],"&lt;=0")</f>
        <v>29</v>
      </c>
    </row>
    <row r="1482" spans="1:9" x14ac:dyDescent="0.3">
      <c r="A1482" s="1">
        <v>45954</v>
      </c>
      <c r="B1482" t="s">
        <v>9</v>
      </c>
      <c r="C1482">
        <v>753</v>
      </c>
      <c r="D1482">
        <v>0.05</v>
      </c>
      <c r="E1482">
        <v>0</v>
      </c>
      <c r="F1482">
        <v>5</v>
      </c>
      <c r="G1482" t="b">
        <v>0</v>
      </c>
      <c r="H1482">
        <f>IF(inventory__Data[[#This Row],[stock_on_hand]]&lt;=0,1,0)</f>
        <v>0</v>
      </c>
      <c r="I1482">
        <f>COUNTIFS(inventory__Data[product_id],inventory__Data[[#This Row],[product_id]],inventory__Data[stock_on_hand],"&lt;=0")</f>
        <v>25</v>
      </c>
    </row>
    <row r="1483" spans="1:9" x14ac:dyDescent="0.3">
      <c r="A1483" s="1">
        <v>45954</v>
      </c>
      <c r="B1483" t="s">
        <v>12</v>
      </c>
      <c r="C1483">
        <v>639</v>
      </c>
      <c r="D1483">
        <v>0.02</v>
      </c>
      <c r="E1483">
        <v>0</v>
      </c>
      <c r="F1483">
        <v>5</v>
      </c>
      <c r="G1483" t="b">
        <v>0</v>
      </c>
      <c r="H1483">
        <f>IF(inventory__Data[[#This Row],[stock_on_hand]]&lt;=0,1,0)</f>
        <v>0</v>
      </c>
      <c r="I1483">
        <f>COUNTIFS(inventory__Data[product_id],inventory__Data[[#This Row],[product_id]],inventory__Data[stock_on_hand],"&lt;=0")</f>
        <v>23</v>
      </c>
    </row>
    <row r="1484" spans="1:9" x14ac:dyDescent="0.3">
      <c r="A1484" s="1">
        <v>45954</v>
      </c>
      <c r="B1484" t="s">
        <v>15</v>
      </c>
      <c r="C1484">
        <v>400</v>
      </c>
      <c r="D1484">
        <v>0.04</v>
      </c>
      <c r="E1484">
        <v>0</v>
      </c>
      <c r="F1484">
        <v>5</v>
      </c>
      <c r="G1484" t="b">
        <v>0</v>
      </c>
      <c r="H1484">
        <f>IF(inventory__Data[[#This Row],[stock_on_hand]]&lt;=0,1,0)</f>
        <v>0</v>
      </c>
      <c r="I1484">
        <f>COUNTIFS(inventory__Data[product_id],inventory__Data[[#This Row],[product_id]],inventory__Data[stock_on_hand],"&lt;=0")</f>
        <v>30</v>
      </c>
    </row>
    <row r="1485" spans="1:9" x14ac:dyDescent="0.3">
      <c r="A1485" s="1">
        <v>45954</v>
      </c>
      <c r="B1485" t="s">
        <v>18</v>
      </c>
      <c r="C1485">
        <v>0</v>
      </c>
      <c r="D1485">
        <v>0.15</v>
      </c>
      <c r="E1485">
        <v>0</v>
      </c>
      <c r="F1485">
        <v>5</v>
      </c>
      <c r="G1485" t="b">
        <v>0</v>
      </c>
      <c r="H1485">
        <f>IF(inventory__Data[[#This Row],[stock_on_hand]]&lt;=0,1,0)</f>
        <v>1</v>
      </c>
      <c r="I1485">
        <f>COUNTIFS(inventory__Data[product_id],inventory__Data[[#This Row],[product_id]],inventory__Data[stock_on_hand],"&lt;=0")</f>
        <v>30</v>
      </c>
    </row>
    <row r="1486" spans="1:9" x14ac:dyDescent="0.3">
      <c r="A1486" s="1">
        <v>45954</v>
      </c>
      <c r="B1486" t="s">
        <v>21</v>
      </c>
      <c r="C1486">
        <v>901</v>
      </c>
      <c r="D1486">
        <v>0.03</v>
      </c>
      <c r="E1486">
        <v>0</v>
      </c>
      <c r="F1486">
        <v>2</v>
      </c>
      <c r="G1486" t="b">
        <v>0</v>
      </c>
      <c r="H1486">
        <f>IF(inventory__Data[[#This Row],[stock_on_hand]]&lt;=0,1,0)</f>
        <v>0</v>
      </c>
      <c r="I1486">
        <f>COUNTIFS(inventory__Data[product_id],inventory__Data[[#This Row],[product_id]],inventory__Data[stock_on_hand],"&lt;=0")</f>
        <v>29</v>
      </c>
    </row>
    <row r="1487" spans="1:9" x14ac:dyDescent="0.3">
      <c r="A1487" s="1">
        <v>45955</v>
      </c>
      <c r="B1487" t="s">
        <v>9</v>
      </c>
      <c r="C1487">
        <v>392</v>
      </c>
      <c r="D1487">
        <v>0.05</v>
      </c>
      <c r="E1487">
        <v>0</v>
      </c>
      <c r="F1487">
        <v>15</v>
      </c>
      <c r="G1487" t="b">
        <v>0</v>
      </c>
      <c r="H1487">
        <f>IF(inventory__Data[[#This Row],[stock_on_hand]]&lt;=0,1,0)</f>
        <v>0</v>
      </c>
      <c r="I1487">
        <f>COUNTIFS(inventory__Data[product_id],inventory__Data[[#This Row],[product_id]],inventory__Data[stock_on_hand],"&lt;=0")</f>
        <v>25</v>
      </c>
    </row>
    <row r="1488" spans="1:9" x14ac:dyDescent="0.3">
      <c r="A1488" s="1">
        <v>45955</v>
      </c>
      <c r="B1488" t="s">
        <v>12</v>
      </c>
      <c r="C1488">
        <v>92</v>
      </c>
      <c r="D1488">
        <v>0.02</v>
      </c>
      <c r="E1488">
        <v>0</v>
      </c>
      <c r="F1488">
        <v>10</v>
      </c>
      <c r="G1488" t="b">
        <v>0</v>
      </c>
      <c r="H1488">
        <f>IF(inventory__Data[[#This Row],[stock_on_hand]]&lt;=0,1,0)</f>
        <v>0</v>
      </c>
      <c r="I1488">
        <f>COUNTIFS(inventory__Data[product_id],inventory__Data[[#This Row],[product_id]],inventory__Data[stock_on_hand],"&lt;=0")</f>
        <v>23</v>
      </c>
    </row>
    <row r="1489" spans="1:9" x14ac:dyDescent="0.3">
      <c r="A1489" s="1">
        <v>45955</v>
      </c>
      <c r="B1489" t="s">
        <v>15</v>
      </c>
      <c r="C1489">
        <v>250</v>
      </c>
      <c r="D1489">
        <v>0.04</v>
      </c>
      <c r="E1489">
        <v>0</v>
      </c>
      <c r="F1489">
        <v>10</v>
      </c>
      <c r="G1489" t="b">
        <v>0</v>
      </c>
      <c r="H1489">
        <f>IF(inventory__Data[[#This Row],[stock_on_hand]]&lt;=0,1,0)</f>
        <v>0</v>
      </c>
      <c r="I1489">
        <f>COUNTIFS(inventory__Data[product_id],inventory__Data[[#This Row],[product_id]],inventory__Data[stock_on_hand],"&lt;=0")</f>
        <v>30</v>
      </c>
    </row>
    <row r="1490" spans="1:9" x14ac:dyDescent="0.3">
      <c r="A1490" s="1">
        <v>45955</v>
      </c>
      <c r="B1490" t="s">
        <v>18</v>
      </c>
      <c r="C1490">
        <v>214</v>
      </c>
      <c r="D1490">
        <v>0.15</v>
      </c>
      <c r="E1490">
        <v>0</v>
      </c>
      <c r="F1490">
        <v>15</v>
      </c>
      <c r="G1490" t="b">
        <v>0</v>
      </c>
      <c r="H1490">
        <f>IF(inventory__Data[[#This Row],[stock_on_hand]]&lt;=0,1,0)</f>
        <v>0</v>
      </c>
      <c r="I1490">
        <f>COUNTIFS(inventory__Data[product_id],inventory__Data[[#This Row],[product_id]],inventory__Data[stock_on_hand],"&lt;=0")</f>
        <v>30</v>
      </c>
    </row>
    <row r="1491" spans="1:9" x14ac:dyDescent="0.3">
      <c r="A1491" s="1">
        <v>45955</v>
      </c>
      <c r="B1491" t="s">
        <v>21</v>
      </c>
      <c r="C1491">
        <v>809</v>
      </c>
      <c r="D1491">
        <v>0.03</v>
      </c>
      <c r="E1491">
        <v>0</v>
      </c>
      <c r="F1491">
        <v>5</v>
      </c>
      <c r="G1491" t="b">
        <v>0</v>
      </c>
      <c r="H1491">
        <f>IF(inventory__Data[[#This Row],[stock_on_hand]]&lt;=0,1,0)</f>
        <v>0</v>
      </c>
      <c r="I1491">
        <f>COUNTIFS(inventory__Data[product_id],inventory__Data[[#This Row],[product_id]],inventory__Data[stock_on_hand],"&lt;=0")</f>
        <v>29</v>
      </c>
    </row>
    <row r="1492" spans="1:9" x14ac:dyDescent="0.3">
      <c r="A1492" s="1">
        <v>45956</v>
      </c>
      <c r="B1492" t="s">
        <v>9</v>
      </c>
      <c r="C1492">
        <v>251</v>
      </c>
      <c r="D1492">
        <v>0.05</v>
      </c>
      <c r="E1492">
        <v>0</v>
      </c>
      <c r="F1492">
        <v>2</v>
      </c>
      <c r="G1492" t="b">
        <v>0</v>
      </c>
      <c r="H1492">
        <f>IF(inventory__Data[[#This Row],[stock_on_hand]]&lt;=0,1,0)</f>
        <v>0</v>
      </c>
      <c r="I1492">
        <f>COUNTIFS(inventory__Data[product_id],inventory__Data[[#This Row],[product_id]],inventory__Data[stock_on_hand],"&lt;=0")</f>
        <v>25</v>
      </c>
    </row>
    <row r="1493" spans="1:9" x14ac:dyDescent="0.3">
      <c r="A1493" s="1">
        <v>45956</v>
      </c>
      <c r="B1493" t="s">
        <v>12</v>
      </c>
      <c r="C1493">
        <v>62</v>
      </c>
      <c r="D1493">
        <v>0.02</v>
      </c>
      <c r="E1493">
        <v>0</v>
      </c>
      <c r="F1493">
        <v>2</v>
      </c>
      <c r="G1493" t="b">
        <v>0</v>
      </c>
      <c r="H1493">
        <f>IF(inventory__Data[[#This Row],[stock_on_hand]]&lt;=0,1,0)</f>
        <v>0</v>
      </c>
      <c r="I1493">
        <f>COUNTIFS(inventory__Data[product_id],inventory__Data[[#This Row],[product_id]],inventory__Data[stock_on_hand],"&lt;=0")</f>
        <v>23</v>
      </c>
    </row>
    <row r="1494" spans="1:9" x14ac:dyDescent="0.3">
      <c r="A1494" s="1">
        <v>45956</v>
      </c>
      <c r="B1494" t="s">
        <v>15</v>
      </c>
      <c r="C1494">
        <v>790</v>
      </c>
      <c r="D1494">
        <v>0.04</v>
      </c>
      <c r="E1494">
        <v>0</v>
      </c>
      <c r="F1494">
        <v>2</v>
      </c>
      <c r="G1494" t="b">
        <v>0</v>
      </c>
      <c r="H1494">
        <f>IF(inventory__Data[[#This Row],[stock_on_hand]]&lt;=0,1,0)</f>
        <v>0</v>
      </c>
      <c r="I1494">
        <f>COUNTIFS(inventory__Data[product_id],inventory__Data[[#This Row],[product_id]],inventory__Data[stock_on_hand],"&lt;=0")</f>
        <v>30</v>
      </c>
    </row>
    <row r="1495" spans="1:9" x14ac:dyDescent="0.3">
      <c r="A1495" s="1">
        <v>45956</v>
      </c>
      <c r="B1495" t="s">
        <v>18</v>
      </c>
      <c r="C1495">
        <v>459</v>
      </c>
      <c r="D1495">
        <v>0.15</v>
      </c>
      <c r="E1495">
        <v>0</v>
      </c>
      <c r="F1495">
        <v>2</v>
      </c>
      <c r="G1495" t="b">
        <v>0</v>
      </c>
      <c r="H1495">
        <f>IF(inventory__Data[[#This Row],[stock_on_hand]]&lt;=0,1,0)</f>
        <v>0</v>
      </c>
      <c r="I1495">
        <f>COUNTIFS(inventory__Data[product_id],inventory__Data[[#This Row],[product_id]],inventory__Data[stock_on_hand],"&lt;=0")</f>
        <v>30</v>
      </c>
    </row>
    <row r="1496" spans="1:9" x14ac:dyDescent="0.3">
      <c r="A1496" s="1">
        <v>45956</v>
      </c>
      <c r="B1496" t="s">
        <v>21</v>
      </c>
      <c r="C1496">
        <v>138</v>
      </c>
      <c r="D1496">
        <v>0.03</v>
      </c>
      <c r="E1496">
        <v>0</v>
      </c>
      <c r="F1496">
        <v>2</v>
      </c>
      <c r="G1496" t="b">
        <v>0</v>
      </c>
      <c r="H1496">
        <f>IF(inventory__Data[[#This Row],[stock_on_hand]]&lt;=0,1,0)</f>
        <v>0</v>
      </c>
      <c r="I1496">
        <f>COUNTIFS(inventory__Data[product_id],inventory__Data[[#This Row],[product_id]],inventory__Data[stock_on_hand],"&lt;=0")</f>
        <v>29</v>
      </c>
    </row>
    <row r="1497" spans="1:9" x14ac:dyDescent="0.3">
      <c r="A1497" s="1">
        <v>45957</v>
      </c>
      <c r="B1497" t="s">
        <v>9</v>
      </c>
      <c r="C1497">
        <v>353</v>
      </c>
      <c r="D1497">
        <v>0.05</v>
      </c>
      <c r="E1497">
        <v>0</v>
      </c>
      <c r="F1497">
        <v>2</v>
      </c>
      <c r="G1497" t="b">
        <v>0</v>
      </c>
      <c r="H1497">
        <f>IF(inventory__Data[[#This Row],[stock_on_hand]]&lt;=0,1,0)</f>
        <v>0</v>
      </c>
      <c r="I1497">
        <f>COUNTIFS(inventory__Data[product_id],inventory__Data[[#This Row],[product_id]],inventory__Data[stock_on_hand],"&lt;=0")</f>
        <v>25</v>
      </c>
    </row>
    <row r="1498" spans="1:9" x14ac:dyDescent="0.3">
      <c r="A1498" s="1">
        <v>45957</v>
      </c>
      <c r="B1498" t="s">
        <v>12</v>
      </c>
      <c r="C1498">
        <v>330</v>
      </c>
      <c r="D1498">
        <v>0.02</v>
      </c>
      <c r="E1498">
        <v>0</v>
      </c>
      <c r="F1498">
        <v>2</v>
      </c>
      <c r="G1498" t="b">
        <v>0</v>
      </c>
      <c r="H1498">
        <f>IF(inventory__Data[[#This Row],[stock_on_hand]]&lt;=0,1,0)</f>
        <v>0</v>
      </c>
      <c r="I1498">
        <f>COUNTIFS(inventory__Data[product_id],inventory__Data[[#This Row],[product_id]],inventory__Data[stock_on_hand],"&lt;=0")</f>
        <v>23</v>
      </c>
    </row>
    <row r="1499" spans="1:9" x14ac:dyDescent="0.3">
      <c r="A1499" s="1">
        <v>45957</v>
      </c>
      <c r="B1499" t="s">
        <v>15</v>
      </c>
      <c r="C1499">
        <v>396</v>
      </c>
      <c r="D1499">
        <v>0.04</v>
      </c>
      <c r="E1499">
        <v>0</v>
      </c>
      <c r="F1499">
        <v>5</v>
      </c>
      <c r="G1499" t="b">
        <v>0</v>
      </c>
      <c r="H1499">
        <f>IF(inventory__Data[[#This Row],[stock_on_hand]]&lt;=0,1,0)</f>
        <v>0</v>
      </c>
      <c r="I1499">
        <f>COUNTIFS(inventory__Data[product_id],inventory__Data[[#This Row],[product_id]],inventory__Data[stock_on_hand],"&lt;=0")</f>
        <v>30</v>
      </c>
    </row>
    <row r="1500" spans="1:9" x14ac:dyDescent="0.3">
      <c r="A1500" s="1">
        <v>45957</v>
      </c>
      <c r="B1500" t="s">
        <v>18</v>
      </c>
      <c r="C1500">
        <v>735</v>
      </c>
      <c r="D1500">
        <v>0.15</v>
      </c>
      <c r="E1500">
        <v>0</v>
      </c>
      <c r="F1500">
        <v>2</v>
      </c>
      <c r="G1500" t="b">
        <v>0</v>
      </c>
      <c r="H1500">
        <f>IF(inventory__Data[[#This Row],[stock_on_hand]]&lt;=0,1,0)</f>
        <v>0</v>
      </c>
      <c r="I1500">
        <f>COUNTIFS(inventory__Data[product_id],inventory__Data[[#This Row],[product_id]],inventory__Data[stock_on_hand],"&lt;=0")</f>
        <v>30</v>
      </c>
    </row>
    <row r="1501" spans="1:9" x14ac:dyDescent="0.3">
      <c r="A1501" s="1">
        <v>45957</v>
      </c>
      <c r="B1501" t="s">
        <v>21</v>
      </c>
      <c r="C1501">
        <v>171</v>
      </c>
      <c r="D1501">
        <v>0.03</v>
      </c>
      <c r="E1501">
        <v>0</v>
      </c>
      <c r="F1501">
        <v>5</v>
      </c>
      <c r="G1501" t="b">
        <v>0</v>
      </c>
      <c r="H1501">
        <f>IF(inventory__Data[[#This Row],[stock_on_hand]]&lt;=0,1,0)</f>
        <v>0</v>
      </c>
      <c r="I1501">
        <f>COUNTIFS(inventory__Data[product_id],inventory__Data[[#This Row],[product_id]],inventory__Data[stock_on_hand],"&lt;=0")</f>
        <v>29</v>
      </c>
    </row>
    <row r="1502" spans="1:9" x14ac:dyDescent="0.3">
      <c r="A1502" s="1">
        <v>45958</v>
      </c>
      <c r="B1502" t="s">
        <v>9</v>
      </c>
      <c r="C1502">
        <v>59</v>
      </c>
      <c r="D1502">
        <v>0.05</v>
      </c>
      <c r="E1502">
        <v>0</v>
      </c>
      <c r="F1502">
        <v>2</v>
      </c>
      <c r="G1502" t="b">
        <v>0</v>
      </c>
      <c r="H1502">
        <f>IF(inventory__Data[[#This Row],[stock_on_hand]]&lt;=0,1,0)</f>
        <v>0</v>
      </c>
      <c r="I1502">
        <f>COUNTIFS(inventory__Data[product_id],inventory__Data[[#This Row],[product_id]],inventory__Data[stock_on_hand],"&lt;=0")</f>
        <v>25</v>
      </c>
    </row>
    <row r="1503" spans="1:9" x14ac:dyDescent="0.3">
      <c r="A1503" s="1">
        <v>45958</v>
      </c>
      <c r="B1503" t="s">
        <v>12</v>
      </c>
      <c r="C1503">
        <v>0</v>
      </c>
      <c r="D1503">
        <v>0.02</v>
      </c>
      <c r="E1503">
        <v>0</v>
      </c>
      <c r="F1503">
        <v>2</v>
      </c>
      <c r="G1503" t="b">
        <v>0</v>
      </c>
      <c r="H1503">
        <f>IF(inventory__Data[[#This Row],[stock_on_hand]]&lt;=0,1,0)</f>
        <v>1</v>
      </c>
      <c r="I1503">
        <f>COUNTIFS(inventory__Data[product_id],inventory__Data[[#This Row],[product_id]],inventory__Data[stock_on_hand],"&lt;=0")</f>
        <v>23</v>
      </c>
    </row>
    <row r="1504" spans="1:9" x14ac:dyDescent="0.3">
      <c r="A1504" s="1">
        <v>45958</v>
      </c>
      <c r="B1504" t="s">
        <v>15</v>
      </c>
      <c r="C1504">
        <v>115</v>
      </c>
      <c r="D1504">
        <v>0.04</v>
      </c>
      <c r="E1504">
        <v>0</v>
      </c>
      <c r="F1504">
        <v>2</v>
      </c>
      <c r="G1504" t="b">
        <v>0</v>
      </c>
      <c r="H1504">
        <f>IF(inventory__Data[[#This Row],[stock_on_hand]]&lt;=0,1,0)</f>
        <v>0</v>
      </c>
      <c r="I1504">
        <f>COUNTIFS(inventory__Data[product_id],inventory__Data[[#This Row],[product_id]],inventory__Data[stock_on_hand],"&lt;=0")</f>
        <v>30</v>
      </c>
    </row>
    <row r="1505" spans="1:9" x14ac:dyDescent="0.3">
      <c r="A1505" s="1">
        <v>45958</v>
      </c>
      <c r="B1505" t="s">
        <v>18</v>
      </c>
      <c r="C1505">
        <v>876</v>
      </c>
      <c r="D1505">
        <v>0.15</v>
      </c>
      <c r="E1505">
        <v>0</v>
      </c>
      <c r="F1505">
        <v>2</v>
      </c>
      <c r="G1505" t="b">
        <v>0</v>
      </c>
      <c r="H1505">
        <f>IF(inventory__Data[[#This Row],[stock_on_hand]]&lt;=0,1,0)</f>
        <v>0</v>
      </c>
      <c r="I1505">
        <f>COUNTIFS(inventory__Data[product_id],inventory__Data[[#This Row],[product_id]],inventory__Data[stock_on_hand],"&lt;=0")</f>
        <v>30</v>
      </c>
    </row>
    <row r="1506" spans="1:9" x14ac:dyDescent="0.3">
      <c r="A1506" s="1">
        <v>45958</v>
      </c>
      <c r="B1506" t="s">
        <v>21</v>
      </c>
      <c r="C1506">
        <v>298</v>
      </c>
      <c r="D1506">
        <v>0.03</v>
      </c>
      <c r="E1506">
        <v>0</v>
      </c>
      <c r="F1506">
        <v>2</v>
      </c>
      <c r="G1506" t="b">
        <v>0</v>
      </c>
      <c r="H1506">
        <f>IF(inventory__Data[[#This Row],[stock_on_hand]]&lt;=0,1,0)</f>
        <v>0</v>
      </c>
      <c r="I1506">
        <f>COUNTIFS(inventory__Data[product_id],inventory__Data[[#This Row],[product_id]],inventory__Data[stock_on_hand],"&lt;=0")</f>
        <v>29</v>
      </c>
    </row>
    <row r="1507" spans="1:9" x14ac:dyDescent="0.3">
      <c r="A1507" s="1">
        <v>45959</v>
      </c>
      <c r="B1507" t="s">
        <v>9</v>
      </c>
      <c r="C1507">
        <v>626</v>
      </c>
      <c r="D1507">
        <v>0.05</v>
      </c>
      <c r="E1507">
        <v>0</v>
      </c>
      <c r="F1507">
        <v>10</v>
      </c>
      <c r="G1507" t="b">
        <v>0</v>
      </c>
      <c r="H1507">
        <f>IF(inventory__Data[[#This Row],[stock_on_hand]]&lt;=0,1,0)</f>
        <v>0</v>
      </c>
      <c r="I1507">
        <f>COUNTIFS(inventory__Data[product_id],inventory__Data[[#This Row],[product_id]],inventory__Data[stock_on_hand],"&lt;=0")</f>
        <v>25</v>
      </c>
    </row>
    <row r="1508" spans="1:9" x14ac:dyDescent="0.3">
      <c r="A1508" s="1">
        <v>45959</v>
      </c>
      <c r="B1508" t="s">
        <v>12</v>
      </c>
      <c r="C1508">
        <v>645</v>
      </c>
      <c r="D1508">
        <v>0.02</v>
      </c>
      <c r="E1508">
        <v>0</v>
      </c>
      <c r="F1508">
        <v>2</v>
      </c>
      <c r="G1508" t="b">
        <v>0</v>
      </c>
      <c r="H1508">
        <f>IF(inventory__Data[[#This Row],[stock_on_hand]]&lt;=0,1,0)</f>
        <v>0</v>
      </c>
      <c r="I1508">
        <f>COUNTIFS(inventory__Data[product_id],inventory__Data[[#This Row],[product_id]],inventory__Data[stock_on_hand],"&lt;=0")</f>
        <v>23</v>
      </c>
    </row>
    <row r="1509" spans="1:9" x14ac:dyDescent="0.3">
      <c r="A1509" s="1">
        <v>45959</v>
      </c>
      <c r="B1509" t="s">
        <v>15</v>
      </c>
      <c r="C1509">
        <v>0</v>
      </c>
      <c r="D1509">
        <v>0.04</v>
      </c>
      <c r="E1509">
        <v>0</v>
      </c>
      <c r="F1509">
        <v>5</v>
      </c>
      <c r="G1509" t="b">
        <v>0</v>
      </c>
      <c r="H1509">
        <f>IF(inventory__Data[[#This Row],[stock_on_hand]]&lt;=0,1,0)</f>
        <v>1</v>
      </c>
      <c r="I1509">
        <f>COUNTIFS(inventory__Data[product_id],inventory__Data[[#This Row],[product_id]],inventory__Data[stock_on_hand],"&lt;=0")</f>
        <v>30</v>
      </c>
    </row>
    <row r="1510" spans="1:9" x14ac:dyDescent="0.3">
      <c r="A1510" s="1">
        <v>45959</v>
      </c>
      <c r="B1510" t="s">
        <v>18</v>
      </c>
      <c r="C1510">
        <v>783</v>
      </c>
      <c r="D1510">
        <v>0.15</v>
      </c>
      <c r="E1510">
        <v>0</v>
      </c>
      <c r="F1510">
        <v>2</v>
      </c>
      <c r="G1510" t="b">
        <v>0</v>
      </c>
      <c r="H1510">
        <f>IF(inventory__Data[[#This Row],[stock_on_hand]]&lt;=0,1,0)</f>
        <v>0</v>
      </c>
      <c r="I1510">
        <f>COUNTIFS(inventory__Data[product_id],inventory__Data[[#This Row],[product_id]],inventory__Data[stock_on_hand],"&lt;=0")</f>
        <v>30</v>
      </c>
    </row>
    <row r="1511" spans="1:9" x14ac:dyDescent="0.3">
      <c r="A1511" s="1">
        <v>45959</v>
      </c>
      <c r="B1511" t="s">
        <v>21</v>
      </c>
      <c r="C1511">
        <v>27</v>
      </c>
      <c r="D1511">
        <v>0.03</v>
      </c>
      <c r="E1511">
        <v>0</v>
      </c>
      <c r="F1511">
        <v>2</v>
      </c>
      <c r="G1511" t="b">
        <v>0</v>
      </c>
      <c r="H1511">
        <f>IF(inventory__Data[[#This Row],[stock_on_hand]]&lt;=0,1,0)</f>
        <v>0</v>
      </c>
      <c r="I1511">
        <f>COUNTIFS(inventory__Data[product_id],inventory__Data[[#This Row],[product_id]],inventory__Data[stock_on_hand],"&lt;=0")</f>
        <v>29</v>
      </c>
    </row>
    <row r="1512" spans="1:9" x14ac:dyDescent="0.3">
      <c r="A1512" s="1">
        <v>45960</v>
      </c>
      <c r="B1512" t="s">
        <v>9</v>
      </c>
      <c r="C1512">
        <v>764</v>
      </c>
      <c r="D1512">
        <v>0.05</v>
      </c>
      <c r="E1512">
        <v>0</v>
      </c>
      <c r="F1512">
        <v>2</v>
      </c>
      <c r="G1512" t="b">
        <v>0</v>
      </c>
      <c r="H1512">
        <f>IF(inventory__Data[[#This Row],[stock_on_hand]]&lt;=0,1,0)</f>
        <v>0</v>
      </c>
      <c r="I1512">
        <f>COUNTIFS(inventory__Data[product_id],inventory__Data[[#This Row],[product_id]],inventory__Data[stock_on_hand],"&lt;=0")</f>
        <v>25</v>
      </c>
    </row>
    <row r="1513" spans="1:9" x14ac:dyDescent="0.3">
      <c r="A1513" s="1">
        <v>45960</v>
      </c>
      <c r="B1513" t="s">
        <v>12</v>
      </c>
      <c r="C1513">
        <v>376</v>
      </c>
      <c r="D1513">
        <v>0.02</v>
      </c>
      <c r="E1513">
        <v>0</v>
      </c>
      <c r="F1513">
        <v>2</v>
      </c>
      <c r="G1513" t="b">
        <v>0</v>
      </c>
      <c r="H1513">
        <f>IF(inventory__Data[[#This Row],[stock_on_hand]]&lt;=0,1,0)</f>
        <v>0</v>
      </c>
      <c r="I1513">
        <f>COUNTIFS(inventory__Data[product_id],inventory__Data[[#This Row],[product_id]],inventory__Data[stock_on_hand],"&lt;=0")</f>
        <v>23</v>
      </c>
    </row>
    <row r="1514" spans="1:9" x14ac:dyDescent="0.3">
      <c r="A1514" s="1">
        <v>45960</v>
      </c>
      <c r="B1514" t="s">
        <v>15</v>
      </c>
      <c r="C1514">
        <v>123</v>
      </c>
      <c r="D1514">
        <v>0.04</v>
      </c>
      <c r="E1514">
        <v>0</v>
      </c>
      <c r="F1514">
        <v>2</v>
      </c>
      <c r="G1514" t="b">
        <v>0</v>
      </c>
      <c r="H1514">
        <f>IF(inventory__Data[[#This Row],[stock_on_hand]]&lt;=0,1,0)</f>
        <v>0</v>
      </c>
      <c r="I1514">
        <f>COUNTIFS(inventory__Data[product_id],inventory__Data[[#This Row],[product_id]],inventory__Data[stock_on_hand],"&lt;=0")</f>
        <v>30</v>
      </c>
    </row>
    <row r="1515" spans="1:9" x14ac:dyDescent="0.3">
      <c r="A1515" s="1">
        <v>45960</v>
      </c>
      <c r="B1515" t="s">
        <v>18</v>
      </c>
      <c r="C1515">
        <v>433</v>
      </c>
      <c r="D1515">
        <v>0.15</v>
      </c>
      <c r="E1515">
        <v>0</v>
      </c>
      <c r="F1515">
        <v>2</v>
      </c>
      <c r="G1515" t="b">
        <v>0</v>
      </c>
      <c r="H1515">
        <f>IF(inventory__Data[[#This Row],[stock_on_hand]]&lt;=0,1,0)</f>
        <v>0</v>
      </c>
      <c r="I1515">
        <f>COUNTIFS(inventory__Data[product_id],inventory__Data[[#This Row],[product_id]],inventory__Data[stock_on_hand],"&lt;=0")</f>
        <v>30</v>
      </c>
    </row>
    <row r="1516" spans="1:9" x14ac:dyDescent="0.3">
      <c r="A1516" s="1">
        <v>45960</v>
      </c>
      <c r="B1516" t="s">
        <v>21</v>
      </c>
      <c r="C1516">
        <v>77</v>
      </c>
      <c r="D1516">
        <v>0.03</v>
      </c>
      <c r="E1516">
        <v>0</v>
      </c>
      <c r="F1516">
        <v>2</v>
      </c>
      <c r="G1516" t="b">
        <v>0</v>
      </c>
      <c r="H1516">
        <f>IF(inventory__Data[[#This Row],[stock_on_hand]]&lt;=0,1,0)</f>
        <v>0</v>
      </c>
      <c r="I1516">
        <f>COUNTIFS(inventory__Data[product_id],inventory__Data[[#This Row],[product_id]],inventory__Data[stock_on_hand],"&lt;=0")</f>
        <v>29</v>
      </c>
    </row>
    <row r="1517" spans="1:9" x14ac:dyDescent="0.3">
      <c r="A1517" s="1">
        <v>45961</v>
      </c>
      <c r="B1517" t="s">
        <v>9</v>
      </c>
      <c r="C1517">
        <v>492</v>
      </c>
      <c r="D1517">
        <v>0.05</v>
      </c>
      <c r="E1517">
        <v>0</v>
      </c>
      <c r="F1517">
        <v>5</v>
      </c>
      <c r="G1517" t="b">
        <v>0</v>
      </c>
      <c r="H1517">
        <f>IF(inventory__Data[[#This Row],[stock_on_hand]]&lt;=0,1,0)</f>
        <v>0</v>
      </c>
      <c r="I1517">
        <f>COUNTIFS(inventory__Data[product_id],inventory__Data[[#This Row],[product_id]],inventory__Data[stock_on_hand],"&lt;=0")</f>
        <v>25</v>
      </c>
    </row>
    <row r="1518" spans="1:9" x14ac:dyDescent="0.3">
      <c r="A1518" s="1">
        <v>45961</v>
      </c>
      <c r="B1518" t="s">
        <v>12</v>
      </c>
      <c r="C1518">
        <v>49</v>
      </c>
      <c r="D1518">
        <v>0.02</v>
      </c>
      <c r="E1518">
        <v>0</v>
      </c>
      <c r="F1518">
        <v>2</v>
      </c>
      <c r="G1518" t="b">
        <v>0</v>
      </c>
      <c r="H1518">
        <f>IF(inventory__Data[[#This Row],[stock_on_hand]]&lt;=0,1,0)</f>
        <v>0</v>
      </c>
      <c r="I1518">
        <f>COUNTIFS(inventory__Data[product_id],inventory__Data[[#This Row],[product_id]],inventory__Data[stock_on_hand],"&lt;=0")</f>
        <v>23</v>
      </c>
    </row>
    <row r="1519" spans="1:9" x14ac:dyDescent="0.3">
      <c r="A1519" s="1">
        <v>45961</v>
      </c>
      <c r="B1519" t="s">
        <v>15</v>
      </c>
      <c r="C1519">
        <v>18</v>
      </c>
      <c r="D1519">
        <v>0.04</v>
      </c>
      <c r="E1519">
        <v>0</v>
      </c>
      <c r="F1519">
        <v>5</v>
      </c>
      <c r="G1519" t="b">
        <v>0</v>
      </c>
      <c r="H1519">
        <f>IF(inventory__Data[[#This Row],[stock_on_hand]]&lt;=0,1,0)</f>
        <v>0</v>
      </c>
      <c r="I1519">
        <f>COUNTIFS(inventory__Data[product_id],inventory__Data[[#This Row],[product_id]],inventory__Data[stock_on_hand],"&lt;=0")</f>
        <v>30</v>
      </c>
    </row>
    <row r="1520" spans="1:9" x14ac:dyDescent="0.3">
      <c r="A1520" s="1">
        <v>45961</v>
      </c>
      <c r="B1520" t="s">
        <v>18</v>
      </c>
      <c r="C1520">
        <v>542</v>
      </c>
      <c r="D1520">
        <v>0.15</v>
      </c>
      <c r="E1520">
        <v>0</v>
      </c>
      <c r="F1520">
        <v>2</v>
      </c>
      <c r="G1520" t="b">
        <v>0</v>
      </c>
      <c r="H1520">
        <f>IF(inventory__Data[[#This Row],[stock_on_hand]]&lt;=0,1,0)</f>
        <v>0</v>
      </c>
      <c r="I1520">
        <f>COUNTIFS(inventory__Data[product_id],inventory__Data[[#This Row],[product_id]],inventory__Data[stock_on_hand],"&lt;=0")</f>
        <v>30</v>
      </c>
    </row>
    <row r="1521" spans="1:9" x14ac:dyDescent="0.3">
      <c r="A1521" s="1">
        <v>45961</v>
      </c>
      <c r="B1521" t="s">
        <v>21</v>
      </c>
      <c r="C1521">
        <v>658</v>
      </c>
      <c r="D1521">
        <v>0.03</v>
      </c>
      <c r="E1521">
        <v>0</v>
      </c>
      <c r="F1521">
        <v>2</v>
      </c>
      <c r="G1521" t="b">
        <v>0</v>
      </c>
      <c r="H1521">
        <f>IF(inventory__Data[[#This Row],[stock_on_hand]]&lt;=0,1,0)</f>
        <v>0</v>
      </c>
      <c r="I1521">
        <f>COUNTIFS(inventory__Data[product_id],inventory__Data[[#This Row],[product_id]],inventory__Data[stock_on_hand],"&lt;=0")</f>
        <v>29</v>
      </c>
    </row>
    <row r="1522" spans="1:9" x14ac:dyDescent="0.3">
      <c r="A1522" s="1">
        <v>45962</v>
      </c>
      <c r="B1522" t="s">
        <v>9</v>
      </c>
      <c r="C1522">
        <v>515</v>
      </c>
      <c r="D1522">
        <v>0.05</v>
      </c>
      <c r="E1522">
        <v>0</v>
      </c>
      <c r="F1522">
        <v>5</v>
      </c>
      <c r="G1522" t="b">
        <v>0</v>
      </c>
      <c r="H1522">
        <f>IF(inventory__Data[[#This Row],[stock_on_hand]]&lt;=0,1,0)</f>
        <v>0</v>
      </c>
      <c r="I1522">
        <f>COUNTIFS(inventory__Data[product_id],inventory__Data[[#This Row],[product_id]],inventory__Data[stock_on_hand],"&lt;=0")</f>
        <v>25</v>
      </c>
    </row>
    <row r="1523" spans="1:9" x14ac:dyDescent="0.3">
      <c r="A1523" s="1">
        <v>45962</v>
      </c>
      <c r="B1523" t="s">
        <v>12</v>
      </c>
      <c r="C1523">
        <v>894</v>
      </c>
      <c r="D1523">
        <v>0.02</v>
      </c>
      <c r="E1523">
        <v>0</v>
      </c>
      <c r="F1523">
        <v>2</v>
      </c>
      <c r="G1523" t="b">
        <v>0</v>
      </c>
      <c r="H1523">
        <f>IF(inventory__Data[[#This Row],[stock_on_hand]]&lt;=0,1,0)</f>
        <v>0</v>
      </c>
      <c r="I1523">
        <f>COUNTIFS(inventory__Data[product_id],inventory__Data[[#This Row],[product_id]],inventory__Data[stock_on_hand],"&lt;=0")</f>
        <v>23</v>
      </c>
    </row>
    <row r="1524" spans="1:9" x14ac:dyDescent="0.3">
      <c r="A1524" s="1">
        <v>45962</v>
      </c>
      <c r="B1524" t="s">
        <v>15</v>
      </c>
      <c r="C1524">
        <v>691</v>
      </c>
      <c r="D1524">
        <v>0.04</v>
      </c>
      <c r="E1524">
        <v>0</v>
      </c>
      <c r="F1524">
        <v>2</v>
      </c>
      <c r="G1524" t="b">
        <v>0</v>
      </c>
      <c r="H1524">
        <f>IF(inventory__Data[[#This Row],[stock_on_hand]]&lt;=0,1,0)</f>
        <v>0</v>
      </c>
      <c r="I1524">
        <f>COUNTIFS(inventory__Data[product_id],inventory__Data[[#This Row],[product_id]],inventory__Data[stock_on_hand],"&lt;=0")</f>
        <v>30</v>
      </c>
    </row>
    <row r="1525" spans="1:9" x14ac:dyDescent="0.3">
      <c r="A1525" s="1">
        <v>45962</v>
      </c>
      <c r="B1525" t="s">
        <v>18</v>
      </c>
      <c r="C1525">
        <v>72</v>
      </c>
      <c r="D1525">
        <v>0.15</v>
      </c>
      <c r="E1525">
        <v>0</v>
      </c>
      <c r="F1525">
        <v>2</v>
      </c>
      <c r="G1525" t="b">
        <v>0</v>
      </c>
      <c r="H1525">
        <f>IF(inventory__Data[[#This Row],[stock_on_hand]]&lt;=0,1,0)</f>
        <v>0</v>
      </c>
      <c r="I1525">
        <f>COUNTIFS(inventory__Data[product_id],inventory__Data[[#This Row],[product_id]],inventory__Data[stock_on_hand],"&lt;=0")</f>
        <v>30</v>
      </c>
    </row>
    <row r="1526" spans="1:9" x14ac:dyDescent="0.3">
      <c r="A1526" s="1">
        <v>45962</v>
      </c>
      <c r="B1526" t="s">
        <v>21</v>
      </c>
      <c r="C1526">
        <v>666</v>
      </c>
      <c r="D1526">
        <v>0.03</v>
      </c>
      <c r="E1526">
        <v>0</v>
      </c>
      <c r="F1526">
        <v>2</v>
      </c>
      <c r="G1526" t="b">
        <v>0</v>
      </c>
      <c r="H1526">
        <f>IF(inventory__Data[[#This Row],[stock_on_hand]]&lt;=0,1,0)</f>
        <v>0</v>
      </c>
      <c r="I1526">
        <f>COUNTIFS(inventory__Data[product_id],inventory__Data[[#This Row],[product_id]],inventory__Data[stock_on_hand],"&lt;=0")</f>
        <v>29</v>
      </c>
    </row>
    <row r="1527" spans="1:9" x14ac:dyDescent="0.3">
      <c r="A1527" s="1">
        <v>45963</v>
      </c>
      <c r="B1527" t="s">
        <v>9</v>
      </c>
      <c r="C1527">
        <v>196</v>
      </c>
      <c r="D1527">
        <v>0.05</v>
      </c>
      <c r="E1527">
        <v>0</v>
      </c>
      <c r="F1527">
        <v>2</v>
      </c>
      <c r="G1527" t="b">
        <v>0</v>
      </c>
      <c r="H1527">
        <f>IF(inventory__Data[[#This Row],[stock_on_hand]]&lt;=0,1,0)</f>
        <v>0</v>
      </c>
      <c r="I1527">
        <f>COUNTIFS(inventory__Data[product_id],inventory__Data[[#This Row],[product_id]],inventory__Data[stock_on_hand],"&lt;=0")</f>
        <v>25</v>
      </c>
    </row>
    <row r="1528" spans="1:9" x14ac:dyDescent="0.3">
      <c r="A1528" s="1">
        <v>45963</v>
      </c>
      <c r="B1528" t="s">
        <v>12</v>
      </c>
      <c r="C1528">
        <v>801</v>
      </c>
      <c r="D1528">
        <v>0.02</v>
      </c>
      <c r="E1528">
        <v>0</v>
      </c>
      <c r="F1528">
        <v>5</v>
      </c>
      <c r="G1528" t="b">
        <v>0</v>
      </c>
      <c r="H1528">
        <f>IF(inventory__Data[[#This Row],[stock_on_hand]]&lt;=0,1,0)</f>
        <v>0</v>
      </c>
      <c r="I1528">
        <f>COUNTIFS(inventory__Data[product_id],inventory__Data[[#This Row],[product_id]],inventory__Data[stock_on_hand],"&lt;=0")</f>
        <v>23</v>
      </c>
    </row>
    <row r="1529" spans="1:9" x14ac:dyDescent="0.3">
      <c r="A1529" s="1">
        <v>45963</v>
      </c>
      <c r="B1529" t="s">
        <v>15</v>
      </c>
      <c r="C1529">
        <v>75</v>
      </c>
      <c r="D1529">
        <v>0.04</v>
      </c>
      <c r="E1529">
        <v>0</v>
      </c>
      <c r="F1529">
        <v>15</v>
      </c>
      <c r="G1529" t="b">
        <v>0</v>
      </c>
      <c r="H1529">
        <f>IF(inventory__Data[[#This Row],[stock_on_hand]]&lt;=0,1,0)</f>
        <v>0</v>
      </c>
      <c r="I1529">
        <f>COUNTIFS(inventory__Data[product_id],inventory__Data[[#This Row],[product_id]],inventory__Data[stock_on_hand],"&lt;=0")</f>
        <v>30</v>
      </c>
    </row>
    <row r="1530" spans="1:9" x14ac:dyDescent="0.3">
      <c r="A1530" s="1">
        <v>45963</v>
      </c>
      <c r="B1530" t="s">
        <v>18</v>
      </c>
      <c r="C1530">
        <v>0</v>
      </c>
      <c r="D1530">
        <v>0.15</v>
      </c>
      <c r="E1530">
        <v>0</v>
      </c>
      <c r="F1530">
        <v>2</v>
      </c>
      <c r="G1530" t="b">
        <v>0</v>
      </c>
      <c r="H1530">
        <f>IF(inventory__Data[[#This Row],[stock_on_hand]]&lt;=0,1,0)</f>
        <v>1</v>
      </c>
      <c r="I1530">
        <f>COUNTIFS(inventory__Data[product_id],inventory__Data[[#This Row],[product_id]],inventory__Data[stock_on_hand],"&lt;=0")</f>
        <v>30</v>
      </c>
    </row>
    <row r="1531" spans="1:9" x14ac:dyDescent="0.3">
      <c r="A1531" s="1">
        <v>45963</v>
      </c>
      <c r="B1531" t="s">
        <v>21</v>
      </c>
      <c r="C1531">
        <v>381</v>
      </c>
      <c r="D1531">
        <v>0.03</v>
      </c>
      <c r="E1531">
        <v>0</v>
      </c>
      <c r="F1531">
        <v>5</v>
      </c>
      <c r="G1531" t="b">
        <v>0</v>
      </c>
      <c r="H1531">
        <f>IF(inventory__Data[[#This Row],[stock_on_hand]]&lt;=0,1,0)</f>
        <v>0</v>
      </c>
      <c r="I1531">
        <f>COUNTIFS(inventory__Data[product_id],inventory__Data[[#This Row],[product_id]],inventory__Data[stock_on_hand],"&lt;=0")</f>
        <v>29</v>
      </c>
    </row>
    <row r="1532" spans="1:9" x14ac:dyDescent="0.3">
      <c r="A1532" s="1">
        <v>45964</v>
      </c>
      <c r="B1532" t="s">
        <v>9</v>
      </c>
      <c r="C1532">
        <v>259</v>
      </c>
      <c r="D1532">
        <v>0.05</v>
      </c>
      <c r="E1532">
        <v>0</v>
      </c>
      <c r="F1532">
        <v>10</v>
      </c>
      <c r="G1532" t="b">
        <v>0</v>
      </c>
      <c r="H1532">
        <f>IF(inventory__Data[[#This Row],[stock_on_hand]]&lt;=0,1,0)</f>
        <v>0</v>
      </c>
      <c r="I1532">
        <f>COUNTIFS(inventory__Data[product_id],inventory__Data[[#This Row],[product_id]],inventory__Data[stock_on_hand],"&lt;=0")</f>
        <v>25</v>
      </c>
    </row>
    <row r="1533" spans="1:9" x14ac:dyDescent="0.3">
      <c r="A1533" s="1">
        <v>45964</v>
      </c>
      <c r="B1533" t="s">
        <v>12</v>
      </c>
      <c r="C1533">
        <v>533</v>
      </c>
      <c r="D1533">
        <v>0.02</v>
      </c>
      <c r="E1533">
        <v>0</v>
      </c>
      <c r="F1533">
        <v>5</v>
      </c>
      <c r="G1533" t="b">
        <v>0</v>
      </c>
      <c r="H1533">
        <f>IF(inventory__Data[[#This Row],[stock_on_hand]]&lt;=0,1,0)</f>
        <v>0</v>
      </c>
      <c r="I1533">
        <f>COUNTIFS(inventory__Data[product_id],inventory__Data[[#This Row],[product_id]],inventory__Data[stock_on_hand],"&lt;=0")</f>
        <v>23</v>
      </c>
    </row>
    <row r="1534" spans="1:9" x14ac:dyDescent="0.3">
      <c r="A1534" s="1">
        <v>45964</v>
      </c>
      <c r="B1534" t="s">
        <v>15</v>
      </c>
      <c r="C1534">
        <v>384</v>
      </c>
      <c r="D1534">
        <v>0.04</v>
      </c>
      <c r="E1534">
        <v>0</v>
      </c>
      <c r="F1534">
        <v>2</v>
      </c>
      <c r="G1534" t="b">
        <v>0</v>
      </c>
      <c r="H1534">
        <f>IF(inventory__Data[[#This Row],[stock_on_hand]]&lt;=0,1,0)</f>
        <v>0</v>
      </c>
      <c r="I1534">
        <f>COUNTIFS(inventory__Data[product_id],inventory__Data[[#This Row],[product_id]],inventory__Data[stock_on_hand],"&lt;=0")</f>
        <v>30</v>
      </c>
    </row>
    <row r="1535" spans="1:9" x14ac:dyDescent="0.3">
      <c r="A1535" s="1">
        <v>45964</v>
      </c>
      <c r="B1535" t="s">
        <v>18</v>
      </c>
      <c r="C1535">
        <v>100</v>
      </c>
      <c r="D1535">
        <v>0.15</v>
      </c>
      <c r="E1535">
        <v>0</v>
      </c>
      <c r="F1535">
        <v>2</v>
      </c>
      <c r="G1535" t="b">
        <v>0</v>
      </c>
      <c r="H1535">
        <f>IF(inventory__Data[[#This Row],[stock_on_hand]]&lt;=0,1,0)</f>
        <v>0</v>
      </c>
      <c r="I1535">
        <f>COUNTIFS(inventory__Data[product_id],inventory__Data[[#This Row],[product_id]],inventory__Data[stock_on_hand],"&lt;=0")</f>
        <v>30</v>
      </c>
    </row>
    <row r="1536" spans="1:9" x14ac:dyDescent="0.3">
      <c r="A1536" s="1">
        <v>45964</v>
      </c>
      <c r="B1536" t="s">
        <v>21</v>
      </c>
      <c r="C1536">
        <v>807</v>
      </c>
      <c r="D1536">
        <v>0.03</v>
      </c>
      <c r="E1536">
        <v>0</v>
      </c>
      <c r="F1536">
        <v>5</v>
      </c>
      <c r="G1536" t="b">
        <v>0</v>
      </c>
      <c r="H1536">
        <f>IF(inventory__Data[[#This Row],[stock_on_hand]]&lt;=0,1,0)</f>
        <v>0</v>
      </c>
      <c r="I1536">
        <f>COUNTIFS(inventory__Data[product_id],inventory__Data[[#This Row],[product_id]],inventory__Data[stock_on_hand],"&lt;=0")</f>
        <v>29</v>
      </c>
    </row>
    <row r="1537" spans="1:9" x14ac:dyDescent="0.3">
      <c r="A1537" s="1">
        <v>45965</v>
      </c>
      <c r="B1537" t="s">
        <v>9</v>
      </c>
      <c r="C1537">
        <v>473</v>
      </c>
      <c r="D1537">
        <v>0.05</v>
      </c>
      <c r="E1537">
        <v>0</v>
      </c>
      <c r="F1537">
        <v>5</v>
      </c>
      <c r="G1537" t="b">
        <v>0</v>
      </c>
      <c r="H1537">
        <f>IF(inventory__Data[[#This Row],[stock_on_hand]]&lt;=0,1,0)</f>
        <v>0</v>
      </c>
      <c r="I1537">
        <f>COUNTIFS(inventory__Data[product_id],inventory__Data[[#This Row],[product_id]],inventory__Data[stock_on_hand],"&lt;=0")</f>
        <v>25</v>
      </c>
    </row>
    <row r="1538" spans="1:9" x14ac:dyDescent="0.3">
      <c r="A1538" s="1">
        <v>45965</v>
      </c>
      <c r="B1538" t="s">
        <v>12</v>
      </c>
      <c r="C1538">
        <v>630</v>
      </c>
      <c r="D1538">
        <v>0.02</v>
      </c>
      <c r="E1538">
        <v>0</v>
      </c>
      <c r="F1538">
        <v>2</v>
      </c>
      <c r="G1538" t="b">
        <v>0</v>
      </c>
      <c r="H1538">
        <f>IF(inventory__Data[[#This Row],[stock_on_hand]]&lt;=0,1,0)</f>
        <v>0</v>
      </c>
      <c r="I1538">
        <f>COUNTIFS(inventory__Data[product_id],inventory__Data[[#This Row],[product_id]],inventory__Data[stock_on_hand],"&lt;=0")</f>
        <v>23</v>
      </c>
    </row>
    <row r="1539" spans="1:9" x14ac:dyDescent="0.3">
      <c r="A1539" s="1">
        <v>45965</v>
      </c>
      <c r="B1539" t="s">
        <v>15</v>
      </c>
      <c r="C1539">
        <v>863</v>
      </c>
      <c r="D1539">
        <v>0.04</v>
      </c>
      <c r="E1539">
        <v>0</v>
      </c>
      <c r="F1539">
        <v>10</v>
      </c>
      <c r="G1539" t="b">
        <v>0</v>
      </c>
      <c r="H1539">
        <f>IF(inventory__Data[[#This Row],[stock_on_hand]]&lt;=0,1,0)</f>
        <v>0</v>
      </c>
      <c r="I1539">
        <f>COUNTIFS(inventory__Data[product_id],inventory__Data[[#This Row],[product_id]],inventory__Data[stock_on_hand],"&lt;=0")</f>
        <v>30</v>
      </c>
    </row>
    <row r="1540" spans="1:9" x14ac:dyDescent="0.3">
      <c r="A1540" s="1">
        <v>45965</v>
      </c>
      <c r="B1540" t="s">
        <v>18</v>
      </c>
      <c r="C1540">
        <v>167</v>
      </c>
      <c r="D1540">
        <v>0.15</v>
      </c>
      <c r="E1540">
        <v>0</v>
      </c>
      <c r="F1540">
        <v>2</v>
      </c>
      <c r="G1540" t="b">
        <v>0</v>
      </c>
      <c r="H1540">
        <f>IF(inventory__Data[[#This Row],[stock_on_hand]]&lt;=0,1,0)</f>
        <v>0</v>
      </c>
      <c r="I1540">
        <f>COUNTIFS(inventory__Data[product_id],inventory__Data[[#This Row],[product_id]],inventory__Data[stock_on_hand],"&lt;=0")</f>
        <v>30</v>
      </c>
    </row>
    <row r="1541" spans="1:9" x14ac:dyDescent="0.3">
      <c r="A1541" s="1">
        <v>45965</v>
      </c>
      <c r="B1541" t="s">
        <v>21</v>
      </c>
      <c r="C1541">
        <v>496</v>
      </c>
      <c r="D1541">
        <v>0.03</v>
      </c>
      <c r="E1541">
        <v>0</v>
      </c>
      <c r="F1541">
        <v>5</v>
      </c>
      <c r="G1541" t="b">
        <v>0</v>
      </c>
      <c r="H1541">
        <f>IF(inventory__Data[[#This Row],[stock_on_hand]]&lt;=0,1,0)</f>
        <v>0</v>
      </c>
      <c r="I1541">
        <f>COUNTIFS(inventory__Data[product_id],inventory__Data[[#This Row],[product_id]],inventory__Data[stock_on_hand],"&lt;=0")</f>
        <v>29</v>
      </c>
    </row>
    <row r="1542" spans="1:9" x14ac:dyDescent="0.3">
      <c r="A1542" s="1">
        <v>45966</v>
      </c>
      <c r="B1542" t="s">
        <v>9</v>
      </c>
      <c r="C1542">
        <v>218</v>
      </c>
      <c r="D1542">
        <v>0.05</v>
      </c>
      <c r="E1542">
        <v>0</v>
      </c>
      <c r="F1542">
        <v>15</v>
      </c>
      <c r="G1542" t="b">
        <v>0</v>
      </c>
      <c r="H1542">
        <f>IF(inventory__Data[[#This Row],[stock_on_hand]]&lt;=0,1,0)</f>
        <v>0</v>
      </c>
      <c r="I1542">
        <f>COUNTIFS(inventory__Data[product_id],inventory__Data[[#This Row],[product_id]],inventory__Data[stock_on_hand],"&lt;=0")</f>
        <v>25</v>
      </c>
    </row>
    <row r="1543" spans="1:9" x14ac:dyDescent="0.3">
      <c r="A1543" s="1">
        <v>45966</v>
      </c>
      <c r="B1543" t="s">
        <v>12</v>
      </c>
      <c r="C1543">
        <v>72</v>
      </c>
      <c r="D1543">
        <v>0.02</v>
      </c>
      <c r="E1543">
        <v>0</v>
      </c>
      <c r="F1543">
        <v>10</v>
      </c>
      <c r="G1543" t="b">
        <v>0</v>
      </c>
      <c r="H1543">
        <f>IF(inventory__Data[[#This Row],[stock_on_hand]]&lt;=0,1,0)</f>
        <v>0</v>
      </c>
      <c r="I1543">
        <f>COUNTIFS(inventory__Data[product_id],inventory__Data[[#This Row],[product_id]],inventory__Data[stock_on_hand],"&lt;=0")</f>
        <v>23</v>
      </c>
    </row>
    <row r="1544" spans="1:9" x14ac:dyDescent="0.3">
      <c r="A1544" s="1">
        <v>45966</v>
      </c>
      <c r="B1544" t="s">
        <v>15</v>
      </c>
      <c r="C1544">
        <v>357</v>
      </c>
      <c r="D1544">
        <v>0.04</v>
      </c>
      <c r="E1544">
        <v>0</v>
      </c>
      <c r="F1544">
        <v>2</v>
      </c>
      <c r="G1544" t="b">
        <v>0</v>
      </c>
      <c r="H1544">
        <f>IF(inventory__Data[[#This Row],[stock_on_hand]]&lt;=0,1,0)</f>
        <v>0</v>
      </c>
      <c r="I1544">
        <f>COUNTIFS(inventory__Data[product_id],inventory__Data[[#This Row],[product_id]],inventory__Data[stock_on_hand],"&lt;=0")</f>
        <v>30</v>
      </c>
    </row>
    <row r="1545" spans="1:9" x14ac:dyDescent="0.3">
      <c r="A1545" s="1">
        <v>45966</v>
      </c>
      <c r="B1545" t="s">
        <v>18</v>
      </c>
      <c r="C1545">
        <v>820</v>
      </c>
      <c r="D1545">
        <v>0.15</v>
      </c>
      <c r="E1545">
        <v>0</v>
      </c>
      <c r="F1545">
        <v>10</v>
      </c>
      <c r="G1545" t="b">
        <v>0</v>
      </c>
      <c r="H1545">
        <f>IF(inventory__Data[[#This Row],[stock_on_hand]]&lt;=0,1,0)</f>
        <v>0</v>
      </c>
      <c r="I1545">
        <f>COUNTIFS(inventory__Data[product_id],inventory__Data[[#This Row],[product_id]],inventory__Data[stock_on_hand],"&lt;=0")</f>
        <v>30</v>
      </c>
    </row>
    <row r="1546" spans="1:9" x14ac:dyDescent="0.3">
      <c r="A1546" s="1">
        <v>45966</v>
      </c>
      <c r="B1546" t="s">
        <v>21</v>
      </c>
      <c r="C1546">
        <v>0</v>
      </c>
      <c r="D1546">
        <v>0.03</v>
      </c>
      <c r="E1546">
        <v>0</v>
      </c>
      <c r="F1546">
        <v>5</v>
      </c>
      <c r="G1546" t="b">
        <v>0</v>
      </c>
      <c r="H1546">
        <f>IF(inventory__Data[[#This Row],[stock_on_hand]]&lt;=0,1,0)</f>
        <v>1</v>
      </c>
      <c r="I1546">
        <f>COUNTIFS(inventory__Data[product_id],inventory__Data[[#This Row],[product_id]],inventory__Data[stock_on_hand],"&lt;=0")</f>
        <v>29</v>
      </c>
    </row>
    <row r="1547" spans="1:9" x14ac:dyDescent="0.3">
      <c r="A1547" s="1">
        <v>45967</v>
      </c>
      <c r="B1547" t="s">
        <v>9</v>
      </c>
      <c r="C1547">
        <v>344</v>
      </c>
      <c r="D1547">
        <v>0.05</v>
      </c>
      <c r="E1547">
        <v>0</v>
      </c>
      <c r="F1547">
        <v>2</v>
      </c>
      <c r="G1547" t="b">
        <v>0</v>
      </c>
      <c r="H1547">
        <f>IF(inventory__Data[[#This Row],[stock_on_hand]]&lt;=0,1,0)</f>
        <v>0</v>
      </c>
      <c r="I1547">
        <f>COUNTIFS(inventory__Data[product_id],inventory__Data[[#This Row],[product_id]],inventory__Data[stock_on_hand],"&lt;=0")</f>
        <v>25</v>
      </c>
    </row>
    <row r="1548" spans="1:9" x14ac:dyDescent="0.3">
      <c r="A1548" s="1">
        <v>45967</v>
      </c>
      <c r="B1548" t="s">
        <v>12</v>
      </c>
      <c r="C1548">
        <v>589</v>
      </c>
      <c r="D1548">
        <v>0.02</v>
      </c>
      <c r="E1548">
        <v>0</v>
      </c>
      <c r="F1548">
        <v>5</v>
      </c>
      <c r="G1548" t="b">
        <v>0</v>
      </c>
      <c r="H1548">
        <f>IF(inventory__Data[[#This Row],[stock_on_hand]]&lt;=0,1,0)</f>
        <v>0</v>
      </c>
      <c r="I1548">
        <f>COUNTIFS(inventory__Data[product_id],inventory__Data[[#This Row],[product_id]],inventory__Data[stock_on_hand],"&lt;=0")</f>
        <v>23</v>
      </c>
    </row>
    <row r="1549" spans="1:9" x14ac:dyDescent="0.3">
      <c r="A1549" s="1">
        <v>45967</v>
      </c>
      <c r="B1549" t="s">
        <v>15</v>
      </c>
      <c r="C1549">
        <v>731</v>
      </c>
      <c r="D1549">
        <v>0.04</v>
      </c>
      <c r="E1549">
        <v>0</v>
      </c>
      <c r="F1549">
        <v>5</v>
      </c>
      <c r="G1549" t="b">
        <v>0</v>
      </c>
      <c r="H1549">
        <f>IF(inventory__Data[[#This Row],[stock_on_hand]]&lt;=0,1,0)</f>
        <v>0</v>
      </c>
      <c r="I1549">
        <f>COUNTIFS(inventory__Data[product_id],inventory__Data[[#This Row],[product_id]],inventory__Data[stock_on_hand],"&lt;=0")</f>
        <v>30</v>
      </c>
    </row>
    <row r="1550" spans="1:9" x14ac:dyDescent="0.3">
      <c r="A1550" s="1">
        <v>45967</v>
      </c>
      <c r="B1550" t="s">
        <v>18</v>
      </c>
      <c r="C1550">
        <v>0</v>
      </c>
      <c r="D1550">
        <v>0.15</v>
      </c>
      <c r="E1550">
        <v>0</v>
      </c>
      <c r="F1550">
        <v>2</v>
      </c>
      <c r="G1550" t="b">
        <v>0</v>
      </c>
      <c r="H1550">
        <f>IF(inventory__Data[[#This Row],[stock_on_hand]]&lt;=0,1,0)</f>
        <v>1</v>
      </c>
      <c r="I1550">
        <f>COUNTIFS(inventory__Data[product_id],inventory__Data[[#This Row],[product_id]],inventory__Data[stock_on_hand],"&lt;=0")</f>
        <v>30</v>
      </c>
    </row>
    <row r="1551" spans="1:9" x14ac:dyDescent="0.3">
      <c r="A1551" s="1">
        <v>45967</v>
      </c>
      <c r="B1551" t="s">
        <v>21</v>
      </c>
      <c r="C1551">
        <v>174</v>
      </c>
      <c r="D1551">
        <v>0.03</v>
      </c>
      <c r="E1551">
        <v>0</v>
      </c>
      <c r="F1551">
        <v>2</v>
      </c>
      <c r="G1551" t="b">
        <v>0</v>
      </c>
      <c r="H1551">
        <f>IF(inventory__Data[[#This Row],[stock_on_hand]]&lt;=0,1,0)</f>
        <v>0</v>
      </c>
      <c r="I1551">
        <f>COUNTIFS(inventory__Data[product_id],inventory__Data[[#This Row],[product_id]],inventory__Data[stock_on_hand],"&lt;=0")</f>
        <v>29</v>
      </c>
    </row>
    <row r="1552" spans="1:9" x14ac:dyDescent="0.3">
      <c r="A1552" s="1">
        <v>45968</v>
      </c>
      <c r="B1552" t="s">
        <v>9</v>
      </c>
      <c r="C1552">
        <v>347</v>
      </c>
      <c r="D1552">
        <v>0.05</v>
      </c>
      <c r="E1552">
        <v>0</v>
      </c>
      <c r="F1552">
        <v>2</v>
      </c>
      <c r="G1552" t="b">
        <v>0</v>
      </c>
      <c r="H1552">
        <f>IF(inventory__Data[[#This Row],[stock_on_hand]]&lt;=0,1,0)</f>
        <v>0</v>
      </c>
      <c r="I1552">
        <f>COUNTIFS(inventory__Data[product_id],inventory__Data[[#This Row],[product_id]],inventory__Data[stock_on_hand],"&lt;=0")</f>
        <v>25</v>
      </c>
    </row>
    <row r="1553" spans="1:9" x14ac:dyDescent="0.3">
      <c r="A1553" s="1">
        <v>45968</v>
      </c>
      <c r="B1553" t="s">
        <v>12</v>
      </c>
      <c r="C1553">
        <v>823</v>
      </c>
      <c r="D1553">
        <v>0.02</v>
      </c>
      <c r="E1553">
        <v>0</v>
      </c>
      <c r="F1553">
        <v>2</v>
      </c>
      <c r="G1553" t="b">
        <v>0</v>
      </c>
      <c r="H1553">
        <f>IF(inventory__Data[[#This Row],[stock_on_hand]]&lt;=0,1,0)</f>
        <v>0</v>
      </c>
      <c r="I1553">
        <f>COUNTIFS(inventory__Data[product_id],inventory__Data[[#This Row],[product_id]],inventory__Data[stock_on_hand],"&lt;=0")</f>
        <v>23</v>
      </c>
    </row>
    <row r="1554" spans="1:9" x14ac:dyDescent="0.3">
      <c r="A1554" s="1">
        <v>45968</v>
      </c>
      <c r="B1554" t="s">
        <v>15</v>
      </c>
      <c r="C1554">
        <v>648</v>
      </c>
      <c r="D1554">
        <v>0.04</v>
      </c>
      <c r="E1554">
        <v>0</v>
      </c>
      <c r="F1554">
        <v>15</v>
      </c>
      <c r="G1554" t="b">
        <v>0</v>
      </c>
      <c r="H1554">
        <f>IF(inventory__Data[[#This Row],[stock_on_hand]]&lt;=0,1,0)</f>
        <v>0</v>
      </c>
      <c r="I1554">
        <f>COUNTIFS(inventory__Data[product_id],inventory__Data[[#This Row],[product_id]],inventory__Data[stock_on_hand],"&lt;=0")</f>
        <v>30</v>
      </c>
    </row>
    <row r="1555" spans="1:9" x14ac:dyDescent="0.3">
      <c r="A1555" s="1">
        <v>45968</v>
      </c>
      <c r="B1555" t="s">
        <v>18</v>
      </c>
      <c r="C1555">
        <v>340</v>
      </c>
      <c r="D1555">
        <v>0.15</v>
      </c>
      <c r="E1555">
        <v>0</v>
      </c>
      <c r="F1555">
        <v>5</v>
      </c>
      <c r="G1555" t="b">
        <v>0</v>
      </c>
      <c r="H1555">
        <f>IF(inventory__Data[[#This Row],[stock_on_hand]]&lt;=0,1,0)</f>
        <v>0</v>
      </c>
      <c r="I1555">
        <f>COUNTIFS(inventory__Data[product_id],inventory__Data[[#This Row],[product_id]],inventory__Data[stock_on_hand],"&lt;=0")</f>
        <v>30</v>
      </c>
    </row>
    <row r="1556" spans="1:9" x14ac:dyDescent="0.3">
      <c r="A1556" s="1">
        <v>45968</v>
      </c>
      <c r="B1556" t="s">
        <v>21</v>
      </c>
      <c r="C1556">
        <v>625</v>
      </c>
      <c r="D1556">
        <v>0.03</v>
      </c>
      <c r="E1556">
        <v>0</v>
      </c>
      <c r="F1556">
        <v>2</v>
      </c>
      <c r="G1556" t="b">
        <v>0</v>
      </c>
      <c r="H1556">
        <f>IF(inventory__Data[[#This Row],[stock_on_hand]]&lt;=0,1,0)</f>
        <v>0</v>
      </c>
      <c r="I1556">
        <f>COUNTIFS(inventory__Data[product_id],inventory__Data[[#This Row],[product_id]],inventory__Data[stock_on_hand],"&lt;=0")</f>
        <v>29</v>
      </c>
    </row>
    <row r="1557" spans="1:9" x14ac:dyDescent="0.3">
      <c r="A1557" s="1">
        <v>45969</v>
      </c>
      <c r="B1557" t="s">
        <v>9</v>
      </c>
      <c r="C1557">
        <v>752</v>
      </c>
      <c r="D1557">
        <v>0.05</v>
      </c>
      <c r="E1557">
        <v>0</v>
      </c>
      <c r="F1557">
        <v>2</v>
      </c>
      <c r="G1557" t="b">
        <v>0</v>
      </c>
      <c r="H1557">
        <f>IF(inventory__Data[[#This Row],[stock_on_hand]]&lt;=0,1,0)</f>
        <v>0</v>
      </c>
      <c r="I1557">
        <f>COUNTIFS(inventory__Data[product_id],inventory__Data[[#This Row],[product_id]],inventory__Data[stock_on_hand],"&lt;=0")</f>
        <v>25</v>
      </c>
    </row>
    <row r="1558" spans="1:9" x14ac:dyDescent="0.3">
      <c r="A1558" s="1">
        <v>45969</v>
      </c>
      <c r="B1558" t="s">
        <v>12</v>
      </c>
      <c r="C1558">
        <v>653</v>
      </c>
      <c r="D1558">
        <v>0.02</v>
      </c>
      <c r="E1558">
        <v>0</v>
      </c>
      <c r="F1558">
        <v>2</v>
      </c>
      <c r="G1558" t="b">
        <v>0</v>
      </c>
      <c r="H1558">
        <f>IF(inventory__Data[[#This Row],[stock_on_hand]]&lt;=0,1,0)</f>
        <v>0</v>
      </c>
      <c r="I1558">
        <f>COUNTIFS(inventory__Data[product_id],inventory__Data[[#This Row],[product_id]],inventory__Data[stock_on_hand],"&lt;=0")</f>
        <v>23</v>
      </c>
    </row>
    <row r="1559" spans="1:9" x14ac:dyDescent="0.3">
      <c r="A1559" s="1">
        <v>45969</v>
      </c>
      <c r="B1559" t="s">
        <v>15</v>
      </c>
      <c r="C1559">
        <v>409</v>
      </c>
      <c r="D1559">
        <v>0.04</v>
      </c>
      <c r="E1559">
        <v>0</v>
      </c>
      <c r="F1559">
        <v>2</v>
      </c>
      <c r="G1559" t="b">
        <v>0</v>
      </c>
      <c r="H1559">
        <f>IF(inventory__Data[[#This Row],[stock_on_hand]]&lt;=0,1,0)</f>
        <v>0</v>
      </c>
      <c r="I1559">
        <f>COUNTIFS(inventory__Data[product_id],inventory__Data[[#This Row],[product_id]],inventory__Data[stock_on_hand],"&lt;=0")</f>
        <v>30</v>
      </c>
    </row>
    <row r="1560" spans="1:9" x14ac:dyDescent="0.3">
      <c r="A1560" s="1">
        <v>45969</v>
      </c>
      <c r="B1560" t="s">
        <v>18</v>
      </c>
      <c r="C1560">
        <v>589</v>
      </c>
      <c r="D1560">
        <v>0.15</v>
      </c>
      <c r="E1560">
        <v>0</v>
      </c>
      <c r="F1560">
        <v>2</v>
      </c>
      <c r="G1560" t="b">
        <v>0</v>
      </c>
      <c r="H1560">
        <f>IF(inventory__Data[[#This Row],[stock_on_hand]]&lt;=0,1,0)</f>
        <v>0</v>
      </c>
      <c r="I1560">
        <f>COUNTIFS(inventory__Data[product_id],inventory__Data[[#This Row],[product_id]],inventory__Data[stock_on_hand],"&lt;=0")</f>
        <v>30</v>
      </c>
    </row>
    <row r="1561" spans="1:9" x14ac:dyDescent="0.3">
      <c r="A1561" s="1">
        <v>45969</v>
      </c>
      <c r="B1561" t="s">
        <v>21</v>
      </c>
      <c r="C1561">
        <v>49</v>
      </c>
      <c r="D1561">
        <v>0.03</v>
      </c>
      <c r="E1561">
        <v>0</v>
      </c>
      <c r="F1561">
        <v>2</v>
      </c>
      <c r="G1561" t="b">
        <v>0</v>
      </c>
      <c r="H1561">
        <f>IF(inventory__Data[[#This Row],[stock_on_hand]]&lt;=0,1,0)</f>
        <v>0</v>
      </c>
      <c r="I1561">
        <f>COUNTIFS(inventory__Data[product_id],inventory__Data[[#This Row],[product_id]],inventory__Data[stock_on_hand],"&lt;=0")</f>
        <v>29</v>
      </c>
    </row>
    <row r="1562" spans="1:9" x14ac:dyDescent="0.3">
      <c r="A1562" s="1">
        <v>45970</v>
      </c>
      <c r="B1562" t="s">
        <v>9</v>
      </c>
      <c r="C1562">
        <v>672</v>
      </c>
      <c r="D1562">
        <v>0.05</v>
      </c>
      <c r="E1562">
        <v>0</v>
      </c>
      <c r="F1562">
        <v>2</v>
      </c>
      <c r="G1562" t="b">
        <v>0</v>
      </c>
      <c r="H1562">
        <f>IF(inventory__Data[[#This Row],[stock_on_hand]]&lt;=0,1,0)</f>
        <v>0</v>
      </c>
      <c r="I1562">
        <f>COUNTIFS(inventory__Data[product_id],inventory__Data[[#This Row],[product_id]],inventory__Data[stock_on_hand],"&lt;=0")</f>
        <v>25</v>
      </c>
    </row>
    <row r="1563" spans="1:9" x14ac:dyDescent="0.3">
      <c r="A1563" s="1">
        <v>45970</v>
      </c>
      <c r="B1563" t="s">
        <v>12</v>
      </c>
      <c r="C1563">
        <v>501</v>
      </c>
      <c r="D1563">
        <v>0.02</v>
      </c>
      <c r="E1563">
        <v>0</v>
      </c>
      <c r="F1563">
        <v>2</v>
      </c>
      <c r="G1563" t="b">
        <v>0</v>
      </c>
      <c r="H1563">
        <f>IF(inventory__Data[[#This Row],[stock_on_hand]]&lt;=0,1,0)</f>
        <v>0</v>
      </c>
      <c r="I1563">
        <f>COUNTIFS(inventory__Data[product_id],inventory__Data[[#This Row],[product_id]],inventory__Data[stock_on_hand],"&lt;=0")</f>
        <v>23</v>
      </c>
    </row>
    <row r="1564" spans="1:9" x14ac:dyDescent="0.3">
      <c r="A1564" s="1">
        <v>45970</v>
      </c>
      <c r="B1564" t="s">
        <v>15</v>
      </c>
      <c r="C1564">
        <v>461</v>
      </c>
      <c r="D1564">
        <v>0.04</v>
      </c>
      <c r="E1564">
        <v>0</v>
      </c>
      <c r="F1564">
        <v>5</v>
      </c>
      <c r="G1564" t="b">
        <v>0</v>
      </c>
      <c r="H1564">
        <f>IF(inventory__Data[[#This Row],[stock_on_hand]]&lt;=0,1,0)</f>
        <v>0</v>
      </c>
      <c r="I1564">
        <f>COUNTIFS(inventory__Data[product_id],inventory__Data[[#This Row],[product_id]],inventory__Data[stock_on_hand],"&lt;=0")</f>
        <v>30</v>
      </c>
    </row>
    <row r="1565" spans="1:9" x14ac:dyDescent="0.3">
      <c r="A1565" s="1">
        <v>45970</v>
      </c>
      <c r="B1565" t="s">
        <v>18</v>
      </c>
      <c r="C1565">
        <v>167</v>
      </c>
      <c r="D1565">
        <v>0.15</v>
      </c>
      <c r="E1565">
        <v>0</v>
      </c>
      <c r="F1565">
        <v>2</v>
      </c>
      <c r="G1565" t="b">
        <v>0</v>
      </c>
      <c r="H1565">
        <f>IF(inventory__Data[[#This Row],[stock_on_hand]]&lt;=0,1,0)</f>
        <v>0</v>
      </c>
      <c r="I1565">
        <f>COUNTIFS(inventory__Data[product_id],inventory__Data[[#This Row],[product_id]],inventory__Data[stock_on_hand],"&lt;=0")</f>
        <v>30</v>
      </c>
    </row>
    <row r="1566" spans="1:9" x14ac:dyDescent="0.3">
      <c r="A1566" s="1">
        <v>45970</v>
      </c>
      <c r="B1566" t="s">
        <v>21</v>
      </c>
      <c r="C1566">
        <v>621</v>
      </c>
      <c r="D1566">
        <v>0.03</v>
      </c>
      <c r="E1566">
        <v>0</v>
      </c>
      <c r="F1566">
        <v>2</v>
      </c>
      <c r="G1566" t="b">
        <v>0</v>
      </c>
      <c r="H1566">
        <f>IF(inventory__Data[[#This Row],[stock_on_hand]]&lt;=0,1,0)</f>
        <v>0</v>
      </c>
      <c r="I1566">
        <f>COUNTIFS(inventory__Data[product_id],inventory__Data[[#This Row],[product_id]],inventory__Data[stock_on_hand],"&lt;=0")</f>
        <v>29</v>
      </c>
    </row>
    <row r="1567" spans="1:9" x14ac:dyDescent="0.3">
      <c r="A1567" s="1">
        <v>45971</v>
      </c>
      <c r="B1567" t="s">
        <v>9</v>
      </c>
      <c r="C1567">
        <v>511</v>
      </c>
      <c r="D1567">
        <v>0.05</v>
      </c>
      <c r="E1567">
        <v>0</v>
      </c>
      <c r="F1567">
        <v>5</v>
      </c>
      <c r="G1567" t="b">
        <v>0</v>
      </c>
      <c r="H1567">
        <f>IF(inventory__Data[[#This Row],[stock_on_hand]]&lt;=0,1,0)</f>
        <v>0</v>
      </c>
      <c r="I1567">
        <f>COUNTIFS(inventory__Data[product_id],inventory__Data[[#This Row],[product_id]],inventory__Data[stock_on_hand],"&lt;=0")</f>
        <v>25</v>
      </c>
    </row>
    <row r="1568" spans="1:9" x14ac:dyDescent="0.3">
      <c r="A1568" s="1">
        <v>45971</v>
      </c>
      <c r="B1568" t="s">
        <v>12</v>
      </c>
      <c r="C1568">
        <v>261</v>
      </c>
      <c r="D1568">
        <v>0.02</v>
      </c>
      <c r="E1568">
        <v>0</v>
      </c>
      <c r="F1568">
        <v>5</v>
      </c>
      <c r="G1568" t="b">
        <v>0</v>
      </c>
      <c r="H1568">
        <f>IF(inventory__Data[[#This Row],[stock_on_hand]]&lt;=0,1,0)</f>
        <v>0</v>
      </c>
      <c r="I1568">
        <f>COUNTIFS(inventory__Data[product_id],inventory__Data[[#This Row],[product_id]],inventory__Data[stock_on_hand],"&lt;=0")</f>
        <v>23</v>
      </c>
    </row>
    <row r="1569" spans="1:9" x14ac:dyDescent="0.3">
      <c r="A1569" s="1">
        <v>45971</v>
      </c>
      <c r="B1569" t="s">
        <v>15</v>
      </c>
      <c r="C1569">
        <v>0</v>
      </c>
      <c r="D1569">
        <v>0.04</v>
      </c>
      <c r="E1569">
        <v>0</v>
      </c>
      <c r="F1569">
        <v>5</v>
      </c>
      <c r="G1569" t="b">
        <v>0</v>
      </c>
      <c r="H1569">
        <f>IF(inventory__Data[[#This Row],[stock_on_hand]]&lt;=0,1,0)</f>
        <v>1</v>
      </c>
      <c r="I1569">
        <f>COUNTIFS(inventory__Data[product_id],inventory__Data[[#This Row],[product_id]],inventory__Data[stock_on_hand],"&lt;=0")</f>
        <v>30</v>
      </c>
    </row>
    <row r="1570" spans="1:9" x14ac:dyDescent="0.3">
      <c r="A1570" s="1">
        <v>45971</v>
      </c>
      <c r="B1570" t="s">
        <v>18</v>
      </c>
      <c r="C1570">
        <v>737</v>
      </c>
      <c r="D1570">
        <v>0.15</v>
      </c>
      <c r="E1570">
        <v>0</v>
      </c>
      <c r="F1570">
        <v>2</v>
      </c>
      <c r="G1570" t="b">
        <v>0</v>
      </c>
      <c r="H1570">
        <f>IF(inventory__Data[[#This Row],[stock_on_hand]]&lt;=0,1,0)</f>
        <v>0</v>
      </c>
      <c r="I1570">
        <f>COUNTIFS(inventory__Data[product_id],inventory__Data[[#This Row],[product_id]],inventory__Data[stock_on_hand],"&lt;=0")</f>
        <v>30</v>
      </c>
    </row>
    <row r="1571" spans="1:9" x14ac:dyDescent="0.3">
      <c r="A1571" s="1">
        <v>45971</v>
      </c>
      <c r="B1571" t="s">
        <v>21</v>
      </c>
      <c r="C1571">
        <v>57</v>
      </c>
      <c r="D1571">
        <v>0.03</v>
      </c>
      <c r="E1571">
        <v>0</v>
      </c>
      <c r="F1571">
        <v>2</v>
      </c>
      <c r="G1571" t="b">
        <v>0</v>
      </c>
      <c r="H1571">
        <f>IF(inventory__Data[[#This Row],[stock_on_hand]]&lt;=0,1,0)</f>
        <v>0</v>
      </c>
      <c r="I1571">
        <f>COUNTIFS(inventory__Data[product_id],inventory__Data[[#This Row],[product_id]],inventory__Data[stock_on_hand],"&lt;=0")</f>
        <v>29</v>
      </c>
    </row>
    <row r="1572" spans="1:9" x14ac:dyDescent="0.3">
      <c r="A1572" s="1">
        <v>45972</v>
      </c>
      <c r="B1572" t="s">
        <v>9</v>
      </c>
      <c r="C1572">
        <v>658</v>
      </c>
      <c r="D1572">
        <v>0.05</v>
      </c>
      <c r="E1572">
        <v>0</v>
      </c>
      <c r="F1572">
        <v>2</v>
      </c>
      <c r="G1572" t="b">
        <v>0</v>
      </c>
      <c r="H1572">
        <f>IF(inventory__Data[[#This Row],[stock_on_hand]]&lt;=0,1,0)</f>
        <v>0</v>
      </c>
      <c r="I1572">
        <f>COUNTIFS(inventory__Data[product_id],inventory__Data[[#This Row],[product_id]],inventory__Data[stock_on_hand],"&lt;=0")</f>
        <v>25</v>
      </c>
    </row>
    <row r="1573" spans="1:9" x14ac:dyDescent="0.3">
      <c r="A1573" s="1">
        <v>45972</v>
      </c>
      <c r="B1573" t="s">
        <v>12</v>
      </c>
      <c r="C1573">
        <v>566</v>
      </c>
      <c r="D1573">
        <v>0.02</v>
      </c>
      <c r="E1573">
        <v>0</v>
      </c>
      <c r="F1573">
        <v>2</v>
      </c>
      <c r="G1573" t="b">
        <v>0</v>
      </c>
      <c r="H1573">
        <f>IF(inventory__Data[[#This Row],[stock_on_hand]]&lt;=0,1,0)</f>
        <v>0</v>
      </c>
      <c r="I1573">
        <f>COUNTIFS(inventory__Data[product_id],inventory__Data[[#This Row],[product_id]],inventory__Data[stock_on_hand],"&lt;=0")</f>
        <v>23</v>
      </c>
    </row>
    <row r="1574" spans="1:9" x14ac:dyDescent="0.3">
      <c r="A1574" s="1">
        <v>45972</v>
      </c>
      <c r="B1574" t="s">
        <v>15</v>
      </c>
      <c r="C1574">
        <v>574</v>
      </c>
      <c r="D1574">
        <v>0.04</v>
      </c>
      <c r="E1574">
        <v>0</v>
      </c>
      <c r="F1574">
        <v>5</v>
      </c>
      <c r="G1574" t="b">
        <v>0</v>
      </c>
      <c r="H1574">
        <f>IF(inventory__Data[[#This Row],[stock_on_hand]]&lt;=0,1,0)</f>
        <v>0</v>
      </c>
      <c r="I1574">
        <f>COUNTIFS(inventory__Data[product_id],inventory__Data[[#This Row],[product_id]],inventory__Data[stock_on_hand],"&lt;=0")</f>
        <v>30</v>
      </c>
    </row>
    <row r="1575" spans="1:9" x14ac:dyDescent="0.3">
      <c r="A1575" s="1">
        <v>45972</v>
      </c>
      <c r="B1575" t="s">
        <v>18</v>
      </c>
      <c r="C1575">
        <v>602</v>
      </c>
      <c r="D1575">
        <v>0.15</v>
      </c>
      <c r="E1575">
        <v>0</v>
      </c>
      <c r="F1575">
        <v>5</v>
      </c>
      <c r="G1575" t="b">
        <v>0</v>
      </c>
      <c r="H1575">
        <f>IF(inventory__Data[[#This Row],[stock_on_hand]]&lt;=0,1,0)</f>
        <v>0</v>
      </c>
      <c r="I1575">
        <f>COUNTIFS(inventory__Data[product_id],inventory__Data[[#This Row],[product_id]],inventory__Data[stock_on_hand],"&lt;=0")</f>
        <v>30</v>
      </c>
    </row>
    <row r="1576" spans="1:9" x14ac:dyDescent="0.3">
      <c r="A1576" s="1">
        <v>45972</v>
      </c>
      <c r="B1576" t="s">
        <v>21</v>
      </c>
      <c r="C1576">
        <v>370</v>
      </c>
      <c r="D1576">
        <v>0.03</v>
      </c>
      <c r="E1576">
        <v>0</v>
      </c>
      <c r="F1576">
        <v>5</v>
      </c>
      <c r="G1576" t="b">
        <v>0</v>
      </c>
      <c r="H1576">
        <f>IF(inventory__Data[[#This Row],[stock_on_hand]]&lt;=0,1,0)</f>
        <v>0</v>
      </c>
      <c r="I1576">
        <f>COUNTIFS(inventory__Data[product_id],inventory__Data[[#This Row],[product_id]],inventory__Data[stock_on_hand],"&lt;=0")</f>
        <v>29</v>
      </c>
    </row>
    <row r="1577" spans="1:9" x14ac:dyDescent="0.3">
      <c r="A1577" s="1">
        <v>45973</v>
      </c>
      <c r="B1577" t="s">
        <v>9</v>
      </c>
      <c r="C1577">
        <v>392</v>
      </c>
      <c r="D1577">
        <v>0.05</v>
      </c>
      <c r="E1577">
        <v>0</v>
      </c>
      <c r="F1577">
        <v>2</v>
      </c>
      <c r="G1577" t="b">
        <v>0</v>
      </c>
      <c r="H1577">
        <f>IF(inventory__Data[[#This Row],[stock_on_hand]]&lt;=0,1,0)</f>
        <v>0</v>
      </c>
      <c r="I1577">
        <f>COUNTIFS(inventory__Data[product_id],inventory__Data[[#This Row],[product_id]],inventory__Data[stock_on_hand],"&lt;=0")</f>
        <v>25</v>
      </c>
    </row>
    <row r="1578" spans="1:9" x14ac:dyDescent="0.3">
      <c r="A1578" s="1">
        <v>45973</v>
      </c>
      <c r="B1578" t="s">
        <v>12</v>
      </c>
      <c r="C1578">
        <v>763</v>
      </c>
      <c r="D1578">
        <v>0.02</v>
      </c>
      <c r="E1578">
        <v>0</v>
      </c>
      <c r="F1578">
        <v>10</v>
      </c>
      <c r="G1578" t="b">
        <v>0</v>
      </c>
      <c r="H1578">
        <f>IF(inventory__Data[[#This Row],[stock_on_hand]]&lt;=0,1,0)</f>
        <v>0</v>
      </c>
      <c r="I1578">
        <f>COUNTIFS(inventory__Data[product_id],inventory__Data[[#This Row],[product_id]],inventory__Data[stock_on_hand],"&lt;=0")</f>
        <v>23</v>
      </c>
    </row>
    <row r="1579" spans="1:9" x14ac:dyDescent="0.3">
      <c r="A1579" s="1">
        <v>45973</v>
      </c>
      <c r="B1579" t="s">
        <v>15</v>
      </c>
      <c r="C1579">
        <v>808</v>
      </c>
      <c r="D1579">
        <v>0.04</v>
      </c>
      <c r="E1579">
        <v>0</v>
      </c>
      <c r="F1579">
        <v>5</v>
      </c>
      <c r="G1579" t="b">
        <v>0</v>
      </c>
      <c r="H1579">
        <f>IF(inventory__Data[[#This Row],[stock_on_hand]]&lt;=0,1,0)</f>
        <v>0</v>
      </c>
      <c r="I1579">
        <f>COUNTIFS(inventory__Data[product_id],inventory__Data[[#This Row],[product_id]],inventory__Data[stock_on_hand],"&lt;=0")</f>
        <v>30</v>
      </c>
    </row>
    <row r="1580" spans="1:9" x14ac:dyDescent="0.3">
      <c r="A1580" s="1">
        <v>45973</v>
      </c>
      <c r="B1580" t="s">
        <v>18</v>
      </c>
      <c r="C1580">
        <v>346</v>
      </c>
      <c r="D1580">
        <v>0.15</v>
      </c>
      <c r="E1580">
        <v>0</v>
      </c>
      <c r="F1580">
        <v>5</v>
      </c>
      <c r="G1580" t="b">
        <v>0</v>
      </c>
      <c r="H1580">
        <f>IF(inventory__Data[[#This Row],[stock_on_hand]]&lt;=0,1,0)</f>
        <v>0</v>
      </c>
      <c r="I1580">
        <f>COUNTIFS(inventory__Data[product_id],inventory__Data[[#This Row],[product_id]],inventory__Data[stock_on_hand],"&lt;=0")</f>
        <v>30</v>
      </c>
    </row>
    <row r="1581" spans="1:9" x14ac:dyDescent="0.3">
      <c r="A1581" s="1">
        <v>45973</v>
      </c>
      <c r="B1581" t="s">
        <v>21</v>
      </c>
      <c r="C1581">
        <v>449</v>
      </c>
      <c r="D1581">
        <v>0.03</v>
      </c>
      <c r="E1581">
        <v>0</v>
      </c>
      <c r="F1581">
        <v>2</v>
      </c>
      <c r="G1581" t="b">
        <v>0</v>
      </c>
      <c r="H1581">
        <f>IF(inventory__Data[[#This Row],[stock_on_hand]]&lt;=0,1,0)</f>
        <v>0</v>
      </c>
      <c r="I1581">
        <f>COUNTIFS(inventory__Data[product_id],inventory__Data[[#This Row],[product_id]],inventory__Data[stock_on_hand],"&lt;=0")</f>
        <v>29</v>
      </c>
    </row>
    <row r="1582" spans="1:9" x14ac:dyDescent="0.3">
      <c r="A1582" s="1">
        <v>45974</v>
      </c>
      <c r="B1582" t="s">
        <v>9</v>
      </c>
      <c r="C1582">
        <v>461</v>
      </c>
      <c r="D1582">
        <v>0.05</v>
      </c>
      <c r="E1582">
        <v>0</v>
      </c>
      <c r="F1582">
        <v>5</v>
      </c>
      <c r="G1582" t="b">
        <v>0</v>
      </c>
      <c r="H1582">
        <f>IF(inventory__Data[[#This Row],[stock_on_hand]]&lt;=0,1,0)</f>
        <v>0</v>
      </c>
      <c r="I1582">
        <f>COUNTIFS(inventory__Data[product_id],inventory__Data[[#This Row],[product_id]],inventory__Data[stock_on_hand],"&lt;=0")</f>
        <v>25</v>
      </c>
    </row>
    <row r="1583" spans="1:9" x14ac:dyDescent="0.3">
      <c r="A1583" s="1">
        <v>45974</v>
      </c>
      <c r="B1583" t="s">
        <v>12</v>
      </c>
      <c r="C1583">
        <v>196</v>
      </c>
      <c r="D1583">
        <v>0.02</v>
      </c>
      <c r="E1583">
        <v>0</v>
      </c>
      <c r="F1583">
        <v>5</v>
      </c>
      <c r="G1583" t="b">
        <v>0</v>
      </c>
      <c r="H1583">
        <f>IF(inventory__Data[[#This Row],[stock_on_hand]]&lt;=0,1,0)</f>
        <v>0</v>
      </c>
      <c r="I1583">
        <f>COUNTIFS(inventory__Data[product_id],inventory__Data[[#This Row],[product_id]],inventory__Data[stock_on_hand],"&lt;=0")</f>
        <v>23</v>
      </c>
    </row>
    <row r="1584" spans="1:9" x14ac:dyDescent="0.3">
      <c r="A1584" s="1">
        <v>45974</v>
      </c>
      <c r="B1584" t="s">
        <v>15</v>
      </c>
      <c r="C1584">
        <v>853</v>
      </c>
      <c r="D1584">
        <v>0.04</v>
      </c>
      <c r="E1584">
        <v>0</v>
      </c>
      <c r="F1584">
        <v>5</v>
      </c>
      <c r="G1584" t="b">
        <v>0</v>
      </c>
      <c r="H1584">
        <f>IF(inventory__Data[[#This Row],[stock_on_hand]]&lt;=0,1,0)</f>
        <v>0</v>
      </c>
      <c r="I1584">
        <f>COUNTIFS(inventory__Data[product_id],inventory__Data[[#This Row],[product_id]],inventory__Data[stock_on_hand],"&lt;=0")</f>
        <v>30</v>
      </c>
    </row>
    <row r="1585" spans="1:9" x14ac:dyDescent="0.3">
      <c r="A1585" s="1">
        <v>45974</v>
      </c>
      <c r="B1585" t="s">
        <v>18</v>
      </c>
      <c r="C1585">
        <v>652</v>
      </c>
      <c r="D1585">
        <v>0.15</v>
      </c>
      <c r="E1585">
        <v>0</v>
      </c>
      <c r="F1585">
        <v>5</v>
      </c>
      <c r="G1585" t="b">
        <v>0</v>
      </c>
      <c r="H1585">
        <f>IF(inventory__Data[[#This Row],[stock_on_hand]]&lt;=0,1,0)</f>
        <v>0</v>
      </c>
      <c r="I1585">
        <f>COUNTIFS(inventory__Data[product_id],inventory__Data[[#This Row],[product_id]],inventory__Data[stock_on_hand],"&lt;=0")</f>
        <v>30</v>
      </c>
    </row>
    <row r="1586" spans="1:9" x14ac:dyDescent="0.3">
      <c r="A1586" s="1">
        <v>45974</v>
      </c>
      <c r="B1586" t="s">
        <v>21</v>
      </c>
      <c r="C1586">
        <v>93</v>
      </c>
      <c r="D1586">
        <v>0.03</v>
      </c>
      <c r="E1586">
        <v>0</v>
      </c>
      <c r="F1586">
        <v>5</v>
      </c>
      <c r="G1586" t="b">
        <v>0</v>
      </c>
      <c r="H1586">
        <f>IF(inventory__Data[[#This Row],[stock_on_hand]]&lt;=0,1,0)</f>
        <v>0</v>
      </c>
      <c r="I1586">
        <f>COUNTIFS(inventory__Data[product_id],inventory__Data[[#This Row],[product_id]],inventory__Data[stock_on_hand],"&lt;=0")</f>
        <v>29</v>
      </c>
    </row>
    <row r="1587" spans="1:9" x14ac:dyDescent="0.3">
      <c r="A1587" s="1">
        <v>45975</v>
      </c>
      <c r="B1587" t="s">
        <v>9</v>
      </c>
      <c r="C1587">
        <v>482</v>
      </c>
      <c r="D1587">
        <v>0.05</v>
      </c>
      <c r="E1587">
        <v>0</v>
      </c>
      <c r="F1587">
        <v>5</v>
      </c>
      <c r="G1587" t="b">
        <v>0</v>
      </c>
      <c r="H1587">
        <f>IF(inventory__Data[[#This Row],[stock_on_hand]]&lt;=0,1,0)</f>
        <v>0</v>
      </c>
      <c r="I1587">
        <f>COUNTIFS(inventory__Data[product_id],inventory__Data[[#This Row],[product_id]],inventory__Data[stock_on_hand],"&lt;=0")</f>
        <v>25</v>
      </c>
    </row>
    <row r="1588" spans="1:9" x14ac:dyDescent="0.3">
      <c r="A1588" s="1">
        <v>45975</v>
      </c>
      <c r="B1588" t="s">
        <v>12</v>
      </c>
      <c r="C1588">
        <v>705</v>
      </c>
      <c r="D1588">
        <v>0.02</v>
      </c>
      <c r="E1588">
        <v>0</v>
      </c>
      <c r="F1588">
        <v>5</v>
      </c>
      <c r="G1588" t="b">
        <v>0</v>
      </c>
      <c r="H1588">
        <f>IF(inventory__Data[[#This Row],[stock_on_hand]]&lt;=0,1,0)</f>
        <v>0</v>
      </c>
      <c r="I1588">
        <f>COUNTIFS(inventory__Data[product_id],inventory__Data[[#This Row],[product_id]],inventory__Data[stock_on_hand],"&lt;=0")</f>
        <v>23</v>
      </c>
    </row>
    <row r="1589" spans="1:9" x14ac:dyDescent="0.3">
      <c r="A1589" s="1">
        <v>45975</v>
      </c>
      <c r="B1589" t="s">
        <v>15</v>
      </c>
      <c r="C1589">
        <v>0</v>
      </c>
      <c r="D1589">
        <v>0.04</v>
      </c>
      <c r="E1589">
        <v>0</v>
      </c>
      <c r="F1589">
        <v>2</v>
      </c>
      <c r="G1589" t="b">
        <v>0</v>
      </c>
      <c r="H1589">
        <f>IF(inventory__Data[[#This Row],[stock_on_hand]]&lt;=0,1,0)</f>
        <v>1</v>
      </c>
      <c r="I1589">
        <f>COUNTIFS(inventory__Data[product_id],inventory__Data[[#This Row],[product_id]],inventory__Data[stock_on_hand],"&lt;=0")</f>
        <v>30</v>
      </c>
    </row>
    <row r="1590" spans="1:9" x14ac:dyDescent="0.3">
      <c r="A1590" s="1">
        <v>45975</v>
      </c>
      <c r="B1590" t="s">
        <v>18</v>
      </c>
      <c r="C1590">
        <v>35</v>
      </c>
      <c r="D1590">
        <v>0.15</v>
      </c>
      <c r="E1590">
        <v>0</v>
      </c>
      <c r="F1590">
        <v>2</v>
      </c>
      <c r="G1590" t="b">
        <v>0</v>
      </c>
      <c r="H1590">
        <f>IF(inventory__Data[[#This Row],[stock_on_hand]]&lt;=0,1,0)</f>
        <v>0</v>
      </c>
      <c r="I1590">
        <f>COUNTIFS(inventory__Data[product_id],inventory__Data[[#This Row],[product_id]],inventory__Data[stock_on_hand],"&lt;=0")</f>
        <v>30</v>
      </c>
    </row>
    <row r="1591" spans="1:9" x14ac:dyDescent="0.3">
      <c r="A1591" s="1">
        <v>45975</v>
      </c>
      <c r="B1591" t="s">
        <v>21</v>
      </c>
      <c r="C1591">
        <v>10</v>
      </c>
      <c r="D1591">
        <v>0.03</v>
      </c>
      <c r="E1591">
        <v>0</v>
      </c>
      <c r="F1591">
        <v>2</v>
      </c>
      <c r="G1591" t="b">
        <v>0</v>
      </c>
      <c r="H1591">
        <f>IF(inventory__Data[[#This Row],[stock_on_hand]]&lt;=0,1,0)</f>
        <v>0</v>
      </c>
      <c r="I1591">
        <f>COUNTIFS(inventory__Data[product_id],inventory__Data[[#This Row],[product_id]],inventory__Data[stock_on_hand],"&lt;=0")</f>
        <v>29</v>
      </c>
    </row>
    <row r="1592" spans="1:9" x14ac:dyDescent="0.3">
      <c r="A1592" s="1">
        <v>45976</v>
      </c>
      <c r="B1592" t="s">
        <v>9</v>
      </c>
      <c r="C1592">
        <v>0</v>
      </c>
      <c r="D1592">
        <v>0.05</v>
      </c>
      <c r="E1592">
        <v>0</v>
      </c>
      <c r="F1592">
        <v>2</v>
      </c>
      <c r="G1592" t="b">
        <v>0</v>
      </c>
      <c r="H1592">
        <f>IF(inventory__Data[[#This Row],[stock_on_hand]]&lt;=0,1,0)</f>
        <v>1</v>
      </c>
      <c r="I1592">
        <f>COUNTIFS(inventory__Data[product_id],inventory__Data[[#This Row],[product_id]],inventory__Data[stock_on_hand],"&lt;=0")</f>
        <v>25</v>
      </c>
    </row>
    <row r="1593" spans="1:9" x14ac:dyDescent="0.3">
      <c r="A1593" s="1">
        <v>45976</v>
      </c>
      <c r="B1593" t="s">
        <v>12</v>
      </c>
      <c r="C1593">
        <v>205</v>
      </c>
      <c r="D1593">
        <v>0.02</v>
      </c>
      <c r="E1593">
        <v>0</v>
      </c>
      <c r="F1593">
        <v>2</v>
      </c>
      <c r="G1593" t="b">
        <v>0</v>
      </c>
      <c r="H1593">
        <f>IF(inventory__Data[[#This Row],[stock_on_hand]]&lt;=0,1,0)</f>
        <v>0</v>
      </c>
      <c r="I1593">
        <f>COUNTIFS(inventory__Data[product_id],inventory__Data[[#This Row],[product_id]],inventory__Data[stock_on_hand],"&lt;=0")</f>
        <v>23</v>
      </c>
    </row>
    <row r="1594" spans="1:9" x14ac:dyDescent="0.3">
      <c r="A1594" s="1">
        <v>45976</v>
      </c>
      <c r="B1594" t="s">
        <v>15</v>
      </c>
      <c r="C1594">
        <v>3</v>
      </c>
      <c r="D1594">
        <v>0.04</v>
      </c>
      <c r="E1594">
        <v>0</v>
      </c>
      <c r="F1594">
        <v>2</v>
      </c>
      <c r="G1594" t="b">
        <v>0</v>
      </c>
      <c r="H1594">
        <f>IF(inventory__Data[[#This Row],[stock_on_hand]]&lt;=0,1,0)</f>
        <v>0</v>
      </c>
      <c r="I1594">
        <f>COUNTIFS(inventory__Data[product_id],inventory__Data[[#This Row],[product_id]],inventory__Data[stock_on_hand],"&lt;=0")</f>
        <v>30</v>
      </c>
    </row>
    <row r="1595" spans="1:9" x14ac:dyDescent="0.3">
      <c r="A1595" s="1">
        <v>45976</v>
      </c>
      <c r="B1595" t="s">
        <v>18</v>
      </c>
      <c r="C1595">
        <v>612</v>
      </c>
      <c r="D1595">
        <v>0.15</v>
      </c>
      <c r="E1595">
        <v>0</v>
      </c>
      <c r="F1595">
        <v>2</v>
      </c>
      <c r="G1595" t="b">
        <v>0</v>
      </c>
      <c r="H1595">
        <f>IF(inventory__Data[[#This Row],[stock_on_hand]]&lt;=0,1,0)</f>
        <v>0</v>
      </c>
      <c r="I1595">
        <f>COUNTIFS(inventory__Data[product_id],inventory__Data[[#This Row],[product_id]],inventory__Data[stock_on_hand],"&lt;=0")</f>
        <v>30</v>
      </c>
    </row>
    <row r="1596" spans="1:9" x14ac:dyDescent="0.3">
      <c r="A1596" s="1">
        <v>45976</v>
      </c>
      <c r="B1596" t="s">
        <v>21</v>
      </c>
      <c r="C1596">
        <v>341</v>
      </c>
      <c r="D1596">
        <v>0.03</v>
      </c>
      <c r="E1596">
        <v>0</v>
      </c>
      <c r="F1596">
        <v>5</v>
      </c>
      <c r="G1596" t="b">
        <v>0</v>
      </c>
      <c r="H1596">
        <f>IF(inventory__Data[[#This Row],[stock_on_hand]]&lt;=0,1,0)</f>
        <v>0</v>
      </c>
      <c r="I1596">
        <f>COUNTIFS(inventory__Data[product_id],inventory__Data[[#This Row],[product_id]],inventory__Data[stock_on_hand],"&lt;=0")</f>
        <v>29</v>
      </c>
    </row>
    <row r="1597" spans="1:9" x14ac:dyDescent="0.3">
      <c r="A1597" s="1">
        <v>45977</v>
      </c>
      <c r="B1597" t="s">
        <v>9</v>
      </c>
      <c r="C1597">
        <v>247</v>
      </c>
      <c r="D1597">
        <v>0.05</v>
      </c>
      <c r="E1597">
        <v>0</v>
      </c>
      <c r="F1597">
        <v>2</v>
      </c>
      <c r="G1597" t="b">
        <v>0</v>
      </c>
      <c r="H1597">
        <f>IF(inventory__Data[[#This Row],[stock_on_hand]]&lt;=0,1,0)</f>
        <v>0</v>
      </c>
      <c r="I1597">
        <f>COUNTIFS(inventory__Data[product_id],inventory__Data[[#This Row],[product_id]],inventory__Data[stock_on_hand],"&lt;=0")</f>
        <v>25</v>
      </c>
    </row>
    <row r="1598" spans="1:9" x14ac:dyDescent="0.3">
      <c r="A1598" s="1">
        <v>45977</v>
      </c>
      <c r="B1598" t="s">
        <v>12</v>
      </c>
      <c r="C1598">
        <v>167</v>
      </c>
      <c r="D1598">
        <v>0.02</v>
      </c>
      <c r="E1598">
        <v>0</v>
      </c>
      <c r="F1598">
        <v>2</v>
      </c>
      <c r="G1598" t="b">
        <v>0</v>
      </c>
      <c r="H1598">
        <f>IF(inventory__Data[[#This Row],[stock_on_hand]]&lt;=0,1,0)</f>
        <v>0</v>
      </c>
      <c r="I1598">
        <f>COUNTIFS(inventory__Data[product_id],inventory__Data[[#This Row],[product_id]],inventory__Data[stock_on_hand],"&lt;=0")</f>
        <v>23</v>
      </c>
    </row>
    <row r="1599" spans="1:9" x14ac:dyDescent="0.3">
      <c r="A1599" s="1">
        <v>45977</v>
      </c>
      <c r="B1599" t="s">
        <v>15</v>
      </c>
      <c r="C1599">
        <v>411</v>
      </c>
      <c r="D1599">
        <v>0.04</v>
      </c>
      <c r="E1599">
        <v>0</v>
      </c>
      <c r="F1599">
        <v>2</v>
      </c>
      <c r="G1599" t="b">
        <v>0</v>
      </c>
      <c r="H1599">
        <f>IF(inventory__Data[[#This Row],[stock_on_hand]]&lt;=0,1,0)</f>
        <v>0</v>
      </c>
      <c r="I1599">
        <f>COUNTIFS(inventory__Data[product_id],inventory__Data[[#This Row],[product_id]],inventory__Data[stock_on_hand],"&lt;=0")</f>
        <v>30</v>
      </c>
    </row>
    <row r="1600" spans="1:9" x14ac:dyDescent="0.3">
      <c r="A1600" s="1">
        <v>45977</v>
      </c>
      <c r="B1600" t="s">
        <v>18</v>
      </c>
      <c r="C1600">
        <v>491</v>
      </c>
      <c r="D1600">
        <v>0.15</v>
      </c>
      <c r="E1600">
        <v>0</v>
      </c>
      <c r="F1600">
        <v>5</v>
      </c>
      <c r="G1600" t="b">
        <v>0</v>
      </c>
      <c r="H1600">
        <f>IF(inventory__Data[[#This Row],[stock_on_hand]]&lt;=0,1,0)</f>
        <v>0</v>
      </c>
      <c r="I1600">
        <f>COUNTIFS(inventory__Data[product_id],inventory__Data[[#This Row],[product_id]],inventory__Data[stock_on_hand],"&lt;=0")</f>
        <v>30</v>
      </c>
    </row>
    <row r="1601" spans="1:9" x14ac:dyDescent="0.3">
      <c r="A1601" s="1">
        <v>45977</v>
      </c>
      <c r="B1601" t="s">
        <v>21</v>
      </c>
      <c r="C1601">
        <v>896</v>
      </c>
      <c r="D1601">
        <v>0.03</v>
      </c>
      <c r="E1601">
        <v>0</v>
      </c>
      <c r="F1601">
        <v>5</v>
      </c>
      <c r="G1601" t="b">
        <v>0</v>
      </c>
      <c r="H1601">
        <f>IF(inventory__Data[[#This Row],[stock_on_hand]]&lt;=0,1,0)</f>
        <v>0</v>
      </c>
      <c r="I1601">
        <f>COUNTIFS(inventory__Data[product_id],inventory__Data[[#This Row],[product_id]],inventory__Data[stock_on_hand],"&lt;=0")</f>
        <v>29</v>
      </c>
    </row>
    <row r="1602" spans="1:9" x14ac:dyDescent="0.3">
      <c r="A1602" s="1">
        <v>45978</v>
      </c>
      <c r="B1602" t="s">
        <v>9</v>
      </c>
      <c r="C1602">
        <v>426</v>
      </c>
      <c r="D1602">
        <v>0.05</v>
      </c>
      <c r="E1602">
        <v>0</v>
      </c>
      <c r="F1602">
        <v>5</v>
      </c>
      <c r="G1602" t="b">
        <v>0</v>
      </c>
      <c r="H1602">
        <f>IF(inventory__Data[[#This Row],[stock_on_hand]]&lt;=0,1,0)</f>
        <v>0</v>
      </c>
      <c r="I1602">
        <f>COUNTIFS(inventory__Data[product_id],inventory__Data[[#This Row],[product_id]],inventory__Data[stock_on_hand],"&lt;=0")</f>
        <v>25</v>
      </c>
    </row>
    <row r="1603" spans="1:9" x14ac:dyDescent="0.3">
      <c r="A1603" s="1">
        <v>45978</v>
      </c>
      <c r="B1603" t="s">
        <v>12</v>
      </c>
      <c r="C1603">
        <v>123</v>
      </c>
      <c r="D1603">
        <v>0.02</v>
      </c>
      <c r="E1603">
        <v>0</v>
      </c>
      <c r="F1603">
        <v>5</v>
      </c>
      <c r="G1603" t="b">
        <v>0</v>
      </c>
      <c r="H1603">
        <f>IF(inventory__Data[[#This Row],[stock_on_hand]]&lt;=0,1,0)</f>
        <v>0</v>
      </c>
      <c r="I1603">
        <f>COUNTIFS(inventory__Data[product_id],inventory__Data[[#This Row],[product_id]],inventory__Data[stock_on_hand],"&lt;=0")</f>
        <v>23</v>
      </c>
    </row>
    <row r="1604" spans="1:9" x14ac:dyDescent="0.3">
      <c r="A1604" s="1">
        <v>45978</v>
      </c>
      <c r="B1604" t="s">
        <v>15</v>
      </c>
      <c r="C1604">
        <v>895</v>
      </c>
      <c r="D1604">
        <v>0.04</v>
      </c>
      <c r="E1604">
        <v>0</v>
      </c>
      <c r="F1604">
        <v>15</v>
      </c>
      <c r="G1604" t="b">
        <v>0</v>
      </c>
      <c r="H1604">
        <f>IF(inventory__Data[[#This Row],[stock_on_hand]]&lt;=0,1,0)</f>
        <v>0</v>
      </c>
      <c r="I1604">
        <f>COUNTIFS(inventory__Data[product_id],inventory__Data[[#This Row],[product_id]],inventory__Data[stock_on_hand],"&lt;=0")</f>
        <v>30</v>
      </c>
    </row>
    <row r="1605" spans="1:9" x14ac:dyDescent="0.3">
      <c r="A1605" s="1">
        <v>45978</v>
      </c>
      <c r="B1605" t="s">
        <v>18</v>
      </c>
      <c r="C1605">
        <v>374</v>
      </c>
      <c r="D1605">
        <v>0.15</v>
      </c>
      <c r="E1605">
        <v>0</v>
      </c>
      <c r="F1605">
        <v>5</v>
      </c>
      <c r="G1605" t="b">
        <v>0</v>
      </c>
      <c r="H1605">
        <f>IF(inventory__Data[[#This Row],[stock_on_hand]]&lt;=0,1,0)</f>
        <v>0</v>
      </c>
      <c r="I1605">
        <f>COUNTIFS(inventory__Data[product_id],inventory__Data[[#This Row],[product_id]],inventory__Data[stock_on_hand],"&lt;=0")</f>
        <v>30</v>
      </c>
    </row>
    <row r="1606" spans="1:9" x14ac:dyDescent="0.3">
      <c r="A1606" s="1">
        <v>45978</v>
      </c>
      <c r="B1606" t="s">
        <v>21</v>
      </c>
      <c r="C1606">
        <v>519</v>
      </c>
      <c r="D1606">
        <v>0.03</v>
      </c>
      <c r="E1606">
        <v>0</v>
      </c>
      <c r="F1606">
        <v>2</v>
      </c>
      <c r="G1606" t="b">
        <v>0</v>
      </c>
      <c r="H1606">
        <f>IF(inventory__Data[[#This Row],[stock_on_hand]]&lt;=0,1,0)</f>
        <v>0</v>
      </c>
      <c r="I1606">
        <f>COUNTIFS(inventory__Data[product_id],inventory__Data[[#This Row],[product_id]],inventory__Data[stock_on_hand],"&lt;=0")</f>
        <v>29</v>
      </c>
    </row>
    <row r="1607" spans="1:9" x14ac:dyDescent="0.3">
      <c r="A1607" s="1">
        <v>45979</v>
      </c>
      <c r="B1607" t="s">
        <v>9</v>
      </c>
      <c r="C1607">
        <v>513</v>
      </c>
      <c r="D1607">
        <v>0.05</v>
      </c>
      <c r="E1607">
        <v>0</v>
      </c>
      <c r="F1607">
        <v>2</v>
      </c>
      <c r="G1607" t="b">
        <v>0</v>
      </c>
      <c r="H1607">
        <f>IF(inventory__Data[[#This Row],[stock_on_hand]]&lt;=0,1,0)</f>
        <v>0</v>
      </c>
      <c r="I1607">
        <f>COUNTIFS(inventory__Data[product_id],inventory__Data[[#This Row],[product_id]],inventory__Data[stock_on_hand],"&lt;=0")</f>
        <v>25</v>
      </c>
    </row>
    <row r="1608" spans="1:9" x14ac:dyDescent="0.3">
      <c r="A1608" s="1">
        <v>45979</v>
      </c>
      <c r="B1608" t="s">
        <v>12</v>
      </c>
      <c r="C1608">
        <v>599</v>
      </c>
      <c r="D1608">
        <v>0.02</v>
      </c>
      <c r="E1608">
        <v>0</v>
      </c>
      <c r="F1608">
        <v>2</v>
      </c>
      <c r="G1608" t="b">
        <v>0</v>
      </c>
      <c r="H1608">
        <f>IF(inventory__Data[[#This Row],[stock_on_hand]]&lt;=0,1,0)</f>
        <v>0</v>
      </c>
      <c r="I1608">
        <f>COUNTIFS(inventory__Data[product_id],inventory__Data[[#This Row],[product_id]],inventory__Data[stock_on_hand],"&lt;=0")</f>
        <v>23</v>
      </c>
    </row>
    <row r="1609" spans="1:9" x14ac:dyDescent="0.3">
      <c r="A1609" s="1">
        <v>45979</v>
      </c>
      <c r="B1609" t="s">
        <v>15</v>
      </c>
      <c r="C1609">
        <v>446</v>
      </c>
      <c r="D1609">
        <v>0.04</v>
      </c>
      <c r="E1609">
        <v>0</v>
      </c>
      <c r="F1609">
        <v>2</v>
      </c>
      <c r="G1609" t="b">
        <v>0</v>
      </c>
      <c r="H1609">
        <f>IF(inventory__Data[[#This Row],[stock_on_hand]]&lt;=0,1,0)</f>
        <v>0</v>
      </c>
      <c r="I1609">
        <f>COUNTIFS(inventory__Data[product_id],inventory__Data[[#This Row],[product_id]],inventory__Data[stock_on_hand],"&lt;=0")</f>
        <v>30</v>
      </c>
    </row>
    <row r="1610" spans="1:9" x14ac:dyDescent="0.3">
      <c r="A1610" s="1">
        <v>45979</v>
      </c>
      <c r="B1610" t="s">
        <v>18</v>
      </c>
      <c r="C1610">
        <v>755</v>
      </c>
      <c r="D1610">
        <v>0.15</v>
      </c>
      <c r="E1610">
        <v>0</v>
      </c>
      <c r="F1610">
        <v>5</v>
      </c>
      <c r="G1610" t="b">
        <v>0</v>
      </c>
      <c r="H1610">
        <f>IF(inventory__Data[[#This Row],[stock_on_hand]]&lt;=0,1,0)</f>
        <v>0</v>
      </c>
      <c r="I1610">
        <f>COUNTIFS(inventory__Data[product_id],inventory__Data[[#This Row],[product_id]],inventory__Data[stock_on_hand],"&lt;=0")</f>
        <v>30</v>
      </c>
    </row>
    <row r="1611" spans="1:9" x14ac:dyDescent="0.3">
      <c r="A1611" s="1">
        <v>45979</v>
      </c>
      <c r="B1611" t="s">
        <v>21</v>
      </c>
      <c r="C1611">
        <v>398</v>
      </c>
      <c r="D1611">
        <v>0.03</v>
      </c>
      <c r="E1611">
        <v>0</v>
      </c>
      <c r="F1611">
        <v>2</v>
      </c>
      <c r="G1611" t="b">
        <v>0</v>
      </c>
      <c r="H1611">
        <f>IF(inventory__Data[[#This Row],[stock_on_hand]]&lt;=0,1,0)</f>
        <v>0</v>
      </c>
      <c r="I1611">
        <f>COUNTIFS(inventory__Data[product_id],inventory__Data[[#This Row],[product_id]],inventory__Data[stock_on_hand],"&lt;=0")</f>
        <v>29</v>
      </c>
    </row>
    <row r="1612" spans="1:9" x14ac:dyDescent="0.3">
      <c r="A1612" s="1">
        <v>45980</v>
      </c>
      <c r="B1612" t="s">
        <v>9</v>
      </c>
      <c r="C1612">
        <v>706</v>
      </c>
      <c r="D1612">
        <v>0.05</v>
      </c>
      <c r="E1612">
        <v>0</v>
      </c>
      <c r="F1612">
        <v>2</v>
      </c>
      <c r="G1612" t="b">
        <v>0</v>
      </c>
      <c r="H1612">
        <f>IF(inventory__Data[[#This Row],[stock_on_hand]]&lt;=0,1,0)</f>
        <v>0</v>
      </c>
      <c r="I1612">
        <f>COUNTIFS(inventory__Data[product_id],inventory__Data[[#This Row],[product_id]],inventory__Data[stock_on_hand],"&lt;=0")</f>
        <v>25</v>
      </c>
    </row>
    <row r="1613" spans="1:9" x14ac:dyDescent="0.3">
      <c r="A1613" s="1">
        <v>45980</v>
      </c>
      <c r="B1613" t="s">
        <v>12</v>
      </c>
      <c r="C1613">
        <v>45</v>
      </c>
      <c r="D1613">
        <v>0.02</v>
      </c>
      <c r="E1613">
        <v>0</v>
      </c>
      <c r="F1613">
        <v>2</v>
      </c>
      <c r="G1613" t="b">
        <v>0</v>
      </c>
      <c r="H1613">
        <f>IF(inventory__Data[[#This Row],[stock_on_hand]]&lt;=0,1,0)</f>
        <v>0</v>
      </c>
      <c r="I1613">
        <f>COUNTIFS(inventory__Data[product_id],inventory__Data[[#This Row],[product_id]],inventory__Data[stock_on_hand],"&lt;=0")</f>
        <v>23</v>
      </c>
    </row>
    <row r="1614" spans="1:9" x14ac:dyDescent="0.3">
      <c r="A1614" s="1">
        <v>45980</v>
      </c>
      <c r="B1614" t="s">
        <v>15</v>
      </c>
      <c r="C1614">
        <v>452</v>
      </c>
      <c r="D1614">
        <v>0.04</v>
      </c>
      <c r="E1614">
        <v>0</v>
      </c>
      <c r="F1614">
        <v>2</v>
      </c>
      <c r="G1614" t="b">
        <v>0</v>
      </c>
      <c r="H1614">
        <f>IF(inventory__Data[[#This Row],[stock_on_hand]]&lt;=0,1,0)</f>
        <v>0</v>
      </c>
      <c r="I1614">
        <f>COUNTIFS(inventory__Data[product_id],inventory__Data[[#This Row],[product_id]],inventory__Data[stock_on_hand],"&lt;=0")</f>
        <v>30</v>
      </c>
    </row>
    <row r="1615" spans="1:9" x14ac:dyDescent="0.3">
      <c r="A1615" s="1">
        <v>45980</v>
      </c>
      <c r="B1615" t="s">
        <v>18</v>
      </c>
      <c r="C1615">
        <v>141</v>
      </c>
      <c r="D1615">
        <v>0.15</v>
      </c>
      <c r="E1615">
        <v>0</v>
      </c>
      <c r="F1615">
        <v>10</v>
      </c>
      <c r="G1615" t="b">
        <v>0</v>
      </c>
      <c r="H1615">
        <f>IF(inventory__Data[[#This Row],[stock_on_hand]]&lt;=0,1,0)</f>
        <v>0</v>
      </c>
      <c r="I1615">
        <f>COUNTIFS(inventory__Data[product_id],inventory__Data[[#This Row],[product_id]],inventory__Data[stock_on_hand],"&lt;=0")</f>
        <v>30</v>
      </c>
    </row>
    <row r="1616" spans="1:9" x14ac:dyDescent="0.3">
      <c r="A1616" s="1">
        <v>45980</v>
      </c>
      <c r="B1616" t="s">
        <v>21</v>
      </c>
      <c r="C1616">
        <v>507</v>
      </c>
      <c r="D1616">
        <v>0.03</v>
      </c>
      <c r="E1616">
        <v>0</v>
      </c>
      <c r="F1616">
        <v>5</v>
      </c>
      <c r="G1616" t="b">
        <v>0</v>
      </c>
      <c r="H1616">
        <f>IF(inventory__Data[[#This Row],[stock_on_hand]]&lt;=0,1,0)</f>
        <v>0</v>
      </c>
      <c r="I1616">
        <f>COUNTIFS(inventory__Data[product_id],inventory__Data[[#This Row],[product_id]],inventory__Data[stock_on_hand],"&lt;=0")</f>
        <v>29</v>
      </c>
    </row>
    <row r="1617" spans="1:9" x14ac:dyDescent="0.3">
      <c r="A1617" s="1">
        <v>45981</v>
      </c>
      <c r="B1617" t="s">
        <v>9</v>
      </c>
      <c r="C1617">
        <v>415</v>
      </c>
      <c r="D1617">
        <v>0.05</v>
      </c>
      <c r="E1617">
        <v>0</v>
      </c>
      <c r="F1617">
        <v>5</v>
      </c>
      <c r="G1617" t="b">
        <v>0</v>
      </c>
      <c r="H1617">
        <f>IF(inventory__Data[[#This Row],[stock_on_hand]]&lt;=0,1,0)</f>
        <v>0</v>
      </c>
      <c r="I1617">
        <f>COUNTIFS(inventory__Data[product_id],inventory__Data[[#This Row],[product_id]],inventory__Data[stock_on_hand],"&lt;=0")</f>
        <v>25</v>
      </c>
    </row>
    <row r="1618" spans="1:9" x14ac:dyDescent="0.3">
      <c r="A1618" s="1">
        <v>45981</v>
      </c>
      <c r="B1618" t="s">
        <v>12</v>
      </c>
      <c r="C1618">
        <v>77</v>
      </c>
      <c r="D1618">
        <v>0.02</v>
      </c>
      <c r="E1618">
        <v>0</v>
      </c>
      <c r="F1618">
        <v>2</v>
      </c>
      <c r="G1618" t="b">
        <v>0</v>
      </c>
      <c r="H1618">
        <f>IF(inventory__Data[[#This Row],[stock_on_hand]]&lt;=0,1,0)</f>
        <v>0</v>
      </c>
      <c r="I1618">
        <f>COUNTIFS(inventory__Data[product_id],inventory__Data[[#This Row],[product_id]],inventory__Data[stock_on_hand],"&lt;=0")</f>
        <v>23</v>
      </c>
    </row>
    <row r="1619" spans="1:9" x14ac:dyDescent="0.3">
      <c r="A1619" s="1">
        <v>45981</v>
      </c>
      <c r="B1619" t="s">
        <v>15</v>
      </c>
      <c r="C1619">
        <v>122</v>
      </c>
      <c r="D1619">
        <v>0.04</v>
      </c>
      <c r="E1619">
        <v>0</v>
      </c>
      <c r="F1619">
        <v>5</v>
      </c>
      <c r="G1619" t="b">
        <v>0</v>
      </c>
      <c r="H1619">
        <f>IF(inventory__Data[[#This Row],[stock_on_hand]]&lt;=0,1,0)</f>
        <v>0</v>
      </c>
      <c r="I1619">
        <f>COUNTIFS(inventory__Data[product_id],inventory__Data[[#This Row],[product_id]],inventory__Data[stock_on_hand],"&lt;=0")</f>
        <v>30</v>
      </c>
    </row>
    <row r="1620" spans="1:9" x14ac:dyDescent="0.3">
      <c r="A1620" s="1">
        <v>45981</v>
      </c>
      <c r="B1620" t="s">
        <v>18</v>
      </c>
      <c r="C1620">
        <v>49</v>
      </c>
      <c r="D1620">
        <v>0.15</v>
      </c>
      <c r="E1620">
        <v>0</v>
      </c>
      <c r="F1620">
        <v>2</v>
      </c>
      <c r="G1620" t="b">
        <v>0</v>
      </c>
      <c r="H1620">
        <f>IF(inventory__Data[[#This Row],[stock_on_hand]]&lt;=0,1,0)</f>
        <v>0</v>
      </c>
      <c r="I1620">
        <f>COUNTIFS(inventory__Data[product_id],inventory__Data[[#This Row],[product_id]],inventory__Data[stock_on_hand],"&lt;=0")</f>
        <v>30</v>
      </c>
    </row>
    <row r="1621" spans="1:9" x14ac:dyDescent="0.3">
      <c r="A1621" s="1">
        <v>45981</v>
      </c>
      <c r="B1621" t="s">
        <v>21</v>
      </c>
      <c r="C1621">
        <v>0</v>
      </c>
      <c r="D1621">
        <v>0.03</v>
      </c>
      <c r="E1621">
        <v>0</v>
      </c>
      <c r="F1621">
        <v>5</v>
      </c>
      <c r="G1621" t="b">
        <v>0</v>
      </c>
      <c r="H1621">
        <f>IF(inventory__Data[[#This Row],[stock_on_hand]]&lt;=0,1,0)</f>
        <v>1</v>
      </c>
      <c r="I1621">
        <f>COUNTIFS(inventory__Data[product_id],inventory__Data[[#This Row],[product_id]],inventory__Data[stock_on_hand],"&lt;=0")</f>
        <v>29</v>
      </c>
    </row>
    <row r="1622" spans="1:9" x14ac:dyDescent="0.3">
      <c r="A1622" s="1">
        <v>45982</v>
      </c>
      <c r="B1622" t="s">
        <v>9</v>
      </c>
      <c r="C1622">
        <v>103</v>
      </c>
      <c r="D1622">
        <v>0.05</v>
      </c>
      <c r="E1622">
        <v>0</v>
      </c>
      <c r="F1622">
        <v>2</v>
      </c>
      <c r="G1622" t="b">
        <v>0</v>
      </c>
      <c r="H1622">
        <f>IF(inventory__Data[[#This Row],[stock_on_hand]]&lt;=0,1,0)</f>
        <v>0</v>
      </c>
      <c r="I1622">
        <f>COUNTIFS(inventory__Data[product_id],inventory__Data[[#This Row],[product_id]],inventory__Data[stock_on_hand],"&lt;=0")</f>
        <v>25</v>
      </c>
    </row>
    <row r="1623" spans="1:9" x14ac:dyDescent="0.3">
      <c r="A1623" s="1">
        <v>45982</v>
      </c>
      <c r="B1623" t="s">
        <v>12</v>
      </c>
      <c r="C1623">
        <v>543</v>
      </c>
      <c r="D1623">
        <v>0.02</v>
      </c>
      <c r="E1623">
        <v>0</v>
      </c>
      <c r="F1623">
        <v>2</v>
      </c>
      <c r="G1623" t="b">
        <v>0</v>
      </c>
      <c r="H1623">
        <f>IF(inventory__Data[[#This Row],[stock_on_hand]]&lt;=0,1,0)</f>
        <v>0</v>
      </c>
      <c r="I1623">
        <f>COUNTIFS(inventory__Data[product_id],inventory__Data[[#This Row],[product_id]],inventory__Data[stock_on_hand],"&lt;=0")</f>
        <v>23</v>
      </c>
    </row>
    <row r="1624" spans="1:9" x14ac:dyDescent="0.3">
      <c r="A1624" s="1">
        <v>45982</v>
      </c>
      <c r="B1624" t="s">
        <v>15</v>
      </c>
      <c r="C1624">
        <v>230</v>
      </c>
      <c r="D1624">
        <v>0.04</v>
      </c>
      <c r="E1624">
        <v>0</v>
      </c>
      <c r="F1624">
        <v>5</v>
      </c>
      <c r="G1624" t="b">
        <v>0</v>
      </c>
      <c r="H1624">
        <f>IF(inventory__Data[[#This Row],[stock_on_hand]]&lt;=0,1,0)</f>
        <v>0</v>
      </c>
      <c r="I1624">
        <f>COUNTIFS(inventory__Data[product_id],inventory__Data[[#This Row],[product_id]],inventory__Data[stock_on_hand],"&lt;=0")</f>
        <v>30</v>
      </c>
    </row>
    <row r="1625" spans="1:9" x14ac:dyDescent="0.3">
      <c r="A1625" s="1">
        <v>45982</v>
      </c>
      <c r="B1625" t="s">
        <v>18</v>
      </c>
      <c r="C1625">
        <v>890</v>
      </c>
      <c r="D1625">
        <v>0.15</v>
      </c>
      <c r="E1625">
        <v>0</v>
      </c>
      <c r="F1625">
        <v>5</v>
      </c>
      <c r="G1625" t="b">
        <v>0</v>
      </c>
      <c r="H1625">
        <f>IF(inventory__Data[[#This Row],[stock_on_hand]]&lt;=0,1,0)</f>
        <v>0</v>
      </c>
      <c r="I1625">
        <f>COUNTIFS(inventory__Data[product_id],inventory__Data[[#This Row],[product_id]],inventory__Data[stock_on_hand],"&lt;=0")</f>
        <v>30</v>
      </c>
    </row>
    <row r="1626" spans="1:9" x14ac:dyDescent="0.3">
      <c r="A1626" s="1">
        <v>45982</v>
      </c>
      <c r="B1626" t="s">
        <v>21</v>
      </c>
      <c r="C1626">
        <v>856</v>
      </c>
      <c r="D1626">
        <v>0.03</v>
      </c>
      <c r="E1626">
        <v>0</v>
      </c>
      <c r="F1626">
        <v>2</v>
      </c>
      <c r="G1626" t="b">
        <v>0</v>
      </c>
      <c r="H1626">
        <f>IF(inventory__Data[[#This Row],[stock_on_hand]]&lt;=0,1,0)</f>
        <v>0</v>
      </c>
      <c r="I1626">
        <f>COUNTIFS(inventory__Data[product_id],inventory__Data[[#This Row],[product_id]],inventory__Data[stock_on_hand],"&lt;=0")</f>
        <v>29</v>
      </c>
    </row>
    <row r="1627" spans="1:9" x14ac:dyDescent="0.3">
      <c r="A1627" s="1">
        <v>45983</v>
      </c>
      <c r="B1627" t="s">
        <v>9</v>
      </c>
      <c r="C1627">
        <v>318</v>
      </c>
      <c r="D1627">
        <v>0.05</v>
      </c>
      <c r="E1627">
        <v>0</v>
      </c>
      <c r="F1627">
        <v>2</v>
      </c>
      <c r="G1627" t="b">
        <v>0</v>
      </c>
      <c r="H1627">
        <f>IF(inventory__Data[[#This Row],[stock_on_hand]]&lt;=0,1,0)</f>
        <v>0</v>
      </c>
      <c r="I1627">
        <f>COUNTIFS(inventory__Data[product_id],inventory__Data[[#This Row],[product_id]],inventory__Data[stock_on_hand],"&lt;=0")</f>
        <v>25</v>
      </c>
    </row>
    <row r="1628" spans="1:9" x14ac:dyDescent="0.3">
      <c r="A1628" s="1">
        <v>45983</v>
      </c>
      <c r="B1628" t="s">
        <v>12</v>
      </c>
      <c r="C1628">
        <v>847</v>
      </c>
      <c r="D1628">
        <v>0.02</v>
      </c>
      <c r="E1628">
        <v>0</v>
      </c>
      <c r="F1628">
        <v>5</v>
      </c>
      <c r="G1628" t="b">
        <v>0</v>
      </c>
      <c r="H1628">
        <f>IF(inventory__Data[[#This Row],[stock_on_hand]]&lt;=0,1,0)</f>
        <v>0</v>
      </c>
      <c r="I1628">
        <f>COUNTIFS(inventory__Data[product_id],inventory__Data[[#This Row],[product_id]],inventory__Data[stock_on_hand],"&lt;=0")</f>
        <v>23</v>
      </c>
    </row>
    <row r="1629" spans="1:9" x14ac:dyDescent="0.3">
      <c r="A1629" s="1">
        <v>45983</v>
      </c>
      <c r="B1629" t="s">
        <v>15</v>
      </c>
      <c r="C1629">
        <v>391</v>
      </c>
      <c r="D1629">
        <v>0.04</v>
      </c>
      <c r="E1629">
        <v>0</v>
      </c>
      <c r="F1629">
        <v>2</v>
      </c>
      <c r="G1629" t="b">
        <v>0</v>
      </c>
      <c r="H1629">
        <f>IF(inventory__Data[[#This Row],[stock_on_hand]]&lt;=0,1,0)</f>
        <v>0</v>
      </c>
      <c r="I1629">
        <f>COUNTIFS(inventory__Data[product_id],inventory__Data[[#This Row],[product_id]],inventory__Data[stock_on_hand],"&lt;=0")</f>
        <v>30</v>
      </c>
    </row>
    <row r="1630" spans="1:9" x14ac:dyDescent="0.3">
      <c r="A1630" s="1">
        <v>45983</v>
      </c>
      <c r="B1630" t="s">
        <v>18</v>
      </c>
      <c r="C1630">
        <v>781</v>
      </c>
      <c r="D1630">
        <v>0.15</v>
      </c>
      <c r="E1630">
        <v>0</v>
      </c>
      <c r="F1630">
        <v>2</v>
      </c>
      <c r="G1630" t="b">
        <v>0</v>
      </c>
      <c r="H1630">
        <f>IF(inventory__Data[[#This Row],[stock_on_hand]]&lt;=0,1,0)</f>
        <v>0</v>
      </c>
      <c r="I1630">
        <f>COUNTIFS(inventory__Data[product_id],inventory__Data[[#This Row],[product_id]],inventory__Data[stock_on_hand],"&lt;=0")</f>
        <v>30</v>
      </c>
    </row>
    <row r="1631" spans="1:9" x14ac:dyDescent="0.3">
      <c r="A1631" s="1">
        <v>45983</v>
      </c>
      <c r="B1631" t="s">
        <v>21</v>
      </c>
      <c r="C1631">
        <v>317</v>
      </c>
      <c r="D1631">
        <v>0.03</v>
      </c>
      <c r="E1631">
        <v>0</v>
      </c>
      <c r="F1631">
        <v>2</v>
      </c>
      <c r="G1631" t="b">
        <v>0</v>
      </c>
      <c r="H1631">
        <f>IF(inventory__Data[[#This Row],[stock_on_hand]]&lt;=0,1,0)</f>
        <v>0</v>
      </c>
      <c r="I1631">
        <f>COUNTIFS(inventory__Data[product_id],inventory__Data[[#This Row],[product_id]],inventory__Data[stock_on_hand],"&lt;=0")</f>
        <v>29</v>
      </c>
    </row>
    <row r="1632" spans="1:9" x14ac:dyDescent="0.3">
      <c r="A1632" s="1">
        <v>45984</v>
      </c>
      <c r="B1632" t="s">
        <v>9</v>
      </c>
      <c r="C1632">
        <v>64</v>
      </c>
      <c r="D1632">
        <v>0.05</v>
      </c>
      <c r="E1632">
        <v>0</v>
      </c>
      <c r="F1632">
        <v>10</v>
      </c>
      <c r="G1632" t="b">
        <v>0</v>
      </c>
      <c r="H1632">
        <f>IF(inventory__Data[[#This Row],[stock_on_hand]]&lt;=0,1,0)</f>
        <v>0</v>
      </c>
      <c r="I1632">
        <f>COUNTIFS(inventory__Data[product_id],inventory__Data[[#This Row],[product_id]],inventory__Data[stock_on_hand],"&lt;=0")</f>
        <v>25</v>
      </c>
    </row>
    <row r="1633" spans="1:9" x14ac:dyDescent="0.3">
      <c r="A1633" s="1">
        <v>45984</v>
      </c>
      <c r="B1633" t="s">
        <v>12</v>
      </c>
      <c r="C1633">
        <v>306</v>
      </c>
      <c r="D1633">
        <v>0.02</v>
      </c>
      <c r="E1633">
        <v>0</v>
      </c>
      <c r="F1633">
        <v>2</v>
      </c>
      <c r="G1633" t="b">
        <v>0</v>
      </c>
      <c r="H1633">
        <f>IF(inventory__Data[[#This Row],[stock_on_hand]]&lt;=0,1,0)</f>
        <v>0</v>
      </c>
      <c r="I1633">
        <f>COUNTIFS(inventory__Data[product_id],inventory__Data[[#This Row],[product_id]],inventory__Data[stock_on_hand],"&lt;=0")</f>
        <v>23</v>
      </c>
    </row>
    <row r="1634" spans="1:9" x14ac:dyDescent="0.3">
      <c r="A1634" s="1">
        <v>45984</v>
      </c>
      <c r="B1634" t="s">
        <v>15</v>
      </c>
      <c r="C1634">
        <v>11</v>
      </c>
      <c r="D1634">
        <v>0.04</v>
      </c>
      <c r="E1634">
        <v>0</v>
      </c>
      <c r="F1634">
        <v>2</v>
      </c>
      <c r="G1634" t="b">
        <v>0</v>
      </c>
      <c r="H1634">
        <f>IF(inventory__Data[[#This Row],[stock_on_hand]]&lt;=0,1,0)</f>
        <v>0</v>
      </c>
      <c r="I1634">
        <f>COUNTIFS(inventory__Data[product_id],inventory__Data[[#This Row],[product_id]],inventory__Data[stock_on_hand],"&lt;=0")</f>
        <v>30</v>
      </c>
    </row>
    <row r="1635" spans="1:9" x14ac:dyDescent="0.3">
      <c r="A1635" s="1">
        <v>45984</v>
      </c>
      <c r="B1635" t="s">
        <v>18</v>
      </c>
      <c r="C1635">
        <v>722</v>
      </c>
      <c r="D1635">
        <v>0.15</v>
      </c>
      <c r="E1635">
        <v>0</v>
      </c>
      <c r="F1635">
        <v>10</v>
      </c>
      <c r="G1635" t="b">
        <v>0</v>
      </c>
      <c r="H1635">
        <f>IF(inventory__Data[[#This Row],[stock_on_hand]]&lt;=0,1,0)</f>
        <v>0</v>
      </c>
      <c r="I1635">
        <f>COUNTIFS(inventory__Data[product_id],inventory__Data[[#This Row],[product_id]],inventory__Data[stock_on_hand],"&lt;=0")</f>
        <v>30</v>
      </c>
    </row>
    <row r="1636" spans="1:9" x14ac:dyDescent="0.3">
      <c r="A1636" s="1">
        <v>45984</v>
      </c>
      <c r="B1636" t="s">
        <v>21</v>
      </c>
      <c r="C1636">
        <v>716</v>
      </c>
      <c r="D1636">
        <v>0.03</v>
      </c>
      <c r="E1636">
        <v>0</v>
      </c>
      <c r="F1636">
        <v>2</v>
      </c>
      <c r="G1636" t="b">
        <v>0</v>
      </c>
      <c r="H1636">
        <f>IF(inventory__Data[[#This Row],[stock_on_hand]]&lt;=0,1,0)</f>
        <v>0</v>
      </c>
      <c r="I1636">
        <f>COUNTIFS(inventory__Data[product_id],inventory__Data[[#This Row],[product_id]],inventory__Data[stock_on_hand],"&lt;=0")</f>
        <v>29</v>
      </c>
    </row>
    <row r="1637" spans="1:9" x14ac:dyDescent="0.3">
      <c r="A1637" s="1">
        <v>45985</v>
      </c>
      <c r="B1637" t="s">
        <v>9</v>
      </c>
      <c r="C1637">
        <v>115</v>
      </c>
      <c r="D1637">
        <v>0.05</v>
      </c>
      <c r="E1637">
        <v>0</v>
      </c>
      <c r="F1637">
        <v>2</v>
      </c>
      <c r="G1637" t="b">
        <v>0</v>
      </c>
      <c r="H1637">
        <f>IF(inventory__Data[[#This Row],[stock_on_hand]]&lt;=0,1,0)</f>
        <v>0</v>
      </c>
      <c r="I1637">
        <f>COUNTIFS(inventory__Data[product_id],inventory__Data[[#This Row],[product_id]],inventory__Data[stock_on_hand],"&lt;=0")</f>
        <v>25</v>
      </c>
    </row>
    <row r="1638" spans="1:9" x14ac:dyDescent="0.3">
      <c r="A1638" s="1">
        <v>45985</v>
      </c>
      <c r="B1638" t="s">
        <v>12</v>
      </c>
      <c r="C1638">
        <v>616</v>
      </c>
      <c r="D1638">
        <v>0.02</v>
      </c>
      <c r="E1638">
        <v>0</v>
      </c>
      <c r="F1638">
        <v>2</v>
      </c>
      <c r="G1638" t="b">
        <v>0</v>
      </c>
      <c r="H1638">
        <f>IF(inventory__Data[[#This Row],[stock_on_hand]]&lt;=0,1,0)</f>
        <v>0</v>
      </c>
      <c r="I1638">
        <f>COUNTIFS(inventory__Data[product_id],inventory__Data[[#This Row],[product_id]],inventory__Data[stock_on_hand],"&lt;=0")</f>
        <v>23</v>
      </c>
    </row>
    <row r="1639" spans="1:9" x14ac:dyDescent="0.3">
      <c r="A1639" s="1">
        <v>45985</v>
      </c>
      <c r="B1639" t="s">
        <v>15</v>
      </c>
      <c r="C1639">
        <v>733</v>
      </c>
      <c r="D1639">
        <v>0.04</v>
      </c>
      <c r="E1639">
        <v>0</v>
      </c>
      <c r="F1639">
        <v>2</v>
      </c>
      <c r="G1639" t="b">
        <v>0</v>
      </c>
      <c r="H1639">
        <f>IF(inventory__Data[[#This Row],[stock_on_hand]]&lt;=0,1,0)</f>
        <v>0</v>
      </c>
      <c r="I1639">
        <f>COUNTIFS(inventory__Data[product_id],inventory__Data[[#This Row],[product_id]],inventory__Data[stock_on_hand],"&lt;=0")</f>
        <v>30</v>
      </c>
    </row>
    <row r="1640" spans="1:9" x14ac:dyDescent="0.3">
      <c r="A1640" s="1">
        <v>45985</v>
      </c>
      <c r="B1640" t="s">
        <v>18</v>
      </c>
      <c r="C1640">
        <v>395</v>
      </c>
      <c r="D1640">
        <v>0.15</v>
      </c>
      <c r="E1640">
        <v>0</v>
      </c>
      <c r="F1640">
        <v>5</v>
      </c>
      <c r="G1640" t="b">
        <v>0</v>
      </c>
      <c r="H1640">
        <f>IF(inventory__Data[[#This Row],[stock_on_hand]]&lt;=0,1,0)</f>
        <v>0</v>
      </c>
      <c r="I1640">
        <f>COUNTIFS(inventory__Data[product_id],inventory__Data[[#This Row],[product_id]],inventory__Data[stock_on_hand],"&lt;=0")</f>
        <v>30</v>
      </c>
    </row>
    <row r="1641" spans="1:9" x14ac:dyDescent="0.3">
      <c r="A1641" s="1">
        <v>45985</v>
      </c>
      <c r="B1641" t="s">
        <v>21</v>
      </c>
      <c r="C1641">
        <v>316</v>
      </c>
      <c r="D1641">
        <v>0.03</v>
      </c>
      <c r="E1641">
        <v>0</v>
      </c>
      <c r="F1641">
        <v>2</v>
      </c>
      <c r="G1641" t="b">
        <v>0</v>
      </c>
      <c r="H1641">
        <f>IF(inventory__Data[[#This Row],[stock_on_hand]]&lt;=0,1,0)</f>
        <v>0</v>
      </c>
      <c r="I1641">
        <f>COUNTIFS(inventory__Data[product_id],inventory__Data[[#This Row],[product_id]],inventory__Data[stock_on_hand],"&lt;=0")</f>
        <v>29</v>
      </c>
    </row>
    <row r="1642" spans="1:9" x14ac:dyDescent="0.3">
      <c r="A1642" s="1">
        <v>45986</v>
      </c>
      <c r="B1642" t="s">
        <v>9</v>
      </c>
      <c r="C1642">
        <v>423</v>
      </c>
      <c r="D1642">
        <v>0.05</v>
      </c>
      <c r="E1642">
        <v>0</v>
      </c>
      <c r="F1642">
        <v>2</v>
      </c>
      <c r="G1642" t="b">
        <v>0</v>
      </c>
      <c r="H1642">
        <f>IF(inventory__Data[[#This Row],[stock_on_hand]]&lt;=0,1,0)</f>
        <v>0</v>
      </c>
      <c r="I1642">
        <f>COUNTIFS(inventory__Data[product_id],inventory__Data[[#This Row],[product_id]],inventory__Data[stock_on_hand],"&lt;=0")</f>
        <v>25</v>
      </c>
    </row>
    <row r="1643" spans="1:9" x14ac:dyDescent="0.3">
      <c r="A1643" s="1">
        <v>45986</v>
      </c>
      <c r="B1643" t="s">
        <v>12</v>
      </c>
      <c r="C1643">
        <v>0</v>
      </c>
      <c r="D1643">
        <v>0.02</v>
      </c>
      <c r="E1643">
        <v>0</v>
      </c>
      <c r="F1643">
        <v>2</v>
      </c>
      <c r="G1643" t="b">
        <v>0</v>
      </c>
      <c r="H1643">
        <f>IF(inventory__Data[[#This Row],[stock_on_hand]]&lt;=0,1,0)</f>
        <v>1</v>
      </c>
      <c r="I1643">
        <f>COUNTIFS(inventory__Data[product_id],inventory__Data[[#This Row],[product_id]],inventory__Data[stock_on_hand],"&lt;=0")</f>
        <v>23</v>
      </c>
    </row>
    <row r="1644" spans="1:9" x14ac:dyDescent="0.3">
      <c r="A1644" s="1">
        <v>45986</v>
      </c>
      <c r="B1644" t="s">
        <v>15</v>
      </c>
      <c r="C1644">
        <v>0</v>
      </c>
      <c r="D1644">
        <v>0.04</v>
      </c>
      <c r="E1644">
        <v>0</v>
      </c>
      <c r="F1644">
        <v>2</v>
      </c>
      <c r="G1644" t="b">
        <v>0</v>
      </c>
      <c r="H1644">
        <f>IF(inventory__Data[[#This Row],[stock_on_hand]]&lt;=0,1,0)</f>
        <v>1</v>
      </c>
      <c r="I1644">
        <f>COUNTIFS(inventory__Data[product_id],inventory__Data[[#This Row],[product_id]],inventory__Data[stock_on_hand],"&lt;=0")</f>
        <v>30</v>
      </c>
    </row>
    <row r="1645" spans="1:9" x14ac:dyDescent="0.3">
      <c r="A1645" s="1">
        <v>45986</v>
      </c>
      <c r="B1645" t="s">
        <v>18</v>
      </c>
      <c r="C1645">
        <v>0</v>
      </c>
      <c r="D1645">
        <v>0.15</v>
      </c>
      <c r="E1645">
        <v>0</v>
      </c>
      <c r="F1645">
        <v>5</v>
      </c>
      <c r="G1645" t="b">
        <v>0</v>
      </c>
      <c r="H1645">
        <f>IF(inventory__Data[[#This Row],[stock_on_hand]]&lt;=0,1,0)</f>
        <v>1</v>
      </c>
      <c r="I1645">
        <f>COUNTIFS(inventory__Data[product_id],inventory__Data[[#This Row],[product_id]],inventory__Data[stock_on_hand],"&lt;=0")</f>
        <v>30</v>
      </c>
    </row>
    <row r="1646" spans="1:9" x14ac:dyDescent="0.3">
      <c r="A1646" s="1">
        <v>45986</v>
      </c>
      <c r="B1646" t="s">
        <v>21</v>
      </c>
      <c r="C1646">
        <v>337</v>
      </c>
      <c r="D1646">
        <v>0.03</v>
      </c>
      <c r="E1646">
        <v>0</v>
      </c>
      <c r="F1646">
        <v>2</v>
      </c>
      <c r="G1646" t="b">
        <v>0</v>
      </c>
      <c r="H1646">
        <f>IF(inventory__Data[[#This Row],[stock_on_hand]]&lt;=0,1,0)</f>
        <v>0</v>
      </c>
      <c r="I1646">
        <f>COUNTIFS(inventory__Data[product_id],inventory__Data[[#This Row],[product_id]],inventory__Data[stock_on_hand],"&lt;=0")</f>
        <v>29</v>
      </c>
    </row>
    <row r="1647" spans="1:9" x14ac:dyDescent="0.3">
      <c r="A1647" s="1">
        <v>45987</v>
      </c>
      <c r="B1647" t="s">
        <v>9</v>
      </c>
      <c r="C1647">
        <v>845</v>
      </c>
      <c r="D1647">
        <v>0.05</v>
      </c>
      <c r="E1647">
        <v>0</v>
      </c>
      <c r="F1647">
        <v>2</v>
      </c>
      <c r="G1647" t="b">
        <v>0</v>
      </c>
      <c r="H1647">
        <f>IF(inventory__Data[[#This Row],[stock_on_hand]]&lt;=0,1,0)</f>
        <v>0</v>
      </c>
      <c r="I1647">
        <f>COUNTIFS(inventory__Data[product_id],inventory__Data[[#This Row],[product_id]],inventory__Data[stock_on_hand],"&lt;=0")</f>
        <v>25</v>
      </c>
    </row>
    <row r="1648" spans="1:9" x14ac:dyDescent="0.3">
      <c r="A1648" s="1">
        <v>45987</v>
      </c>
      <c r="B1648" t="s">
        <v>12</v>
      </c>
      <c r="C1648">
        <v>746</v>
      </c>
      <c r="D1648">
        <v>0.02</v>
      </c>
      <c r="E1648">
        <v>0</v>
      </c>
      <c r="F1648">
        <v>2</v>
      </c>
      <c r="G1648" t="b">
        <v>0</v>
      </c>
      <c r="H1648">
        <f>IF(inventory__Data[[#This Row],[stock_on_hand]]&lt;=0,1,0)</f>
        <v>0</v>
      </c>
      <c r="I1648">
        <f>COUNTIFS(inventory__Data[product_id],inventory__Data[[#This Row],[product_id]],inventory__Data[stock_on_hand],"&lt;=0")</f>
        <v>23</v>
      </c>
    </row>
    <row r="1649" spans="1:9" x14ac:dyDescent="0.3">
      <c r="A1649" s="1">
        <v>45987</v>
      </c>
      <c r="B1649" t="s">
        <v>15</v>
      </c>
      <c r="C1649">
        <v>357</v>
      </c>
      <c r="D1649">
        <v>0.04</v>
      </c>
      <c r="E1649">
        <v>0</v>
      </c>
      <c r="F1649">
        <v>15</v>
      </c>
      <c r="G1649" t="b">
        <v>0</v>
      </c>
      <c r="H1649">
        <f>IF(inventory__Data[[#This Row],[stock_on_hand]]&lt;=0,1,0)</f>
        <v>0</v>
      </c>
      <c r="I1649">
        <f>COUNTIFS(inventory__Data[product_id],inventory__Data[[#This Row],[product_id]],inventory__Data[stock_on_hand],"&lt;=0")</f>
        <v>30</v>
      </c>
    </row>
    <row r="1650" spans="1:9" x14ac:dyDescent="0.3">
      <c r="A1650" s="1">
        <v>45987</v>
      </c>
      <c r="B1650" t="s">
        <v>18</v>
      </c>
      <c r="C1650">
        <v>212</v>
      </c>
      <c r="D1650">
        <v>0.15</v>
      </c>
      <c r="E1650">
        <v>0</v>
      </c>
      <c r="F1650">
        <v>2</v>
      </c>
      <c r="G1650" t="b">
        <v>0</v>
      </c>
      <c r="H1650">
        <f>IF(inventory__Data[[#This Row],[stock_on_hand]]&lt;=0,1,0)</f>
        <v>0</v>
      </c>
      <c r="I1650">
        <f>COUNTIFS(inventory__Data[product_id],inventory__Data[[#This Row],[product_id]],inventory__Data[stock_on_hand],"&lt;=0")</f>
        <v>30</v>
      </c>
    </row>
    <row r="1651" spans="1:9" x14ac:dyDescent="0.3">
      <c r="A1651" s="1">
        <v>45987</v>
      </c>
      <c r="B1651" t="s">
        <v>21</v>
      </c>
      <c r="C1651">
        <v>563</v>
      </c>
      <c r="D1651">
        <v>0.03</v>
      </c>
      <c r="E1651">
        <v>0</v>
      </c>
      <c r="F1651">
        <v>2</v>
      </c>
      <c r="G1651" t="b">
        <v>0</v>
      </c>
      <c r="H1651">
        <f>IF(inventory__Data[[#This Row],[stock_on_hand]]&lt;=0,1,0)</f>
        <v>0</v>
      </c>
      <c r="I1651">
        <f>COUNTIFS(inventory__Data[product_id],inventory__Data[[#This Row],[product_id]],inventory__Data[stock_on_hand],"&lt;=0")</f>
        <v>29</v>
      </c>
    </row>
    <row r="1652" spans="1:9" x14ac:dyDescent="0.3">
      <c r="A1652" s="1">
        <v>45988</v>
      </c>
      <c r="B1652" t="s">
        <v>9</v>
      </c>
      <c r="C1652">
        <v>593</v>
      </c>
      <c r="D1652">
        <v>0.05</v>
      </c>
      <c r="E1652">
        <v>0</v>
      </c>
      <c r="F1652">
        <v>2</v>
      </c>
      <c r="G1652" t="b">
        <v>0</v>
      </c>
      <c r="H1652">
        <f>IF(inventory__Data[[#This Row],[stock_on_hand]]&lt;=0,1,0)</f>
        <v>0</v>
      </c>
      <c r="I1652">
        <f>COUNTIFS(inventory__Data[product_id],inventory__Data[[#This Row],[product_id]],inventory__Data[stock_on_hand],"&lt;=0")</f>
        <v>25</v>
      </c>
    </row>
    <row r="1653" spans="1:9" x14ac:dyDescent="0.3">
      <c r="A1653" s="1">
        <v>45988</v>
      </c>
      <c r="B1653" t="s">
        <v>12</v>
      </c>
      <c r="C1653">
        <v>328</v>
      </c>
      <c r="D1653">
        <v>0.02</v>
      </c>
      <c r="E1653">
        <v>0</v>
      </c>
      <c r="F1653">
        <v>2</v>
      </c>
      <c r="G1653" t="b">
        <v>0</v>
      </c>
      <c r="H1653">
        <f>IF(inventory__Data[[#This Row],[stock_on_hand]]&lt;=0,1,0)</f>
        <v>0</v>
      </c>
      <c r="I1653">
        <f>COUNTIFS(inventory__Data[product_id],inventory__Data[[#This Row],[product_id]],inventory__Data[stock_on_hand],"&lt;=0")</f>
        <v>23</v>
      </c>
    </row>
    <row r="1654" spans="1:9" x14ac:dyDescent="0.3">
      <c r="A1654" s="1">
        <v>45988</v>
      </c>
      <c r="B1654" t="s">
        <v>15</v>
      </c>
      <c r="C1654">
        <v>38</v>
      </c>
      <c r="D1654">
        <v>0.04</v>
      </c>
      <c r="E1654">
        <v>0</v>
      </c>
      <c r="F1654">
        <v>5</v>
      </c>
      <c r="G1654" t="b">
        <v>0</v>
      </c>
      <c r="H1654">
        <f>IF(inventory__Data[[#This Row],[stock_on_hand]]&lt;=0,1,0)</f>
        <v>0</v>
      </c>
      <c r="I1654">
        <f>COUNTIFS(inventory__Data[product_id],inventory__Data[[#This Row],[product_id]],inventory__Data[stock_on_hand],"&lt;=0")</f>
        <v>30</v>
      </c>
    </row>
    <row r="1655" spans="1:9" x14ac:dyDescent="0.3">
      <c r="A1655" s="1">
        <v>45988</v>
      </c>
      <c r="B1655" t="s">
        <v>18</v>
      </c>
      <c r="C1655">
        <v>270</v>
      </c>
      <c r="D1655">
        <v>0.15</v>
      </c>
      <c r="E1655">
        <v>0</v>
      </c>
      <c r="F1655">
        <v>15</v>
      </c>
      <c r="G1655" t="b">
        <v>0</v>
      </c>
      <c r="H1655">
        <f>IF(inventory__Data[[#This Row],[stock_on_hand]]&lt;=0,1,0)</f>
        <v>0</v>
      </c>
      <c r="I1655">
        <f>COUNTIFS(inventory__Data[product_id],inventory__Data[[#This Row],[product_id]],inventory__Data[stock_on_hand],"&lt;=0")</f>
        <v>30</v>
      </c>
    </row>
    <row r="1656" spans="1:9" x14ac:dyDescent="0.3">
      <c r="A1656" s="1">
        <v>45988</v>
      </c>
      <c r="B1656" t="s">
        <v>21</v>
      </c>
      <c r="C1656">
        <v>507</v>
      </c>
      <c r="D1656">
        <v>0.03</v>
      </c>
      <c r="E1656">
        <v>0</v>
      </c>
      <c r="F1656">
        <v>5</v>
      </c>
      <c r="G1656" t="b">
        <v>0</v>
      </c>
      <c r="H1656">
        <f>IF(inventory__Data[[#This Row],[stock_on_hand]]&lt;=0,1,0)</f>
        <v>0</v>
      </c>
      <c r="I1656">
        <f>COUNTIFS(inventory__Data[product_id],inventory__Data[[#This Row],[product_id]],inventory__Data[stock_on_hand],"&lt;=0")</f>
        <v>29</v>
      </c>
    </row>
    <row r="1657" spans="1:9" x14ac:dyDescent="0.3">
      <c r="A1657" s="1">
        <v>45989</v>
      </c>
      <c r="B1657" t="s">
        <v>9</v>
      </c>
      <c r="C1657">
        <v>636</v>
      </c>
      <c r="D1657">
        <v>0.05</v>
      </c>
      <c r="E1657">
        <v>0</v>
      </c>
      <c r="F1657">
        <v>2</v>
      </c>
      <c r="G1657" t="b">
        <v>0</v>
      </c>
      <c r="H1657">
        <f>IF(inventory__Data[[#This Row],[stock_on_hand]]&lt;=0,1,0)</f>
        <v>0</v>
      </c>
      <c r="I1657">
        <f>COUNTIFS(inventory__Data[product_id],inventory__Data[[#This Row],[product_id]],inventory__Data[stock_on_hand],"&lt;=0")</f>
        <v>25</v>
      </c>
    </row>
    <row r="1658" spans="1:9" x14ac:dyDescent="0.3">
      <c r="A1658" s="1">
        <v>45989</v>
      </c>
      <c r="B1658" t="s">
        <v>12</v>
      </c>
      <c r="C1658">
        <v>0</v>
      </c>
      <c r="D1658">
        <v>0.02</v>
      </c>
      <c r="E1658">
        <v>0</v>
      </c>
      <c r="F1658">
        <v>2</v>
      </c>
      <c r="G1658" t="b">
        <v>0</v>
      </c>
      <c r="H1658">
        <f>IF(inventory__Data[[#This Row],[stock_on_hand]]&lt;=0,1,0)</f>
        <v>1</v>
      </c>
      <c r="I1658">
        <f>COUNTIFS(inventory__Data[product_id],inventory__Data[[#This Row],[product_id]],inventory__Data[stock_on_hand],"&lt;=0")</f>
        <v>23</v>
      </c>
    </row>
    <row r="1659" spans="1:9" x14ac:dyDescent="0.3">
      <c r="A1659" s="1">
        <v>45989</v>
      </c>
      <c r="B1659" t="s">
        <v>15</v>
      </c>
      <c r="C1659">
        <v>882</v>
      </c>
      <c r="D1659">
        <v>0.04</v>
      </c>
      <c r="E1659">
        <v>0</v>
      </c>
      <c r="F1659">
        <v>2</v>
      </c>
      <c r="G1659" t="b">
        <v>0</v>
      </c>
      <c r="H1659">
        <f>IF(inventory__Data[[#This Row],[stock_on_hand]]&lt;=0,1,0)</f>
        <v>0</v>
      </c>
      <c r="I1659">
        <f>COUNTIFS(inventory__Data[product_id],inventory__Data[[#This Row],[product_id]],inventory__Data[stock_on_hand],"&lt;=0")</f>
        <v>30</v>
      </c>
    </row>
    <row r="1660" spans="1:9" x14ac:dyDescent="0.3">
      <c r="A1660" s="1">
        <v>45989</v>
      </c>
      <c r="B1660" t="s">
        <v>18</v>
      </c>
      <c r="C1660">
        <v>379</v>
      </c>
      <c r="D1660">
        <v>0.15</v>
      </c>
      <c r="E1660">
        <v>0</v>
      </c>
      <c r="F1660">
        <v>2</v>
      </c>
      <c r="G1660" t="b">
        <v>0</v>
      </c>
      <c r="H1660">
        <f>IF(inventory__Data[[#This Row],[stock_on_hand]]&lt;=0,1,0)</f>
        <v>0</v>
      </c>
      <c r="I1660">
        <f>COUNTIFS(inventory__Data[product_id],inventory__Data[[#This Row],[product_id]],inventory__Data[stock_on_hand],"&lt;=0")</f>
        <v>30</v>
      </c>
    </row>
    <row r="1661" spans="1:9" x14ac:dyDescent="0.3">
      <c r="A1661" s="1">
        <v>45989</v>
      </c>
      <c r="B1661" t="s">
        <v>21</v>
      </c>
      <c r="C1661">
        <v>455</v>
      </c>
      <c r="D1661">
        <v>0.03</v>
      </c>
      <c r="E1661">
        <v>0</v>
      </c>
      <c r="F1661">
        <v>5</v>
      </c>
      <c r="G1661" t="b">
        <v>0</v>
      </c>
      <c r="H1661">
        <f>IF(inventory__Data[[#This Row],[stock_on_hand]]&lt;=0,1,0)</f>
        <v>0</v>
      </c>
      <c r="I1661">
        <f>COUNTIFS(inventory__Data[product_id],inventory__Data[[#This Row],[product_id]],inventory__Data[stock_on_hand],"&lt;=0")</f>
        <v>29</v>
      </c>
    </row>
    <row r="1662" spans="1:9" x14ac:dyDescent="0.3">
      <c r="A1662" s="1">
        <v>45990</v>
      </c>
      <c r="B1662" t="s">
        <v>9</v>
      </c>
      <c r="C1662">
        <v>584</v>
      </c>
      <c r="D1662">
        <v>0.05</v>
      </c>
      <c r="E1662">
        <v>0</v>
      </c>
      <c r="F1662">
        <v>2</v>
      </c>
      <c r="G1662" t="b">
        <v>0</v>
      </c>
      <c r="H1662">
        <f>IF(inventory__Data[[#This Row],[stock_on_hand]]&lt;=0,1,0)</f>
        <v>0</v>
      </c>
      <c r="I1662">
        <f>COUNTIFS(inventory__Data[product_id],inventory__Data[[#This Row],[product_id]],inventory__Data[stock_on_hand],"&lt;=0")</f>
        <v>25</v>
      </c>
    </row>
    <row r="1663" spans="1:9" x14ac:dyDescent="0.3">
      <c r="A1663" s="1">
        <v>45990</v>
      </c>
      <c r="B1663" t="s">
        <v>12</v>
      </c>
      <c r="C1663">
        <v>656</v>
      </c>
      <c r="D1663">
        <v>0.02</v>
      </c>
      <c r="E1663">
        <v>0</v>
      </c>
      <c r="F1663">
        <v>5</v>
      </c>
      <c r="G1663" t="b">
        <v>0</v>
      </c>
      <c r="H1663">
        <f>IF(inventory__Data[[#This Row],[stock_on_hand]]&lt;=0,1,0)</f>
        <v>0</v>
      </c>
      <c r="I1663">
        <f>COUNTIFS(inventory__Data[product_id],inventory__Data[[#This Row],[product_id]],inventory__Data[stock_on_hand],"&lt;=0")</f>
        <v>23</v>
      </c>
    </row>
    <row r="1664" spans="1:9" x14ac:dyDescent="0.3">
      <c r="A1664" s="1">
        <v>45990</v>
      </c>
      <c r="B1664" t="s">
        <v>15</v>
      </c>
      <c r="C1664">
        <v>0</v>
      </c>
      <c r="D1664">
        <v>0.04</v>
      </c>
      <c r="E1664">
        <v>0</v>
      </c>
      <c r="F1664">
        <v>5</v>
      </c>
      <c r="G1664" t="b">
        <v>0</v>
      </c>
      <c r="H1664">
        <f>IF(inventory__Data[[#This Row],[stock_on_hand]]&lt;=0,1,0)</f>
        <v>1</v>
      </c>
      <c r="I1664">
        <f>COUNTIFS(inventory__Data[product_id],inventory__Data[[#This Row],[product_id]],inventory__Data[stock_on_hand],"&lt;=0")</f>
        <v>30</v>
      </c>
    </row>
    <row r="1665" spans="1:9" x14ac:dyDescent="0.3">
      <c r="A1665" s="1">
        <v>45990</v>
      </c>
      <c r="B1665" t="s">
        <v>18</v>
      </c>
      <c r="C1665">
        <v>625</v>
      </c>
      <c r="D1665">
        <v>0.15</v>
      </c>
      <c r="E1665">
        <v>0</v>
      </c>
      <c r="F1665">
        <v>2</v>
      </c>
      <c r="G1665" t="b">
        <v>0</v>
      </c>
      <c r="H1665">
        <f>IF(inventory__Data[[#This Row],[stock_on_hand]]&lt;=0,1,0)</f>
        <v>0</v>
      </c>
      <c r="I1665">
        <f>COUNTIFS(inventory__Data[product_id],inventory__Data[[#This Row],[product_id]],inventory__Data[stock_on_hand],"&lt;=0")</f>
        <v>30</v>
      </c>
    </row>
    <row r="1666" spans="1:9" x14ac:dyDescent="0.3">
      <c r="A1666" s="1">
        <v>45990</v>
      </c>
      <c r="B1666" t="s">
        <v>21</v>
      </c>
      <c r="C1666">
        <v>0</v>
      </c>
      <c r="D1666">
        <v>0.03</v>
      </c>
      <c r="E1666">
        <v>0</v>
      </c>
      <c r="F1666">
        <v>2</v>
      </c>
      <c r="G1666" t="b">
        <v>0</v>
      </c>
      <c r="H1666">
        <f>IF(inventory__Data[[#This Row],[stock_on_hand]]&lt;=0,1,0)</f>
        <v>1</v>
      </c>
      <c r="I1666">
        <f>COUNTIFS(inventory__Data[product_id],inventory__Data[[#This Row],[product_id]],inventory__Data[stock_on_hand],"&lt;=0")</f>
        <v>29</v>
      </c>
    </row>
    <row r="1667" spans="1:9" x14ac:dyDescent="0.3">
      <c r="A1667" s="1">
        <v>45991</v>
      </c>
      <c r="B1667" t="s">
        <v>9</v>
      </c>
      <c r="C1667">
        <v>674</v>
      </c>
      <c r="D1667">
        <v>0.05</v>
      </c>
      <c r="E1667">
        <v>0</v>
      </c>
      <c r="F1667">
        <v>2</v>
      </c>
      <c r="G1667" t="b">
        <v>0</v>
      </c>
      <c r="H1667">
        <f>IF(inventory__Data[[#This Row],[stock_on_hand]]&lt;=0,1,0)</f>
        <v>0</v>
      </c>
      <c r="I1667">
        <f>COUNTIFS(inventory__Data[product_id],inventory__Data[[#This Row],[product_id]],inventory__Data[stock_on_hand],"&lt;=0")</f>
        <v>25</v>
      </c>
    </row>
    <row r="1668" spans="1:9" x14ac:dyDescent="0.3">
      <c r="A1668" s="1">
        <v>45991</v>
      </c>
      <c r="B1668" t="s">
        <v>12</v>
      </c>
      <c r="C1668">
        <v>482</v>
      </c>
      <c r="D1668">
        <v>0.02</v>
      </c>
      <c r="E1668">
        <v>0</v>
      </c>
      <c r="F1668">
        <v>2</v>
      </c>
      <c r="G1668" t="b">
        <v>0</v>
      </c>
      <c r="H1668">
        <f>IF(inventory__Data[[#This Row],[stock_on_hand]]&lt;=0,1,0)</f>
        <v>0</v>
      </c>
      <c r="I1668">
        <f>COUNTIFS(inventory__Data[product_id],inventory__Data[[#This Row],[product_id]],inventory__Data[stock_on_hand],"&lt;=0")</f>
        <v>23</v>
      </c>
    </row>
    <row r="1669" spans="1:9" x14ac:dyDescent="0.3">
      <c r="A1669" s="1">
        <v>45991</v>
      </c>
      <c r="B1669" t="s">
        <v>15</v>
      </c>
      <c r="C1669">
        <v>111</v>
      </c>
      <c r="D1669">
        <v>0.04</v>
      </c>
      <c r="E1669">
        <v>0</v>
      </c>
      <c r="F1669">
        <v>2</v>
      </c>
      <c r="G1669" t="b">
        <v>0</v>
      </c>
      <c r="H1669">
        <f>IF(inventory__Data[[#This Row],[stock_on_hand]]&lt;=0,1,0)</f>
        <v>0</v>
      </c>
      <c r="I1669">
        <f>COUNTIFS(inventory__Data[product_id],inventory__Data[[#This Row],[product_id]],inventory__Data[stock_on_hand],"&lt;=0")</f>
        <v>30</v>
      </c>
    </row>
    <row r="1670" spans="1:9" x14ac:dyDescent="0.3">
      <c r="A1670" s="1">
        <v>45991</v>
      </c>
      <c r="B1670" t="s">
        <v>18</v>
      </c>
      <c r="C1670">
        <v>0</v>
      </c>
      <c r="D1670">
        <v>0.15</v>
      </c>
      <c r="E1670">
        <v>0</v>
      </c>
      <c r="F1670">
        <v>5</v>
      </c>
      <c r="G1670" t="b">
        <v>0</v>
      </c>
      <c r="H1670">
        <f>IF(inventory__Data[[#This Row],[stock_on_hand]]&lt;=0,1,0)</f>
        <v>1</v>
      </c>
      <c r="I1670">
        <f>COUNTIFS(inventory__Data[product_id],inventory__Data[[#This Row],[product_id]],inventory__Data[stock_on_hand],"&lt;=0")</f>
        <v>30</v>
      </c>
    </row>
    <row r="1671" spans="1:9" x14ac:dyDescent="0.3">
      <c r="A1671" s="1">
        <v>45991</v>
      </c>
      <c r="B1671" t="s">
        <v>21</v>
      </c>
      <c r="C1671">
        <v>523</v>
      </c>
      <c r="D1671">
        <v>0.03</v>
      </c>
      <c r="E1671">
        <v>0</v>
      </c>
      <c r="F1671">
        <v>2</v>
      </c>
      <c r="G1671" t="b">
        <v>0</v>
      </c>
      <c r="H1671">
        <f>IF(inventory__Data[[#This Row],[stock_on_hand]]&lt;=0,1,0)</f>
        <v>0</v>
      </c>
      <c r="I1671">
        <f>COUNTIFS(inventory__Data[product_id],inventory__Data[[#This Row],[product_id]],inventory__Data[stock_on_hand],"&lt;=0")</f>
        <v>29</v>
      </c>
    </row>
    <row r="1672" spans="1:9" x14ac:dyDescent="0.3">
      <c r="A1672" s="1">
        <v>45992</v>
      </c>
      <c r="B1672" t="s">
        <v>9</v>
      </c>
      <c r="C1672">
        <v>347</v>
      </c>
      <c r="D1672">
        <v>0.05</v>
      </c>
      <c r="E1672">
        <v>0</v>
      </c>
      <c r="F1672">
        <v>2</v>
      </c>
      <c r="G1672" t="b">
        <v>0</v>
      </c>
      <c r="H1672">
        <f>IF(inventory__Data[[#This Row],[stock_on_hand]]&lt;=0,1,0)</f>
        <v>0</v>
      </c>
      <c r="I1672">
        <f>COUNTIFS(inventory__Data[product_id],inventory__Data[[#This Row],[product_id]],inventory__Data[stock_on_hand],"&lt;=0")</f>
        <v>25</v>
      </c>
    </row>
    <row r="1673" spans="1:9" x14ac:dyDescent="0.3">
      <c r="A1673" s="1">
        <v>45992</v>
      </c>
      <c r="B1673" t="s">
        <v>12</v>
      </c>
      <c r="C1673">
        <v>626</v>
      </c>
      <c r="D1673">
        <v>0.02</v>
      </c>
      <c r="E1673">
        <v>0</v>
      </c>
      <c r="F1673">
        <v>2</v>
      </c>
      <c r="G1673" t="b">
        <v>0</v>
      </c>
      <c r="H1673">
        <f>IF(inventory__Data[[#This Row],[stock_on_hand]]&lt;=0,1,0)</f>
        <v>0</v>
      </c>
      <c r="I1673">
        <f>COUNTIFS(inventory__Data[product_id],inventory__Data[[#This Row],[product_id]],inventory__Data[stock_on_hand],"&lt;=0")</f>
        <v>23</v>
      </c>
    </row>
    <row r="1674" spans="1:9" x14ac:dyDescent="0.3">
      <c r="A1674" s="1">
        <v>45992</v>
      </c>
      <c r="B1674" t="s">
        <v>15</v>
      </c>
      <c r="C1674">
        <v>38</v>
      </c>
      <c r="D1674">
        <v>0.04</v>
      </c>
      <c r="E1674">
        <v>0</v>
      </c>
      <c r="F1674">
        <v>2</v>
      </c>
      <c r="G1674" t="b">
        <v>0</v>
      </c>
      <c r="H1674">
        <f>IF(inventory__Data[[#This Row],[stock_on_hand]]&lt;=0,1,0)</f>
        <v>0</v>
      </c>
      <c r="I1674">
        <f>COUNTIFS(inventory__Data[product_id],inventory__Data[[#This Row],[product_id]],inventory__Data[stock_on_hand],"&lt;=0")</f>
        <v>30</v>
      </c>
    </row>
    <row r="1675" spans="1:9" x14ac:dyDescent="0.3">
      <c r="A1675" s="1">
        <v>45992</v>
      </c>
      <c r="B1675" t="s">
        <v>18</v>
      </c>
      <c r="C1675">
        <v>864</v>
      </c>
      <c r="D1675">
        <v>0.15</v>
      </c>
      <c r="E1675">
        <v>0</v>
      </c>
      <c r="F1675">
        <v>2</v>
      </c>
      <c r="G1675" t="b">
        <v>0</v>
      </c>
      <c r="H1675">
        <f>IF(inventory__Data[[#This Row],[stock_on_hand]]&lt;=0,1,0)</f>
        <v>0</v>
      </c>
      <c r="I1675">
        <f>COUNTIFS(inventory__Data[product_id],inventory__Data[[#This Row],[product_id]],inventory__Data[stock_on_hand],"&lt;=0")</f>
        <v>30</v>
      </c>
    </row>
    <row r="1676" spans="1:9" x14ac:dyDescent="0.3">
      <c r="A1676" s="1">
        <v>45992</v>
      </c>
      <c r="B1676" t="s">
        <v>21</v>
      </c>
      <c r="C1676">
        <v>663</v>
      </c>
      <c r="D1676">
        <v>0.03</v>
      </c>
      <c r="E1676">
        <v>0</v>
      </c>
      <c r="F1676">
        <v>2</v>
      </c>
      <c r="G1676" t="b">
        <v>0</v>
      </c>
      <c r="H1676">
        <f>IF(inventory__Data[[#This Row],[stock_on_hand]]&lt;=0,1,0)</f>
        <v>0</v>
      </c>
      <c r="I1676">
        <f>COUNTIFS(inventory__Data[product_id],inventory__Data[[#This Row],[product_id]],inventory__Data[stock_on_hand],"&lt;=0")</f>
        <v>29</v>
      </c>
    </row>
    <row r="1677" spans="1:9" x14ac:dyDescent="0.3">
      <c r="A1677" s="1">
        <v>45993</v>
      </c>
      <c r="B1677" t="s">
        <v>9</v>
      </c>
      <c r="C1677">
        <v>661</v>
      </c>
      <c r="D1677">
        <v>0.05</v>
      </c>
      <c r="E1677">
        <v>0</v>
      </c>
      <c r="F1677">
        <v>2</v>
      </c>
      <c r="G1677" t="b">
        <v>0</v>
      </c>
      <c r="H1677">
        <f>IF(inventory__Data[[#This Row],[stock_on_hand]]&lt;=0,1,0)</f>
        <v>0</v>
      </c>
      <c r="I1677">
        <f>COUNTIFS(inventory__Data[product_id],inventory__Data[[#This Row],[product_id]],inventory__Data[stock_on_hand],"&lt;=0")</f>
        <v>25</v>
      </c>
    </row>
    <row r="1678" spans="1:9" x14ac:dyDescent="0.3">
      <c r="A1678" s="1">
        <v>45993</v>
      </c>
      <c r="B1678" t="s">
        <v>12</v>
      </c>
      <c r="C1678">
        <v>686</v>
      </c>
      <c r="D1678">
        <v>0.02</v>
      </c>
      <c r="E1678">
        <v>0</v>
      </c>
      <c r="F1678">
        <v>2</v>
      </c>
      <c r="G1678" t="b">
        <v>0</v>
      </c>
      <c r="H1678">
        <f>IF(inventory__Data[[#This Row],[stock_on_hand]]&lt;=0,1,0)</f>
        <v>0</v>
      </c>
      <c r="I1678">
        <f>COUNTIFS(inventory__Data[product_id],inventory__Data[[#This Row],[product_id]],inventory__Data[stock_on_hand],"&lt;=0")</f>
        <v>23</v>
      </c>
    </row>
    <row r="1679" spans="1:9" x14ac:dyDescent="0.3">
      <c r="A1679" s="1">
        <v>45993</v>
      </c>
      <c r="B1679" t="s">
        <v>15</v>
      </c>
      <c r="C1679">
        <v>431</v>
      </c>
      <c r="D1679">
        <v>0.04</v>
      </c>
      <c r="E1679">
        <v>0</v>
      </c>
      <c r="F1679">
        <v>2</v>
      </c>
      <c r="G1679" t="b">
        <v>0</v>
      </c>
      <c r="H1679">
        <f>IF(inventory__Data[[#This Row],[stock_on_hand]]&lt;=0,1,0)</f>
        <v>0</v>
      </c>
      <c r="I1679">
        <f>COUNTIFS(inventory__Data[product_id],inventory__Data[[#This Row],[product_id]],inventory__Data[stock_on_hand],"&lt;=0")</f>
        <v>30</v>
      </c>
    </row>
    <row r="1680" spans="1:9" x14ac:dyDescent="0.3">
      <c r="A1680" s="1">
        <v>45993</v>
      </c>
      <c r="B1680" t="s">
        <v>18</v>
      </c>
      <c r="C1680">
        <v>815</v>
      </c>
      <c r="D1680">
        <v>0.15</v>
      </c>
      <c r="E1680">
        <v>0</v>
      </c>
      <c r="F1680">
        <v>2</v>
      </c>
      <c r="G1680" t="b">
        <v>0</v>
      </c>
      <c r="H1680">
        <f>IF(inventory__Data[[#This Row],[stock_on_hand]]&lt;=0,1,0)</f>
        <v>0</v>
      </c>
      <c r="I1680">
        <f>COUNTIFS(inventory__Data[product_id],inventory__Data[[#This Row],[product_id]],inventory__Data[stock_on_hand],"&lt;=0")</f>
        <v>30</v>
      </c>
    </row>
    <row r="1681" spans="1:9" x14ac:dyDescent="0.3">
      <c r="A1681" s="1">
        <v>45993</v>
      </c>
      <c r="B1681" t="s">
        <v>21</v>
      </c>
      <c r="C1681">
        <v>476</v>
      </c>
      <c r="D1681">
        <v>0.03</v>
      </c>
      <c r="E1681">
        <v>0</v>
      </c>
      <c r="F1681">
        <v>2</v>
      </c>
      <c r="G1681" t="b">
        <v>0</v>
      </c>
      <c r="H1681">
        <f>IF(inventory__Data[[#This Row],[stock_on_hand]]&lt;=0,1,0)</f>
        <v>0</v>
      </c>
      <c r="I1681">
        <f>COUNTIFS(inventory__Data[product_id],inventory__Data[[#This Row],[product_id]],inventory__Data[stock_on_hand],"&lt;=0")</f>
        <v>29</v>
      </c>
    </row>
    <row r="1682" spans="1:9" x14ac:dyDescent="0.3">
      <c r="A1682" s="1">
        <v>45994</v>
      </c>
      <c r="B1682" t="s">
        <v>9</v>
      </c>
      <c r="C1682">
        <v>671</v>
      </c>
      <c r="D1682">
        <v>0.05</v>
      </c>
      <c r="E1682">
        <v>0</v>
      </c>
      <c r="F1682">
        <v>2</v>
      </c>
      <c r="G1682" t="b">
        <v>0</v>
      </c>
      <c r="H1682">
        <f>IF(inventory__Data[[#This Row],[stock_on_hand]]&lt;=0,1,0)</f>
        <v>0</v>
      </c>
      <c r="I1682">
        <f>COUNTIFS(inventory__Data[product_id],inventory__Data[[#This Row],[product_id]],inventory__Data[stock_on_hand],"&lt;=0")</f>
        <v>25</v>
      </c>
    </row>
    <row r="1683" spans="1:9" x14ac:dyDescent="0.3">
      <c r="A1683" s="1">
        <v>45994</v>
      </c>
      <c r="B1683" t="s">
        <v>12</v>
      </c>
      <c r="C1683">
        <v>337</v>
      </c>
      <c r="D1683">
        <v>0.02</v>
      </c>
      <c r="E1683">
        <v>0</v>
      </c>
      <c r="F1683">
        <v>2</v>
      </c>
      <c r="G1683" t="b">
        <v>0</v>
      </c>
      <c r="H1683">
        <f>IF(inventory__Data[[#This Row],[stock_on_hand]]&lt;=0,1,0)</f>
        <v>0</v>
      </c>
      <c r="I1683">
        <f>COUNTIFS(inventory__Data[product_id],inventory__Data[[#This Row],[product_id]],inventory__Data[stock_on_hand],"&lt;=0")</f>
        <v>23</v>
      </c>
    </row>
    <row r="1684" spans="1:9" x14ac:dyDescent="0.3">
      <c r="A1684" s="1">
        <v>45994</v>
      </c>
      <c r="B1684" t="s">
        <v>15</v>
      </c>
      <c r="C1684">
        <v>24</v>
      </c>
      <c r="D1684">
        <v>0.04</v>
      </c>
      <c r="E1684">
        <v>0</v>
      </c>
      <c r="F1684">
        <v>5</v>
      </c>
      <c r="G1684" t="b">
        <v>0</v>
      </c>
      <c r="H1684">
        <f>IF(inventory__Data[[#This Row],[stock_on_hand]]&lt;=0,1,0)</f>
        <v>0</v>
      </c>
      <c r="I1684">
        <f>COUNTIFS(inventory__Data[product_id],inventory__Data[[#This Row],[product_id]],inventory__Data[stock_on_hand],"&lt;=0")</f>
        <v>30</v>
      </c>
    </row>
    <row r="1685" spans="1:9" x14ac:dyDescent="0.3">
      <c r="A1685" s="1">
        <v>45994</v>
      </c>
      <c r="B1685" t="s">
        <v>18</v>
      </c>
      <c r="C1685">
        <v>0</v>
      </c>
      <c r="D1685">
        <v>0.15</v>
      </c>
      <c r="E1685">
        <v>0</v>
      </c>
      <c r="F1685">
        <v>2</v>
      </c>
      <c r="G1685" t="b">
        <v>0</v>
      </c>
      <c r="H1685">
        <f>IF(inventory__Data[[#This Row],[stock_on_hand]]&lt;=0,1,0)</f>
        <v>1</v>
      </c>
      <c r="I1685">
        <f>COUNTIFS(inventory__Data[product_id],inventory__Data[[#This Row],[product_id]],inventory__Data[stock_on_hand],"&lt;=0")</f>
        <v>30</v>
      </c>
    </row>
    <row r="1686" spans="1:9" x14ac:dyDescent="0.3">
      <c r="A1686" s="1">
        <v>45994</v>
      </c>
      <c r="B1686" t="s">
        <v>21</v>
      </c>
      <c r="C1686">
        <v>858</v>
      </c>
      <c r="D1686">
        <v>0.03</v>
      </c>
      <c r="E1686">
        <v>0</v>
      </c>
      <c r="F1686">
        <v>5</v>
      </c>
      <c r="G1686" t="b">
        <v>0</v>
      </c>
      <c r="H1686">
        <f>IF(inventory__Data[[#This Row],[stock_on_hand]]&lt;=0,1,0)</f>
        <v>0</v>
      </c>
      <c r="I1686">
        <f>COUNTIFS(inventory__Data[product_id],inventory__Data[[#This Row],[product_id]],inventory__Data[stock_on_hand],"&lt;=0")</f>
        <v>29</v>
      </c>
    </row>
    <row r="1687" spans="1:9" x14ac:dyDescent="0.3">
      <c r="A1687" s="1">
        <v>45995</v>
      </c>
      <c r="B1687" t="s">
        <v>9</v>
      </c>
      <c r="C1687">
        <v>48</v>
      </c>
      <c r="D1687">
        <v>0.05</v>
      </c>
      <c r="E1687">
        <v>0</v>
      </c>
      <c r="F1687">
        <v>15</v>
      </c>
      <c r="G1687" t="b">
        <v>0</v>
      </c>
      <c r="H1687">
        <f>IF(inventory__Data[[#This Row],[stock_on_hand]]&lt;=0,1,0)</f>
        <v>0</v>
      </c>
      <c r="I1687">
        <f>COUNTIFS(inventory__Data[product_id],inventory__Data[[#This Row],[product_id]],inventory__Data[stock_on_hand],"&lt;=0")</f>
        <v>25</v>
      </c>
    </row>
    <row r="1688" spans="1:9" x14ac:dyDescent="0.3">
      <c r="A1688" s="1">
        <v>45995</v>
      </c>
      <c r="B1688" t="s">
        <v>12</v>
      </c>
      <c r="C1688">
        <v>402</v>
      </c>
      <c r="D1688">
        <v>0.02</v>
      </c>
      <c r="E1688">
        <v>0</v>
      </c>
      <c r="F1688">
        <v>2</v>
      </c>
      <c r="G1688" t="b">
        <v>0</v>
      </c>
      <c r="H1688">
        <f>IF(inventory__Data[[#This Row],[stock_on_hand]]&lt;=0,1,0)</f>
        <v>0</v>
      </c>
      <c r="I1688">
        <f>COUNTIFS(inventory__Data[product_id],inventory__Data[[#This Row],[product_id]],inventory__Data[stock_on_hand],"&lt;=0")</f>
        <v>23</v>
      </c>
    </row>
    <row r="1689" spans="1:9" x14ac:dyDescent="0.3">
      <c r="A1689" s="1">
        <v>45995</v>
      </c>
      <c r="B1689" t="s">
        <v>15</v>
      </c>
      <c r="C1689">
        <v>749</v>
      </c>
      <c r="D1689">
        <v>0.04</v>
      </c>
      <c r="E1689">
        <v>0</v>
      </c>
      <c r="F1689">
        <v>2</v>
      </c>
      <c r="G1689" t="b">
        <v>0</v>
      </c>
      <c r="H1689">
        <f>IF(inventory__Data[[#This Row],[stock_on_hand]]&lt;=0,1,0)</f>
        <v>0</v>
      </c>
      <c r="I1689">
        <f>COUNTIFS(inventory__Data[product_id],inventory__Data[[#This Row],[product_id]],inventory__Data[stock_on_hand],"&lt;=0")</f>
        <v>30</v>
      </c>
    </row>
    <row r="1690" spans="1:9" x14ac:dyDescent="0.3">
      <c r="A1690" s="1">
        <v>45995</v>
      </c>
      <c r="B1690" t="s">
        <v>18</v>
      </c>
      <c r="C1690">
        <v>54</v>
      </c>
      <c r="D1690">
        <v>0.15</v>
      </c>
      <c r="E1690">
        <v>0</v>
      </c>
      <c r="F1690">
        <v>2</v>
      </c>
      <c r="G1690" t="b">
        <v>0</v>
      </c>
      <c r="H1690">
        <f>IF(inventory__Data[[#This Row],[stock_on_hand]]&lt;=0,1,0)</f>
        <v>0</v>
      </c>
      <c r="I1690">
        <f>COUNTIFS(inventory__Data[product_id],inventory__Data[[#This Row],[product_id]],inventory__Data[stock_on_hand],"&lt;=0")</f>
        <v>30</v>
      </c>
    </row>
    <row r="1691" spans="1:9" x14ac:dyDescent="0.3">
      <c r="A1691" s="1">
        <v>45995</v>
      </c>
      <c r="B1691" t="s">
        <v>21</v>
      </c>
      <c r="C1691">
        <v>844</v>
      </c>
      <c r="D1691">
        <v>0.03</v>
      </c>
      <c r="E1691">
        <v>0</v>
      </c>
      <c r="F1691">
        <v>2</v>
      </c>
      <c r="G1691" t="b">
        <v>0</v>
      </c>
      <c r="H1691">
        <f>IF(inventory__Data[[#This Row],[stock_on_hand]]&lt;=0,1,0)</f>
        <v>0</v>
      </c>
      <c r="I1691">
        <f>COUNTIFS(inventory__Data[product_id],inventory__Data[[#This Row],[product_id]],inventory__Data[stock_on_hand],"&lt;=0")</f>
        <v>29</v>
      </c>
    </row>
    <row r="1692" spans="1:9" x14ac:dyDescent="0.3">
      <c r="A1692" s="1">
        <v>45996</v>
      </c>
      <c r="B1692" t="s">
        <v>9</v>
      </c>
      <c r="C1692">
        <v>718</v>
      </c>
      <c r="D1692">
        <v>0.05</v>
      </c>
      <c r="E1692">
        <v>0</v>
      </c>
      <c r="F1692">
        <v>5</v>
      </c>
      <c r="G1692" t="b">
        <v>0</v>
      </c>
      <c r="H1692">
        <f>IF(inventory__Data[[#This Row],[stock_on_hand]]&lt;=0,1,0)</f>
        <v>0</v>
      </c>
      <c r="I1692">
        <f>COUNTIFS(inventory__Data[product_id],inventory__Data[[#This Row],[product_id]],inventory__Data[stock_on_hand],"&lt;=0")</f>
        <v>25</v>
      </c>
    </row>
    <row r="1693" spans="1:9" x14ac:dyDescent="0.3">
      <c r="A1693" s="1">
        <v>45996</v>
      </c>
      <c r="B1693" t="s">
        <v>12</v>
      </c>
      <c r="C1693">
        <v>424</v>
      </c>
      <c r="D1693">
        <v>0.02</v>
      </c>
      <c r="E1693">
        <v>0</v>
      </c>
      <c r="F1693">
        <v>10</v>
      </c>
      <c r="G1693" t="b">
        <v>0</v>
      </c>
      <c r="H1693">
        <f>IF(inventory__Data[[#This Row],[stock_on_hand]]&lt;=0,1,0)</f>
        <v>0</v>
      </c>
      <c r="I1693">
        <f>COUNTIFS(inventory__Data[product_id],inventory__Data[[#This Row],[product_id]],inventory__Data[stock_on_hand],"&lt;=0")</f>
        <v>23</v>
      </c>
    </row>
    <row r="1694" spans="1:9" x14ac:dyDescent="0.3">
      <c r="A1694" s="1">
        <v>45996</v>
      </c>
      <c r="B1694" t="s">
        <v>15</v>
      </c>
      <c r="C1694">
        <v>518</v>
      </c>
      <c r="D1694">
        <v>0.04</v>
      </c>
      <c r="E1694">
        <v>0</v>
      </c>
      <c r="F1694">
        <v>10</v>
      </c>
      <c r="G1694" t="b">
        <v>0</v>
      </c>
      <c r="H1694">
        <f>IF(inventory__Data[[#This Row],[stock_on_hand]]&lt;=0,1,0)</f>
        <v>0</v>
      </c>
      <c r="I1694">
        <f>COUNTIFS(inventory__Data[product_id],inventory__Data[[#This Row],[product_id]],inventory__Data[stock_on_hand],"&lt;=0")</f>
        <v>30</v>
      </c>
    </row>
    <row r="1695" spans="1:9" x14ac:dyDescent="0.3">
      <c r="A1695" s="1">
        <v>45996</v>
      </c>
      <c r="B1695" t="s">
        <v>18</v>
      </c>
      <c r="C1695">
        <v>0</v>
      </c>
      <c r="D1695">
        <v>0.15</v>
      </c>
      <c r="E1695">
        <v>0</v>
      </c>
      <c r="F1695">
        <v>5</v>
      </c>
      <c r="G1695" t="b">
        <v>0</v>
      </c>
      <c r="H1695">
        <f>IF(inventory__Data[[#This Row],[stock_on_hand]]&lt;=0,1,0)</f>
        <v>1</v>
      </c>
      <c r="I1695">
        <f>COUNTIFS(inventory__Data[product_id],inventory__Data[[#This Row],[product_id]],inventory__Data[stock_on_hand],"&lt;=0")</f>
        <v>30</v>
      </c>
    </row>
    <row r="1696" spans="1:9" x14ac:dyDescent="0.3">
      <c r="A1696" s="1">
        <v>45996</v>
      </c>
      <c r="B1696" t="s">
        <v>21</v>
      </c>
      <c r="C1696">
        <v>424</v>
      </c>
      <c r="D1696">
        <v>0.03</v>
      </c>
      <c r="E1696">
        <v>0</v>
      </c>
      <c r="F1696">
        <v>5</v>
      </c>
      <c r="G1696" t="b">
        <v>0</v>
      </c>
      <c r="H1696">
        <f>IF(inventory__Data[[#This Row],[stock_on_hand]]&lt;=0,1,0)</f>
        <v>0</v>
      </c>
      <c r="I1696">
        <f>COUNTIFS(inventory__Data[product_id],inventory__Data[[#This Row],[product_id]],inventory__Data[stock_on_hand],"&lt;=0")</f>
        <v>29</v>
      </c>
    </row>
    <row r="1697" spans="1:9" x14ac:dyDescent="0.3">
      <c r="A1697" s="1">
        <v>45997</v>
      </c>
      <c r="B1697" t="s">
        <v>9</v>
      </c>
      <c r="C1697">
        <v>336</v>
      </c>
      <c r="D1697">
        <v>0.05</v>
      </c>
      <c r="E1697">
        <v>0</v>
      </c>
      <c r="F1697">
        <v>2</v>
      </c>
      <c r="G1697" t="b">
        <v>0</v>
      </c>
      <c r="H1697">
        <f>IF(inventory__Data[[#This Row],[stock_on_hand]]&lt;=0,1,0)</f>
        <v>0</v>
      </c>
      <c r="I1697">
        <f>COUNTIFS(inventory__Data[product_id],inventory__Data[[#This Row],[product_id]],inventory__Data[stock_on_hand],"&lt;=0")</f>
        <v>25</v>
      </c>
    </row>
    <row r="1698" spans="1:9" x14ac:dyDescent="0.3">
      <c r="A1698" s="1">
        <v>45997</v>
      </c>
      <c r="B1698" t="s">
        <v>12</v>
      </c>
      <c r="C1698">
        <v>776</v>
      </c>
      <c r="D1698">
        <v>0.02</v>
      </c>
      <c r="E1698">
        <v>0</v>
      </c>
      <c r="F1698">
        <v>2</v>
      </c>
      <c r="G1698" t="b">
        <v>0</v>
      </c>
      <c r="H1698">
        <f>IF(inventory__Data[[#This Row],[stock_on_hand]]&lt;=0,1,0)</f>
        <v>0</v>
      </c>
      <c r="I1698">
        <f>COUNTIFS(inventory__Data[product_id],inventory__Data[[#This Row],[product_id]],inventory__Data[stock_on_hand],"&lt;=0")</f>
        <v>23</v>
      </c>
    </row>
    <row r="1699" spans="1:9" x14ac:dyDescent="0.3">
      <c r="A1699" s="1">
        <v>45997</v>
      </c>
      <c r="B1699" t="s">
        <v>15</v>
      </c>
      <c r="C1699">
        <v>461</v>
      </c>
      <c r="D1699">
        <v>0.04</v>
      </c>
      <c r="E1699">
        <v>0</v>
      </c>
      <c r="F1699">
        <v>2</v>
      </c>
      <c r="G1699" t="b">
        <v>0</v>
      </c>
      <c r="H1699">
        <f>IF(inventory__Data[[#This Row],[stock_on_hand]]&lt;=0,1,0)</f>
        <v>0</v>
      </c>
      <c r="I1699">
        <f>COUNTIFS(inventory__Data[product_id],inventory__Data[[#This Row],[product_id]],inventory__Data[stock_on_hand],"&lt;=0")</f>
        <v>30</v>
      </c>
    </row>
    <row r="1700" spans="1:9" x14ac:dyDescent="0.3">
      <c r="A1700" s="1">
        <v>45997</v>
      </c>
      <c r="B1700" t="s">
        <v>18</v>
      </c>
      <c r="C1700">
        <v>669</v>
      </c>
      <c r="D1700">
        <v>0.15</v>
      </c>
      <c r="E1700">
        <v>0</v>
      </c>
      <c r="F1700">
        <v>10</v>
      </c>
      <c r="G1700" t="b">
        <v>0</v>
      </c>
      <c r="H1700">
        <f>IF(inventory__Data[[#This Row],[stock_on_hand]]&lt;=0,1,0)</f>
        <v>0</v>
      </c>
      <c r="I1700">
        <f>COUNTIFS(inventory__Data[product_id],inventory__Data[[#This Row],[product_id]],inventory__Data[stock_on_hand],"&lt;=0")</f>
        <v>30</v>
      </c>
    </row>
    <row r="1701" spans="1:9" x14ac:dyDescent="0.3">
      <c r="A1701" s="1">
        <v>45997</v>
      </c>
      <c r="B1701" t="s">
        <v>21</v>
      </c>
      <c r="C1701">
        <v>740</v>
      </c>
      <c r="D1701">
        <v>0.03</v>
      </c>
      <c r="E1701">
        <v>0</v>
      </c>
      <c r="F1701">
        <v>2</v>
      </c>
      <c r="G1701" t="b">
        <v>0</v>
      </c>
      <c r="H1701">
        <f>IF(inventory__Data[[#This Row],[stock_on_hand]]&lt;=0,1,0)</f>
        <v>0</v>
      </c>
      <c r="I1701">
        <f>COUNTIFS(inventory__Data[product_id],inventory__Data[[#This Row],[product_id]],inventory__Data[stock_on_hand],"&lt;=0")</f>
        <v>29</v>
      </c>
    </row>
    <row r="1702" spans="1:9" x14ac:dyDescent="0.3">
      <c r="A1702" s="1">
        <v>45998</v>
      </c>
      <c r="B1702" t="s">
        <v>9</v>
      </c>
      <c r="C1702">
        <v>38</v>
      </c>
      <c r="D1702">
        <v>0.05</v>
      </c>
      <c r="E1702">
        <v>0</v>
      </c>
      <c r="F1702">
        <v>2</v>
      </c>
      <c r="G1702" t="b">
        <v>0</v>
      </c>
      <c r="H1702">
        <f>IF(inventory__Data[[#This Row],[stock_on_hand]]&lt;=0,1,0)</f>
        <v>0</v>
      </c>
      <c r="I1702">
        <f>COUNTIFS(inventory__Data[product_id],inventory__Data[[#This Row],[product_id]],inventory__Data[stock_on_hand],"&lt;=0")</f>
        <v>25</v>
      </c>
    </row>
    <row r="1703" spans="1:9" x14ac:dyDescent="0.3">
      <c r="A1703" s="1">
        <v>45998</v>
      </c>
      <c r="B1703" t="s">
        <v>12</v>
      </c>
      <c r="C1703">
        <v>358</v>
      </c>
      <c r="D1703">
        <v>0.02</v>
      </c>
      <c r="E1703">
        <v>0</v>
      </c>
      <c r="F1703">
        <v>2</v>
      </c>
      <c r="G1703" t="b">
        <v>0</v>
      </c>
      <c r="H1703">
        <f>IF(inventory__Data[[#This Row],[stock_on_hand]]&lt;=0,1,0)</f>
        <v>0</v>
      </c>
      <c r="I1703">
        <f>COUNTIFS(inventory__Data[product_id],inventory__Data[[#This Row],[product_id]],inventory__Data[stock_on_hand],"&lt;=0")</f>
        <v>23</v>
      </c>
    </row>
    <row r="1704" spans="1:9" x14ac:dyDescent="0.3">
      <c r="A1704" s="1">
        <v>45998</v>
      </c>
      <c r="B1704" t="s">
        <v>15</v>
      </c>
      <c r="C1704">
        <v>746</v>
      </c>
      <c r="D1704">
        <v>0.04</v>
      </c>
      <c r="E1704">
        <v>0</v>
      </c>
      <c r="F1704">
        <v>5</v>
      </c>
      <c r="G1704" t="b">
        <v>0</v>
      </c>
      <c r="H1704">
        <f>IF(inventory__Data[[#This Row],[stock_on_hand]]&lt;=0,1,0)</f>
        <v>0</v>
      </c>
      <c r="I1704">
        <f>COUNTIFS(inventory__Data[product_id],inventory__Data[[#This Row],[product_id]],inventory__Data[stock_on_hand],"&lt;=0")</f>
        <v>30</v>
      </c>
    </row>
    <row r="1705" spans="1:9" x14ac:dyDescent="0.3">
      <c r="A1705" s="1">
        <v>45998</v>
      </c>
      <c r="B1705" t="s">
        <v>18</v>
      </c>
      <c r="C1705">
        <v>869</v>
      </c>
      <c r="D1705">
        <v>0.15</v>
      </c>
      <c r="E1705">
        <v>0</v>
      </c>
      <c r="F1705">
        <v>2</v>
      </c>
      <c r="G1705" t="b">
        <v>0</v>
      </c>
      <c r="H1705">
        <f>IF(inventory__Data[[#This Row],[stock_on_hand]]&lt;=0,1,0)</f>
        <v>0</v>
      </c>
      <c r="I1705">
        <f>COUNTIFS(inventory__Data[product_id],inventory__Data[[#This Row],[product_id]],inventory__Data[stock_on_hand],"&lt;=0")</f>
        <v>30</v>
      </c>
    </row>
    <row r="1706" spans="1:9" x14ac:dyDescent="0.3">
      <c r="A1706" s="1">
        <v>45998</v>
      </c>
      <c r="B1706" t="s">
        <v>21</v>
      </c>
      <c r="C1706">
        <v>364</v>
      </c>
      <c r="D1706">
        <v>0.03</v>
      </c>
      <c r="E1706">
        <v>0</v>
      </c>
      <c r="F1706">
        <v>10</v>
      </c>
      <c r="G1706" t="b">
        <v>0</v>
      </c>
      <c r="H1706">
        <f>IF(inventory__Data[[#This Row],[stock_on_hand]]&lt;=0,1,0)</f>
        <v>0</v>
      </c>
      <c r="I1706">
        <f>COUNTIFS(inventory__Data[product_id],inventory__Data[[#This Row],[product_id]],inventory__Data[stock_on_hand],"&lt;=0")</f>
        <v>29</v>
      </c>
    </row>
    <row r="1707" spans="1:9" x14ac:dyDescent="0.3">
      <c r="A1707" s="1">
        <v>45999</v>
      </c>
      <c r="B1707" t="s">
        <v>9</v>
      </c>
      <c r="C1707">
        <v>362</v>
      </c>
      <c r="D1707">
        <v>0.05</v>
      </c>
      <c r="E1707">
        <v>0</v>
      </c>
      <c r="F1707">
        <v>5</v>
      </c>
      <c r="G1707" t="b">
        <v>0</v>
      </c>
      <c r="H1707">
        <f>IF(inventory__Data[[#This Row],[stock_on_hand]]&lt;=0,1,0)</f>
        <v>0</v>
      </c>
      <c r="I1707">
        <f>COUNTIFS(inventory__Data[product_id],inventory__Data[[#This Row],[product_id]],inventory__Data[stock_on_hand],"&lt;=0")</f>
        <v>25</v>
      </c>
    </row>
    <row r="1708" spans="1:9" x14ac:dyDescent="0.3">
      <c r="A1708" s="1">
        <v>45999</v>
      </c>
      <c r="B1708" t="s">
        <v>12</v>
      </c>
      <c r="C1708">
        <v>263</v>
      </c>
      <c r="D1708">
        <v>0.02</v>
      </c>
      <c r="E1708">
        <v>0</v>
      </c>
      <c r="F1708">
        <v>2</v>
      </c>
      <c r="G1708" t="b">
        <v>0</v>
      </c>
      <c r="H1708">
        <f>IF(inventory__Data[[#This Row],[stock_on_hand]]&lt;=0,1,0)</f>
        <v>0</v>
      </c>
      <c r="I1708">
        <f>COUNTIFS(inventory__Data[product_id],inventory__Data[[#This Row],[product_id]],inventory__Data[stock_on_hand],"&lt;=0")</f>
        <v>23</v>
      </c>
    </row>
    <row r="1709" spans="1:9" x14ac:dyDescent="0.3">
      <c r="A1709" s="1">
        <v>45999</v>
      </c>
      <c r="B1709" t="s">
        <v>15</v>
      </c>
      <c r="C1709">
        <v>24</v>
      </c>
      <c r="D1709">
        <v>0.04</v>
      </c>
      <c r="E1709">
        <v>0</v>
      </c>
      <c r="F1709">
        <v>5</v>
      </c>
      <c r="G1709" t="b">
        <v>0</v>
      </c>
      <c r="H1709">
        <f>IF(inventory__Data[[#This Row],[stock_on_hand]]&lt;=0,1,0)</f>
        <v>0</v>
      </c>
      <c r="I1709">
        <f>COUNTIFS(inventory__Data[product_id],inventory__Data[[#This Row],[product_id]],inventory__Data[stock_on_hand],"&lt;=0")</f>
        <v>30</v>
      </c>
    </row>
    <row r="1710" spans="1:9" x14ac:dyDescent="0.3">
      <c r="A1710" s="1">
        <v>45999</v>
      </c>
      <c r="B1710" t="s">
        <v>18</v>
      </c>
      <c r="C1710">
        <v>150</v>
      </c>
      <c r="D1710">
        <v>0.15</v>
      </c>
      <c r="E1710">
        <v>0</v>
      </c>
      <c r="F1710">
        <v>2</v>
      </c>
      <c r="G1710" t="b">
        <v>0</v>
      </c>
      <c r="H1710">
        <f>IF(inventory__Data[[#This Row],[stock_on_hand]]&lt;=0,1,0)</f>
        <v>0</v>
      </c>
      <c r="I1710">
        <f>COUNTIFS(inventory__Data[product_id],inventory__Data[[#This Row],[product_id]],inventory__Data[stock_on_hand],"&lt;=0")</f>
        <v>30</v>
      </c>
    </row>
    <row r="1711" spans="1:9" x14ac:dyDescent="0.3">
      <c r="A1711" s="1">
        <v>45999</v>
      </c>
      <c r="B1711" t="s">
        <v>21</v>
      </c>
      <c r="C1711">
        <v>0</v>
      </c>
      <c r="D1711">
        <v>0.03</v>
      </c>
      <c r="E1711">
        <v>0</v>
      </c>
      <c r="F1711">
        <v>5</v>
      </c>
      <c r="G1711" t="b">
        <v>0</v>
      </c>
      <c r="H1711">
        <f>IF(inventory__Data[[#This Row],[stock_on_hand]]&lt;=0,1,0)</f>
        <v>1</v>
      </c>
      <c r="I1711">
        <f>COUNTIFS(inventory__Data[product_id],inventory__Data[[#This Row],[product_id]],inventory__Data[stock_on_hand],"&lt;=0")</f>
        <v>29</v>
      </c>
    </row>
    <row r="1712" spans="1:9" x14ac:dyDescent="0.3">
      <c r="A1712" s="1">
        <v>46000</v>
      </c>
      <c r="B1712" t="s">
        <v>9</v>
      </c>
      <c r="C1712">
        <v>246</v>
      </c>
      <c r="D1712">
        <v>0.05</v>
      </c>
      <c r="E1712">
        <v>0</v>
      </c>
      <c r="F1712">
        <v>10</v>
      </c>
      <c r="G1712" t="b">
        <v>0</v>
      </c>
      <c r="H1712">
        <f>IF(inventory__Data[[#This Row],[stock_on_hand]]&lt;=0,1,0)</f>
        <v>0</v>
      </c>
      <c r="I1712">
        <f>COUNTIFS(inventory__Data[product_id],inventory__Data[[#This Row],[product_id]],inventory__Data[stock_on_hand],"&lt;=0")</f>
        <v>25</v>
      </c>
    </row>
    <row r="1713" spans="1:9" x14ac:dyDescent="0.3">
      <c r="A1713" s="1">
        <v>46000</v>
      </c>
      <c r="B1713" t="s">
        <v>12</v>
      </c>
      <c r="C1713">
        <v>637</v>
      </c>
      <c r="D1713">
        <v>0.02</v>
      </c>
      <c r="E1713">
        <v>0</v>
      </c>
      <c r="F1713">
        <v>5</v>
      </c>
      <c r="G1713" t="b">
        <v>0</v>
      </c>
      <c r="H1713">
        <f>IF(inventory__Data[[#This Row],[stock_on_hand]]&lt;=0,1,0)</f>
        <v>0</v>
      </c>
      <c r="I1713">
        <f>COUNTIFS(inventory__Data[product_id],inventory__Data[[#This Row],[product_id]],inventory__Data[stock_on_hand],"&lt;=0")</f>
        <v>23</v>
      </c>
    </row>
    <row r="1714" spans="1:9" x14ac:dyDescent="0.3">
      <c r="A1714" s="1">
        <v>46000</v>
      </c>
      <c r="B1714" t="s">
        <v>15</v>
      </c>
      <c r="C1714">
        <v>817</v>
      </c>
      <c r="D1714">
        <v>0.04</v>
      </c>
      <c r="E1714">
        <v>0</v>
      </c>
      <c r="F1714">
        <v>2</v>
      </c>
      <c r="G1714" t="b">
        <v>0</v>
      </c>
      <c r="H1714">
        <f>IF(inventory__Data[[#This Row],[stock_on_hand]]&lt;=0,1,0)</f>
        <v>0</v>
      </c>
      <c r="I1714">
        <f>COUNTIFS(inventory__Data[product_id],inventory__Data[[#This Row],[product_id]],inventory__Data[stock_on_hand],"&lt;=0")</f>
        <v>30</v>
      </c>
    </row>
    <row r="1715" spans="1:9" x14ac:dyDescent="0.3">
      <c r="A1715" s="1">
        <v>46000</v>
      </c>
      <c r="B1715" t="s">
        <v>18</v>
      </c>
      <c r="C1715">
        <v>863</v>
      </c>
      <c r="D1715">
        <v>0.15</v>
      </c>
      <c r="E1715">
        <v>0</v>
      </c>
      <c r="F1715">
        <v>2</v>
      </c>
      <c r="G1715" t="b">
        <v>0</v>
      </c>
      <c r="H1715">
        <f>IF(inventory__Data[[#This Row],[stock_on_hand]]&lt;=0,1,0)</f>
        <v>0</v>
      </c>
      <c r="I1715">
        <f>COUNTIFS(inventory__Data[product_id],inventory__Data[[#This Row],[product_id]],inventory__Data[stock_on_hand],"&lt;=0")</f>
        <v>30</v>
      </c>
    </row>
    <row r="1716" spans="1:9" x14ac:dyDescent="0.3">
      <c r="A1716" s="1">
        <v>46000</v>
      </c>
      <c r="B1716" t="s">
        <v>21</v>
      </c>
      <c r="C1716">
        <v>3</v>
      </c>
      <c r="D1716">
        <v>0.03</v>
      </c>
      <c r="E1716">
        <v>0</v>
      </c>
      <c r="F1716">
        <v>2</v>
      </c>
      <c r="G1716" t="b">
        <v>0</v>
      </c>
      <c r="H1716">
        <f>IF(inventory__Data[[#This Row],[stock_on_hand]]&lt;=0,1,0)</f>
        <v>0</v>
      </c>
      <c r="I1716">
        <f>COUNTIFS(inventory__Data[product_id],inventory__Data[[#This Row],[product_id]],inventory__Data[stock_on_hand],"&lt;=0")</f>
        <v>29</v>
      </c>
    </row>
    <row r="1717" spans="1:9" x14ac:dyDescent="0.3">
      <c r="A1717" s="1">
        <v>46001</v>
      </c>
      <c r="B1717" t="s">
        <v>9</v>
      </c>
      <c r="C1717">
        <v>677</v>
      </c>
      <c r="D1717">
        <v>0.05</v>
      </c>
      <c r="E1717">
        <v>0</v>
      </c>
      <c r="F1717">
        <v>2</v>
      </c>
      <c r="G1717" t="b">
        <v>0</v>
      </c>
      <c r="H1717">
        <f>IF(inventory__Data[[#This Row],[stock_on_hand]]&lt;=0,1,0)</f>
        <v>0</v>
      </c>
      <c r="I1717">
        <f>COUNTIFS(inventory__Data[product_id],inventory__Data[[#This Row],[product_id]],inventory__Data[stock_on_hand],"&lt;=0")</f>
        <v>25</v>
      </c>
    </row>
    <row r="1718" spans="1:9" x14ac:dyDescent="0.3">
      <c r="A1718" s="1">
        <v>46001</v>
      </c>
      <c r="B1718" t="s">
        <v>12</v>
      </c>
      <c r="C1718">
        <v>611</v>
      </c>
      <c r="D1718">
        <v>0.02</v>
      </c>
      <c r="E1718">
        <v>0</v>
      </c>
      <c r="F1718">
        <v>2</v>
      </c>
      <c r="G1718" t="b">
        <v>0</v>
      </c>
      <c r="H1718">
        <f>IF(inventory__Data[[#This Row],[stock_on_hand]]&lt;=0,1,0)</f>
        <v>0</v>
      </c>
      <c r="I1718">
        <f>COUNTIFS(inventory__Data[product_id],inventory__Data[[#This Row],[product_id]],inventory__Data[stock_on_hand],"&lt;=0")</f>
        <v>23</v>
      </c>
    </row>
    <row r="1719" spans="1:9" x14ac:dyDescent="0.3">
      <c r="A1719" s="1">
        <v>46001</v>
      </c>
      <c r="B1719" t="s">
        <v>15</v>
      </c>
      <c r="C1719">
        <v>580</v>
      </c>
      <c r="D1719">
        <v>0.04</v>
      </c>
      <c r="E1719">
        <v>0</v>
      </c>
      <c r="F1719">
        <v>10</v>
      </c>
      <c r="G1719" t="b">
        <v>0</v>
      </c>
      <c r="H1719">
        <f>IF(inventory__Data[[#This Row],[stock_on_hand]]&lt;=0,1,0)</f>
        <v>0</v>
      </c>
      <c r="I1719">
        <f>COUNTIFS(inventory__Data[product_id],inventory__Data[[#This Row],[product_id]],inventory__Data[stock_on_hand],"&lt;=0")</f>
        <v>30</v>
      </c>
    </row>
    <row r="1720" spans="1:9" x14ac:dyDescent="0.3">
      <c r="A1720" s="1">
        <v>46001</v>
      </c>
      <c r="B1720" t="s">
        <v>18</v>
      </c>
      <c r="C1720">
        <v>383</v>
      </c>
      <c r="D1720">
        <v>0.15</v>
      </c>
      <c r="E1720">
        <v>0</v>
      </c>
      <c r="F1720">
        <v>2</v>
      </c>
      <c r="G1720" t="b">
        <v>0</v>
      </c>
      <c r="H1720">
        <f>IF(inventory__Data[[#This Row],[stock_on_hand]]&lt;=0,1,0)</f>
        <v>0</v>
      </c>
      <c r="I1720">
        <f>COUNTIFS(inventory__Data[product_id],inventory__Data[[#This Row],[product_id]],inventory__Data[stock_on_hand],"&lt;=0")</f>
        <v>30</v>
      </c>
    </row>
    <row r="1721" spans="1:9" x14ac:dyDescent="0.3">
      <c r="A1721" s="1">
        <v>46001</v>
      </c>
      <c r="B1721" t="s">
        <v>21</v>
      </c>
      <c r="C1721">
        <v>319</v>
      </c>
      <c r="D1721">
        <v>0.03</v>
      </c>
      <c r="E1721">
        <v>0</v>
      </c>
      <c r="F1721">
        <v>2</v>
      </c>
      <c r="G1721" t="b">
        <v>0</v>
      </c>
      <c r="H1721">
        <f>IF(inventory__Data[[#This Row],[stock_on_hand]]&lt;=0,1,0)</f>
        <v>0</v>
      </c>
      <c r="I1721">
        <f>COUNTIFS(inventory__Data[product_id],inventory__Data[[#This Row],[product_id]],inventory__Data[stock_on_hand],"&lt;=0")</f>
        <v>29</v>
      </c>
    </row>
    <row r="1722" spans="1:9" x14ac:dyDescent="0.3">
      <c r="A1722" s="1">
        <v>46002</v>
      </c>
      <c r="B1722" t="s">
        <v>9</v>
      </c>
      <c r="C1722">
        <v>826</v>
      </c>
      <c r="D1722">
        <v>0.05</v>
      </c>
      <c r="E1722">
        <v>0</v>
      </c>
      <c r="F1722">
        <v>5</v>
      </c>
      <c r="G1722" t="b">
        <v>0</v>
      </c>
      <c r="H1722">
        <f>IF(inventory__Data[[#This Row],[stock_on_hand]]&lt;=0,1,0)</f>
        <v>0</v>
      </c>
      <c r="I1722">
        <f>COUNTIFS(inventory__Data[product_id],inventory__Data[[#This Row],[product_id]],inventory__Data[stock_on_hand],"&lt;=0")</f>
        <v>25</v>
      </c>
    </row>
    <row r="1723" spans="1:9" x14ac:dyDescent="0.3">
      <c r="A1723" s="1">
        <v>46002</v>
      </c>
      <c r="B1723" t="s">
        <v>12</v>
      </c>
      <c r="C1723">
        <v>275</v>
      </c>
      <c r="D1723">
        <v>0.02</v>
      </c>
      <c r="E1723">
        <v>0</v>
      </c>
      <c r="F1723">
        <v>5</v>
      </c>
      <c r="G1723" t="b">
        <v>0</v>
      </c>
      <c r="H1723">
        <f>IF(inventory__Data[[#This Row],[stock_on_hand]]&lt;=0,1,0)</f>
        <v>0</v>
      </c>
      <c r="I1723">
        <f>COUNTIFS(inventory__Data[product_id],inventory__Data[[#This Row],[product_id]],inventory__Data[stock_on_hand],"&lt;=0")</f>
        <v>23</v>
      </c>
    </row>
    <row r="1724" spans="1:9" x14ac:dyDescent="0.3">
      <c r="A1724" s="1">
        <v>46002</v>
      </c>
      <c r="B1724" t="s">
        <v>15</v>
      </c>
      <c r="C1724">
        <v>530</v>
      </c>
      <c r="D1724">
        <v>0.04</v>
      </c>
      <c r="E1724">
        <v>0</v>
      </c>
      <c r="F1724">
        <v>10</v>
      </c>
      <c r="G1724" t="b">
        <v>0</v>
      </c>
      <c r="H1724">
        <f>IF(inventory__Data[[#This Row],[stock_on_hand]]&lt;=0,1,0)</f>
        <v>0</v>
      </c>
      <c r="I1724">
        <f>COUNTIFS(inventory__Data[product_id],inventory__Data[[#This Row],[product_id]],inventory__Data[stock_on_hand],"&lt;=0")</f>
        <v>30</v>
      </c>
    </row>
    <row r="1725" spans="1:9" x14ac:dyDescent="0.3">
      <c r="A1725" s="1">
        <v>46002</v>
      </c>
      <c r="B1725" t="s">
        <v>18</v>
      </c>
      <c r="C1725">
        <v>299</v>
      </c>
      <c r="D1725">
        <v>0.15</v>
      </c>
      <c r="E1725">
        <v>0</v>
      </c>
      <c r="F1725">
        <v>2</v>
      </c>
      <c r="G1725" t="b">
        <v>0</v>
      </c>
      <c r="H1725">
        <f>IF(inventory__Data[[#This Row],[stock_on_hand]]&lt;=0,1,0)</f>
        <v>0</v>
      </c>
      <c r="I1725">
        <f>COUNTIFS(inventory__Data[product_id],inventory__Data[[#This Row],[product_id]],inventory__Data[stock_on_hand],"&lt;=0")</f>
        <v>30</v>
      </c>
    </row>
    <row r="1726" spans="1:9" x14ac:dyDescent="0.3">
      <c r="A1726" s="1">
        <v>46002</v>
      </c>
      <c r="B1726" t="s">
        <v>21</v>
      </c>
      <c r="C1726">
        <v>775</v>
      </c>
      <c r="D1726">
        <v>0.03</v>
      </c>
      <c r="E1726">
        <v>0</v>
      </c>
      <c r="F1726">
        <v>2</v>
      </c>
      <c r="G1726" t="b">
        <v>0</v>
      </c>
      <c r="H1726">
        <f>IF(inventory__Data[[#This Row],[stock_on_hand]]&lt;=0,1,0)</f>
        <v>0</v>
      </c>
      <c r="I1726">
        <f>COUNTIFS(inventory__Data[product_id],inventory__Data[[#This Row],[product_id]],inventory__Data[stock_on_hand],"&lt;=0")</f>
        <v>29</v>
      </c>
    </row>
    <row r="1727" spans="1:9" x14ac:dyDescent="0.3">
      <c r="A1727" s="1">
        <v>46003</v>
      </c>
      <c r="B1727" t="s">
        <v>9</v>
      </c>
      <c r="C1727">
        <v>6</v>
      </c>
      <c r="D1727">
        <v>0.05</v>
      </c>
      <c r="E1727">
        <v>0</v>
      </c>
      <c r="F1727">
        <v>5</v>
      </c>
      <c r="G1727" t="b">
        <v>0</v>
      </c>
      <c r="H1727">
        <f>IF(inventory__Data[[#This Row],[stock_on_hand]]&lt;=0,1,0)</f>
        <v>0</v>
      </c>
      <c r="I1727">
        <f>COUNTIFS(inventory__Data[product_id],inventory__Data[[#This Row],[product_id]],inventory__Data[stock_on_hand],"&lt;=0")</f>
        <v>25</v>
      </c>
    </row>
    <row r="1728" spans="1:9" x14ac:dyDescent="0.3">
      <c r="A1728" s="1">
        <v>46003</v>
      </c>
      <c r="B1728" t="s">
        <v>12</v>
      </c>
      <c r="C1728">
        <v>299</v>
      </c>
      <c r="D1728">
        <v>0.02</v>
      </c>
      <c r="E1728">
        <v>0</v>
      </c>
      <c r="F1728">
        <v>2</v>
      </c>
      <c r="G1728" t="b">
        <v>0</v>
      </c>
      <c r="H1728">
        <f>IF(inventory__Data[[#This Row],[stock_on_hand]]&lt;=0,1,0)</f>
        <v>0</v>
      </c>
      <c r="I1728">
        <f>COUNTIFS(inventory__Data[product_id],inventory__Data[[#This Row],[product_id]],inventory__Data[stock_on_hand],"&lt;=0")</f>
        <v>23</v>
      </c>
    </row>
    <row r="1729" spans="1:9" x14ac:dyDescent="0.3">
      <c r="A1729" s="1">
        <v>46003</v>
      </c>
      <c r="B1729" t="s">
        <v>15</v>
      </c>
      <c r="C1729">
        <v>566</v>
      </c>
      <c r="D1729">
        <v>0.04</v>
      </c>
      <c r="E1729">
        <v>0</v>
      </c>
      <c r="F1729">
        <v>15</v>
      </c>
      <c r="G1729" t="b">
        <v>0</v>
      </c>
      <c r="H1729">
        <f>IF(inventory__Data[[#This Row],[stock_on_hand]]&lt;=0,1,0)</f>
        <v>0</v>
      </c>
      <c r="I1729">
        <f>COUNTIFS(inventory__Data[product_id],inventory__Data[[#This Row],[product_id]],inventory__Data[stock_on_hand],"&lt;=0")</f>
        <v>30</v>
      </c>
    </row>
    <row r="1730" spans="1:9" x14ac:dyDescent="0.3">
      <c r="A1730" s="1">
        <v>46003</v>
      </c>
      <c r="B1730" t="s">
        <v>18</v>
      </c>
      <c r="C1730">
        <v>892</v>
      </c>
      <c r="D1730">
        <v>0.15</v>
      </c>
      <c r="E1730">
        <v>0</v>
      </c>
      <c r="F1730">
        <v>2</v>
      </c>
      <c r="G1730" t="b">
        <v>0</v>
      </c>
      <c r="H1730">
        <f>IF(inventory__Data[[#This Row],[stock_on_hand]]&lt;=0,1,0)</f>
        <v>0</v>
      </c>
      <c r="I1730">
        <f>COUNTIFS(inventory__Data[product_id],inventory__Data[[#This Row],[product_id]],inventory__Data[stock_on_hand],"&lt;=0")</f>
        <v>30</v>
      </c>
    </row>
    <row r="1731" spans="1:9" x14ac:dyDescent="0.3">
      <c r="A1731" s="1">
        <v>46003</v>
      </c>
      <c r="B1731" t="s">
        <v>21</v>
      </c>
      <c r="C1731">
        <v>4</v>
      </c>
      <c r="D1731">
        <v>0.03</v>
      </c>
      <c r="E1731">
        <v>0</v>
      </c>
      <c r="F1731">
        <v>5</v>
      </c>
      <c r="G1731" t="b">
        <v>0</v>
      </c>
      <c r="H1731">
        <f>IF(inventory__Data[[#This Row],[stock_on_hand]]&lt;=0,1,0)</f>
        <v>0</v>
      </c>
      <c r="I1731">
        <f>COUNTIFS(inventory__Data[product_id],inventory__Data[[#This Row],[product_id]],inventory__Data[stock_on_hand],"&lt;=0")</f>
        <v>29</v>
      </c>
    </row>
    <row r="1732" spans="1:9" x14ac:dyDescent="0.3">
      <c r="A1732" s="1">
        <v>46004</v>
      </c>
      <c r="B1732" t="s">
        <v>9</v>
      </c>
      <c r="C1732">
        <v>255</v>
      </c>
      <c r="D1732">
        <v>0.05</v>
      </c>
      <c r="E1732">
        <v>0</v>
      </c>
      <c r="F1732">
        <v>5</v>
      </c>
      <c r="G1732" t="b">
        <v>0</v>
      </c>
      <c r="H1732">
        <f>IF(inventory__Data[[#This Row],[stock_on_hand]]&lt;=0,1,0)</f>
        <v>0</v>
      </c>
      <c r="I1732">
        <f>COUNTIFS(inventory__Data[product_id],inventory__Data[[#This Row],[product_id]],inventory__Data[stock_on_hand],"&lt;=0")</f>
        <v>25</v>
      </c>
    </row>
    <row r="1733" spans="1:9" x14ac:dyDescent="0.3">
      <c r="A1733" s="1">
        <v>46004</v>
      </c>
      <c r="B1733" t="s">
        <v>12</v>
      </c>
      <c r="C1733">
        <v>0</v>
      </c>
      <c r="D1733">
        <v>0.02</v>
      </c>
      <c r="E1733">
        <v>0</v>
      </c>
      <c r="F1733">
        <v>2</v>
      </c>
      <c r="G1733" t="b">
        <v>0</v>
      </c>
      <c r="H1733">
        <f>IF(inventory__Data[[#This Row],[stock_on_hand]]&lt;=0,1,0)</f>
        <v>1</v>
      </c>
      <c r="I1733">
        <f>COUNTIFS(inventory__Data[product_id],inventory__Data[[#This Row],[product_id]],inventory__Data[stock_on_hand],"&lt;=0")</f>
        <v>23</v>
      </c>
    </row>
    <row r="1734" spans="1:9" x14ac:dyDescent="0.3">
      <c r="A1734" s="1">
        <v>46004</v>
      </c>
      <c r="B1734" t="s">
        <v>15</v>
      </c>
      <c r="C1734">
        <v>75</v>
      </c>
      <c r="D1734">
        <v>0.04</v>
      </c>
      <c r="E1734">
        <v>0</v>
      </c>
      <c r="F1734">
        <v>2</v>
      </c>
      <c r="G1734" t="b">
        <v>0</v>
      </c>
      <c r="H1734">
        <f>IF(inventory__Data[[#This Row],[stock_on_hand]]&lt;=0,1,0)</f>
        <v>0</v>
      </c>
      <c r="I1734">
        <f>COUNTIFS(inventory__Data[product_id],inventory__Data[[#This Row],[product_id]],inventory__Data[stock_on_hand],"&lt;=0")</f>
        <v>30</v>
      </c>
    </row>
    <row r="1735" spans="1:9" x14ac:dyDescent="0.3">
      <c r="A1735" s="1">
        <v>46004</v>
      </c>
      <c r="B1735" t="s">
        <v>18</v>
      </c>
      <c r="C1735">
        <v>218</v>
      </c>
      <c r="D1735">
        <v>0.15</v>
      </c>
      <c r="E1735">
        <v>0</v>
      </c>
      <c r="F1735">
        <v>2</v>
      </c>
      <c r="G1735" t="b">
        <v>0</v>
      </c>
      <c r="H1735">
        <f>IF(inventory__Data[[#This Row],[stock_on_hand]]&lt;=0,1,0)</f>
        <v>0</v>
      </c>
      <c r="I1735">
        <f>COUNTIFS(inventory__Data[product_id],inventory__Data[[#This Row],[product_id]],inventory__Data[stock_on_hand],"&lt;=0")</f>
        <v>30</v>
      </c>
    </row>
    <row r="1736" spans="1:9" x14ac:dyDescent="0.3">
      <c r="A1736" s="1">
        <v>46004</v>
      </c>
      <c r="B1736" t="s">
        <v>21</v>
      </c>
      <c r="C1736">
        <v>95</v>
      </c>
      <c r="D1736">
        <v>0.03</v>
      </c>
      <c r="E1736">
        <v>0</v>
      </c>
      <c r="F1736">
        <v>5</v>
      </c>
      <c r="G1736" t="b">
        <v>0</v>
      </c>
      <c r="H1736">
        <f>IF(inventory__Data[[#This Row],[stock_on_hand]]&lt;=0,1,0)</f>
        <v>0</v>
      </c>
      <c r="I1736">
        <f>COUNTIFS(inventory__Data[product_id],inventory__Data[[#This Row],[product_id]],inventory__Data[stock_on_hand],"&lt;=0")</f>
        <v>29</v>
      </c>
    </row>
    <row r="1737" spans="1:9" x14ac:dyDescent="0.3">
      <c r="A1737" s="1">
        <v>46005</v>
      </c>
      <c r="B1737" t="s">
        <v>9</v>
      </c>
      <c r="C1737">
        <v>238</v>
      </c>
      <c r="D1737">
        <v>0.05</v>
      </c>
      <c r="E1737">
        <v>0</v>
      </c>
      <c r="F1737">
        <v>2</v>
      </c>
      <c r="G1737" t="b">
        <v>0</v>
      </c>
      <c r="H1737">
        <f>IF(inventory__Data[[#This Row],[stock_on_hand]]&lt;=0,1,0)</f>
        <v>0</v>
      </c>
      <c r="I1737">
        <f>COUNTIFS(inventory__Data[product_id],inventory__Data[[#This Row],[product_id]],inventory__Data[stock_on_hand],"&lt;=0")</f>
        <v>25</v>
      </c>
    </row>
    <row r="1738" spans="1:9" x14ac:dyDescent="0.3">
      <c r="A1738" s="1">
        <v>46005</v>
      </c>
      <c r="B1738" t="s">
        <v>12</v>
      </c>
      <c r="C1738">
        <v>1</v>
      </c>
      <c r="D1738">
        <v>0.02</v>
      </c>
      <c r="E1738">
        <v>0</v>
      </c>
      <c r="F1738">
        <v>2</v>
      </c>
      <c r="G1738" t="b">
        <v>0</v>
      </c>
      <c r="H1738">
        <f>IF(inventory__Data[[#This Row],[stock_on_hand]]&lt;=0,1,0)</f>
        <v>0</v>
      </c>
      <c r="I1738">
        <f>COUNTIFS(inventory__Data[product_id],inventory__Data[[#This Row],[product_id]],inventory__Data[stock_on_hand],"&lt;=0")</f>
        <v>23</v>
      </c>
    </row>
    <row r="1739" spans="1:9" x14ac:dyDescent="0.3">
      <c r="A1739" s="1">
        <v>46005</v>
      </c>
      <c r="B1739" t="s">
        <v>15</v>
      </c>
      <c r="C1739">
        <v>73</v>
      </c>
      <c r="D1739">
        <v>0.04</v>
      </c>
      <c r="E1739">
        <v>0</v>
      </c>
      <c r="F1739">
        <v>5</v>
      </c>
      <c r="G1739" t="b">
        <v>0</v>
      </c>
      <c r="H1739">
        <f>IF(inventory__Data[[#This Row],[stock_on_hand]]&lt;=0,1,0)</f>
        <v>0</v>
      </c>
      <c r="I1739">
        <f>COUNTIFS(inventory__Data[product_id],inventory__Data[[#This Row],[product_id]],inventory__Data[stock_on_hand],"&lt;=0")</f>
        <v>30</v>
      </c>
    </row>
    <row r="1740" spans="1:9" x14ac:dyDescent="0.3">
      <c r="A1740" s="1">
        <v>46005</v>
      </c>
      <c r="B1740" t="s">
        <v>18</v>
      </c>
      <c r="C1740">
        <v>420</v>
      </c>
      <c r="D1740">
        <v>0.15</v>
      </c>
      <c r="E1740">
        <v>0</v>
      </c>
      <c r="F1740">
        <v>2</v>
      </c>
      <c r="G1740" t="b">
        <v>0</v>
      </c>
      <c r="H1740">
        <f>IF(inventory__Data[[#This Row],[stock_on_hand]]&lt;=0,1,0)</f>
        <v>0</v>
      </c>
      <c r="I1740">
        <f>COUNTIFS(inventory__Data[product_id],inventory__Data[[#This Row],[product_id]],inventory__Data[stock_on_hand],"&lt;=0")</f>
        <v>30</v>
      </c>
    </row>
    <row r="1741" spans="1:9" x14ac:dyDescent="0.3">
      <c r="A1741" s="1">
        <v>46005</v>
      </c>
      <c r="B1741" t="s">
        <v>21</v>
      </c>
      <c r="C1741">
        <v>3</v>
      </c>
      <c r="D1741">
        <v>0.03</v>
      </c>
      <c r="E1741">
        <v>0</v>
      </c>
      <c r="F1741">
        <v>2</v>
      </c>
      <c r="G1741" t="b">
        <v>0</v>
      </c>
      <c r="H1741">
        <f>IF(inventory__Data[[#This Row],[stock_on_hand]]&lt;=0,1,0)</f>
        <v>0</v>
      </c>
      <c r="I1741">
        <f>COUNTIFS(inventory__Data[product_id],inventory__Data[[#This Row],[product_id]],inventory__Data[stock_on_hand],"&lt;=0")</f>
        <v>29</v>
      </c>
    </row>
    <row r="1742" spans="1:9" x14ac:dyDescent="0.3">
      <c r="A1742" s="1">
        <v>46006</v>
      </c>
      <c r="B1742" t="s">
        <v>9</v>
      </c>
      <c r="C1742">
        <v>498</v>
      </c>
      <c r="D1742">
        <v>0.05</v>
      </c>
      <c r="E1742">
        <v>0</v>
      </c>
      <c r="F1742">
        <v>10</v>
      </c>
      <c r="G1742" t="b">
        <v>0</v>
      </c>
      <c r="H1742">
        <f>IF(inventory__Data[[#This Row],[stock_on_hand]]&lt;=0,1,0)</f>
        <v>0</v>
      </c>
      <c r="I1742">
        <f>COUNTIFS(inventory__Data[product_id],inventory__Data[[#This Row],[product_id]],inventory__Data[stock_on_hand],"&lt;=0")</f>
        <v>25</v>
      </c>
    </row>
    <row r="1743" spans="1:9" x14ac:dyDescent="0.3">
      <c r="A1743" s="1">
        <v>46006</v>
      </c>
      <c r="B1743" t="s">
        <v>12</v>
      </c>
      <c r="C1743">
        <v>134</v>
      </c>
      <c r="D1743">
        <v>0.02</v>
      </c>
      <c r="E1743">
        <v>0</v>
      </c>
      <c r="F1743">
        <v>2</v>
      </c>
      <c r="G1743" t="b">
        <v>0</v>
      </c>
      <c r="H1743">
        <f>IF(inventory__Data[[#This Row],[stock_on_hand]]&lt;=0,1,0)</f>
        <v>0</v>
      </c>
      <c r="I1743">
        <f>COUNTIFS(inventory__Data[product_id],inventory__Data[[#This Row],[product_id]],inventory__Data[stock_on_hand],"&lt;=0")</f>
        <v>23</v>
      </c>
    </row>
    <row r="1744" spans="1:9" x14ac:dyDescent="0.3">
      <c r="A1744" s="1">
        <v>46006</v>
      </c>
      <c r="B1744" t="s">
        <v>15</v>
      </c>
      <c r="C1744">
        <v>0</v>
      </c>
      <c r="D1744">
        <v>0.04</v>
      </c>
      <c r="E1744">
        <v>0</v>
      </c>
      <c r="F1744">
        <v>15</v>
      </c>
      <c r="G1744" t="b">
        <v>0</v>
      </c>
      <c r="H1744">
        <f>IF(inventory__Data[[#This Row],[stock_on_hand]]&lt;=0,1,0)</f>
        <v>1</v>
      </c>
      <c r="I1744">
        <f>COUNTIFS(inventory__Data[product_id],inventory__Data[[#This Row],[product_id]],inventory__Data[stock_on_hand],"&lt;=0")</f>
        <v>30</v>
      </c>
    </row>
    <row r="1745" spans="1:9" x14ac:dyDescent="0.3">
      <c r="A1745" s="1">
        <v>46006</v>
      </c>
      <c r="B1745" t="s">
        <v>18</v>
      </c>
      <c r="C1745">
        <v>806</v>
      </c>
      <c r="D1745">
        <v>0.15</v>
      </c>
      <c r="E1745">
        <v>0</v>
      </c>
      <c r="F1745">
        <v>2</v>
      </c>
      <c r="G1745" t="b">
        <v>0</v>
      </c>
      <c r="H1745">
        <f>IF(inventory__Data[[#This Row],[stock_on_hand]]&lt;=0,1,0)</f>
        <v>0</v>
      </c>
      <c r="I1745">
        <f>COUNTIFS(inventory__Data[product_id],inventory__Data[[#This Row],[product_id]],inventory__Data[stock_on_hand],"&lt;=0")</f>
        <v>30</v>
      </c>
    </row>
    <row r="1746" spans="1:9" x14ac:dyDescent="0.3">
      <c r="A1746" s="1">
        <v>46006</v>
      </c>
      <c r="B1746" t="s">
        <v>21</v>
      </c>
      <c r="C1746">
        <v>577</v>
      </c>
      <c r="D1746">
        <v>0.03</v>
      </c>
      <c r="E1746">
        <v>0</v>
      </c>
      <c r="F1746">
        <v>5</v>
      </c>
      <c r="G1746" t="b">
        <v>0</v>
      </c>
      <c r="H1746">
        <f>IF(inventory__Data[[#This Row],[stock_on_hand]]&lt;=0,1,0)</f>
        <v>0</v>
      </c>
      <c r="I1746">
        <f>COUNTIFS(inventory__Data[product_id],inventory__Data[[#This Row],[product_id]],inventory__Data[stock_on_hand],"&lt;=0")</f>
        <v>29</v>
      </c>
    </row>
    <row r="1747" spans="1:9" x14ac:dyDescent="0.3">
      <c r="A1747" s="1">
        <v>46007</v>
      </c>
      <c r="B1747" t="s">
        <v>9</v>
      </c>
      <c r="C1747">
        <v>7</v>
      </c>
      <c r="D1747">
        <v>0.05</v>
      </c>
      <c r="E1747">
        <v>0</v>
      </c>
      <c r="F1747">
        <v>5</v>
      </c>
      <c r="G1747" t="b">
        <v>0</v>
      </c>
      <c r="H1747">
        <f>IF(inventory__Data[[#This Row],[stock_on_hand]]&lt;=0,1,0)</f>
        <v>0</v>
      </c>
      <c r="I1747">
        <f>COUNTIFS(inventory__Data[product_id],inventory__Data[[#This Row],[product_id]],inventory__Data[stock_on_hand],"&lt;=0")</f>
        <v>25</v>
      </c>
    </row>
    <row r="1748" spans="1:9" x14ac:dyDescent="0.3">
      <c r="A1748" s="1">
        <v>46007</v>
      </c>
      <c r="B1748" t="s">
        <v>12</v>
      </c>
      <c r="C1748">
        <v>605</v>
      </c>
      <c r="D1748">
        <v>0.02</v>
      </c>
      <c r="E1748">
        <v>0</v>
      </c>
      <c r="F1748">
        <v>2</v>
      </c>
      <c r="G1748" t="b">
        <v>0</v>
      </c>
      <c r="H1748">
        <f>IF(inventory__Data[[#This Row],[stock_on_hand]]&lt;=0,1,0)</f>
        <v>0</v>
      </c>
      <c r="I1748">
        <f>COUNTIFS(inventory__Data[product_id],inventory__Data[[#This Row],[product_id]],inventory__Data[stock_on_hand],"&lt;=0")</f>
        <v>23</v>
      </c>
    </row>
    <row r="1749" spans="1:9" x14ac:dyDescent="0.3">
      <c r="A1749" s="1">
        <v>46007</v>
      </c>
      <c r="B1749" t="s">
        <v>15</v>
      </c>
      <c r="C1749">
        <v>357</v>
      </c>
      <c r="D1749">
        <v>0.04</v>
      </c>
      <c r="E1749">
        <v>0</v>
      </c>
      <c r="F1749">
        <v>2</v>
      </c>
      <c r="G1749" t="b">
        <v>0</v>
      </c>
      <c r="H1749">
        <f>IF(inventory__Data[[#This Row],[stock_on_hand]]&lt;=0,1,0)</f>
        <v>0</v>
      </c>
      <c r="I1749">
        <f>COUNTIFS(inventory__Data[product_id],inventory__Data[[#This Row],[product_id]],inventory__Data[stock_on_hand],"&lt;=0")</f>
        <v>30</v>
      </c>
    </row>
    <row r="1750" spans="1:9" x14ac:dyDescent="0.3">
      <c r="A1750" s="1">
        <v>46007</v>
      </c>
      <c r="B1750" t="s">
        <v>18</v>
      </c>
      <c r="C1750">
        <v>100</v>
      </c>
      <c r="D1750">
        <v>0.15</v>
      </c>
      <c r="E1750">
        <v>0</v>
      </c>
      <c r="F1750">
        <v>5</v>
      </c>
      <c r="G1750" t="b">
        <v>0</v>
      </c>
      <c r="H1750">
        <f>IF(inventory__Data[[#This Row],[stock_on_hand]]&lt;=0,1,0)</f>
        <v>0</v>
      </c>
      <c r="I1750">
        <f>COUNTIFS(inventory__Data[product_id],inventory__Data[[#This Row],[product_id]],inventory__Data[stock_on_hand],"&lt;=0")</f>
        <v>30</v>
      </c>
    </row>
    <row r="1751" spans="1:9" x14ac:dyDescent="0.3">
      <c r="A1751" s="1">
        <v>46007</v>
      </c>
      <c r="B1751" t="s">
        <v>21</v>
      </c>
      <c r="C1751">
        <v>78</v>
      </c>
      <c r="D1751">
        <v>0.03</v>
      </c>
      <c r="E1751">
        <v>0</v>
      </c>
      <c r="F1751">
        <v>2</v>
      </c>
      <c r="G1751" t="b">
        <v>0</v>
      </c>
      <c r="H1751">
        <f>IF(inventory__Data[[#This Row],[stock_on_hand]]&lt;=0,1,0)</f>
        <v>0</v>
      </c>
      <c r="I1751">
        <f>COUNTIFS(inventory__Data[product_id],inventory__Data[[#This Row],[product_id]],inventory__Data[stock_on_hand],"&lt;=0")</f>
        <v>29</v>
      </c>
    </row>
    <row r="1752" spans="1:9" x14ac:dyDescent="0.3">
      <c r="A1752" s="1">
        <v>46008</v>
      </c>
      <c r="B1752" t="s">
        <v>9</v>
      </c>
      <c r="C1752">
        <v>252</v>
      </c>
      <c r="D1752">
        <v>0.05</v>
      </c>
      <c r="E1752">
        <v>0</v>
      </c>
      <c r="F1752">
        <v>2</v>
      </c>
      <c r="G1752" t="b">
        <v>0</v>
      </c>
      <c r="H1752">
        <f>IF(inventory__Data[[#This Row],[stock_on_hand]]&lt;=0,1,0)</f>
        <v>0</v>
      </c>
      <c r="I1752">
        <f>COUNTIFS(inventory__Data[product_id],inventory__Data[[#This Row],[product_id]],inventory__Data[stock_on_hand],"&lt;=0")</f>
        <v>25</v>
      </c>
    </row>
    <row r="1753" spans="1:9" x14ac:dyDescent="0.3">
      <c r="A1753" s="1">
        <v>46008</v>
      </c>
      <c r="B1753" t="s">
        <v>12</v>
      </c>
      <c r="C1753">
        <v>142</v>
      </c>
      <c r="D1753">
        <v>0.02</v>
      </c>
      <c r="E1753">
        <v>0</v>
      </c>
      <c r="F1753">
        <v>2</v>
      </c>
      <c r="G1753" t="b">
        <v>0</v>
      </c>
      <c r="H1753">
        <f>IF(inventory__Data[[#This Row],[stock_on_hand]]&lt;=0,1,0)</f>
        <v>0</v>
      </c>
      <c r="I1753">
        <f>COUNTIFS(inventory__Data[product_id],inventory__Data[[#This Row],[product_id]],inventory__Data[stock_on_hand],"&lt;=0")</f>
        <v>23</v>
      </c>
    </row>
    <row r="1754" spans="1:9" x14ac:dyDescent="0.3">
      <c r="A1754" s="1">
        <v>46008</v>
      </c>
      <c r="B1754" t="s">
        <v>15</v>
      </c>
      <c r="C1754">
        <v>12</v>
      </c>
      <c r="D1754">
        <v>0.04</v>
      </c>
      <c r="E1754">
        <v>0</v>
      </c>
      <c r="F1754">
        <v>2</v>
      </c>
      <c r="G1754" t="b">
        <v>0</v>
      </c>
      <c r="H1754">
        <f>IF(inventory__Data[[#This Row],[stock_on_hand]]&lt;=0,1,0)</f>
        <v>0</v>
      </c>
      <c r="I1754">
        <f>COUNTIFS(inventory__Data[product_id],inventory__Data[[#This Row],[product_id]],inventory__Data[stock_on_hand],"&lt;=0")</f>
        <v>30</v>
      </c>
    </row>
    <row r="1755" spans="1:9" x14ac:dyDescent="0.3">
      <c r="A1755" s="1">
        <v>46008</v>
      </c>
      <c r="B1755" t="s">
        <v>18</v>
      </c>
      <c r="C1755">
        <v>341</v>
      </c>
      <c r="D1755">
        <v>0.15</v>
      </c>
      <c r="E1755">
        <v>0</v>
      </c>
      <c r="F1755">
        <v>2</v>
      </c>
      <c r="G1755" t="b">
        <v>0</v>
      </c>
      <c r="H1755">
        <f>IF(inventory__Data[[#This Row],[stock_on_hand]]&lt;=0,1,0)</f>
        <v>0</v>
      </c>
      <c r="I1755">
        <f>COUNTIFS(inventory__Data[product_id],inventory__Data[[#This Row],[product_id]],inventory__Data[stock_on_hand],"&lt;=0")</f>
        <v>30</v>
      </c>
    </row>
    <row r="1756" spans="1:9" x14ac:dyDescent="0.3">
      <c r="A1756" s="1">
        <v>46008</v>
      </c>
      <c r="B1756" t="s">
        <v>21</v>
      </c>
      <c r="C1756">
        <v>382</v>
      </c>
      <c r="D1756">
        <v>0.03</v>
      </c>
      <c r="E1756">
        <v>0</v>
      </c>
      <c r="F1756">
        <v>2</v>
      </c>
      <c r="G1756" t="b">
        <v>0</v>
      </c>
      <c r="H1756">
        <f>IF(inventory__Data[[#This Row],[stock_on_hand]]&lt;=0,1,0)</f>
        <v>0</v>
      </c>
      <c r="I1756">
        <f>COUNTIFS(inventory__Data[product_id],inventory__Data[[#This Row],[product_id]],inventory__Data[stock_on_hand],"&lt;=0")</f>
        <v>29</v>
      </c>
    </row>
    <row r="1757" spans="1:9" x14ac:dyDescent="0.3">
      <c r="A1757" s="1">
        <v>46009</v>
      </c>
      <c r="B1757" t="s">
        <v>9</v>
      </c>
      <c r="C1757">
        <v>330</v>
      </c>
      <c r="D1757">
        <v>0.05</v>
      </c>
      <c r="E1757">
        <v>0</v>
      </c>
      <c r="F1757">
        <v>2</v>
      </c>
      <c r="G1757" t="b">
        <v>0</v>
      </c>
      <c r="H1757">
        <f>IF(inventory__Data[[#This Row],[stock_on_hand]]&lt;=0,1,0)</f>
        <v>0</v>
      </c>
      <c r="I1757">
        <f>COUNTIFS(inventory__Data[product_id],inventory__Data[[#This Row],[product_id]],inventory__Data[stock_on_hand],"&lt;=0")</f>
        <v>25</v>
      </c>
    </row>
    <row r="1758" spans="1:9" x14ac:dyDescent="0.3">
      <c r="A1758" s="1">
        <v>46009</v>
      </c>
      <c r="B1758" t="s">
        <v>12</v>
      </c>
      <c r="C1758">
        <v>784</v>
      </c>
      <c r="D1758">
        <v>0.02</v>
      </c>
      <c r="E1758">
        <v>0</v>
      </c>
      <c r="F1758">
        <v>2</v>
      </c>
      <c r="G1758" t="b">
        <v>0</v>
      </c>
      <c r="H1758">
        <f>IF(inventory__Data[[#This Row],[stock_on_hand]]&lt;=0,1,0)</f>
        <v>0</v>
      </c>
      <c r="I1758">
        <f>COUNTIFS(inventory__Data[product_id],inventory__Data[[#This Row],[product_id]],inventory__Data[stock_on_hand],"&lt;=0")</f>
        <v>23</v>
      </c>
    </row>
    <row r="1759" spans="1:9" x14ac:dyDescent="0.3">
      <c r="A1759" s="1">
        <v>46009</v>
      </c>
      <c r="B1759" t="s">
        <v>15</v>
      </c>
      <c r="C1759">
        <v>189</v>
      </c>
      <c r="D1759">
        <v>0.04</v>
      </c>
      <c r="E1759">
        <v>0</v>
      </c>
      <c r="F1759">
        <v>2</v>
      </c>
      <c r="G1759" t="b">
        <v>0</v>
      </c>
      <c r="H1759">
        <f>IF(inventory__Data[[#This Row],[stock_on_hand]]&lt;=0,1,0)</f>
        <v>0</v>
      </c>
      <c r="I1759">
        <f>COUNTIFS(inventory__Data[product_id],inventory__Data[[#This Row],[product_id]],inventory__Data[stock_on_hand],"&lt;=0")</f>
        <v>30</v>
      </c>
    </row>
    <row r="1760" spans="1:9" x14ac:dyDescent="0.3">
      <c r="A1760" s="1">
        <v>46009</v>
      </c>
      <c r="B1760" t="s">
        <v>18</v>
      </c>
      <c r="C1760">
        <v>0</v>
      </c>
      <c r="D1760">
        <v>0.15</v>
      </c>
      <c r="E1760">
        <v>0</v>
      </c>
      <c r="F1760">
        <v>15</v>
      </c>
      <c r="G1760" t="b">
        <v>0</v>
      </c>
      <c r="H1760">
        <f>IF(inventory__Data[[#This Row],[stock_on_hand]]&lt;=0,1,0)</f>
        <v>1</v>
      </c>
      <c r="I1760">
        <f>COUNTIFS(inventory__Data[product_id],inventory__Data[[#This Row],[product_id]],inventory__Data[stock_on_hand],"&lt;=0")</f>
        <v>30</v>
      </c>
    </row>
    <row r="1761" spans="1:9" x14ac:dyDescent="0.3">
      <c r="A1761" s="1">
        <v>46009</v>
      </c>
      <c r="B1761" t="s">
        <v>21</v>
      </c>
      <c r="C1761">
        <v>0</v>
      </c>
      <c r="D1761">
        <v>0.03</v>
      </c>
      <c r="E1761">
        <v>0</v>
      </c>
      <c r="F1761">
        <v>2</v>
      </c>
      <c r="G1761" t="b">
        <v>0</v>
      </c>
      <c r="H1761">
        <f>IF(inventory__Data[[#This Row],[stock_on_hand]]&lt;=0,1,0)</f>
        <v>1</v>
      </c>
      <c r="I1761">
        <f>COUNTIFS(inventory__Data[product_id],inventory__Data[[#This Row],[product_id]],inventory__Data[stock_on_hand],"&lt;=0")</f>
        <v>29</v>
      </c>
    </row>
    <row r="1762" spans="1:9" x14ac:dyDescent="0.3">
      <c r="A1762" s="1">
        <v>46010</v>
      </c>
      <c r="B1762" t="s">
        <v>9</v>
      </c>
      <c r="C1762">
        <v>0</v>
      </c>
      <c r="D1762">
        <v>0.05</v>
      </c>
      <c r="E1762">
        <v>0</v>
      </c>
      <c r="F1762">
        <v>2</v>
      </c>
      <c r="G1762" t="b">
        <v>0</v>
      </c>
      <c r="H1762">
        <f>IF(inventory__Data[[#This Row],[stock_on_hand]]&lt;=0,1,0)</f>
        <v>1</v>
      </c>
      <c r="I1762">
        <f>COUNTIFS(inventory__Data[product_id],inventory__Data[[#This Row],[product_id]],inventory__Data[stock_on_hand],"&lt;=0")</f>
        <v>25</v>
      </c>
    </row>
    <row r="1763" spans="1:9" x14ac:dyDescent="0.3">
      <c r="A1763" s="1">
        <v>46010</v>
      </c>
      <c r="B1763" t="s">
        <v>12</v>
      </c>
      <c r="C1763">
        <v>0</v>
      </c>
      <c r="D1763">
        <v>0.02</v>
      </c>
      <c r="E1763">
        <v>0</v>
      </c>
      <c r="F1763">
        <v>5</v>
      </c>
      <c r="G1763" t="b">
        <v>0</v>
      </c>
      <c r="H1763">
        <f>IF(inventory__Data[[#This Row],[stock_on_hand]]&lt;=0,1,0)</f>
        <v>1</v>
      </c>
      <c r="I1763">
        <f>COUNTIFS(inventory__Data[product_id],inventory__Data[[#This Row],[product_id]],inventory__Data[stock_on_hand],"&lt;=0")</f>
        <v>23</v>
      </c>
    </row>
    <row r="1764" spans="1:9" x14ac:dyDescent="0.3">
      <c r="A1764" s="1">
        <v>46010</v>
      </c>
      <c r="B1764" t="s">
        <v>15</v>
      </c>
      <c r="C1764">
        <v>0</v>
      </c>
      <c r="D1764">
        <v>0.04</v>
      </c>
      <c r="E1764">
        <v>0</v>
      </c>
      <c r="F1764">
        <v>2</v>
      </c>
      <c r="G1764" t="b">
        <v>0</v>
      </c>
      <c r="H1764">
        <f>IF(inventory__Data[[#This Row],[stock_on_hand]]&lt;=0,1,0)</f>
        <v>1</v>
      </c>
      <c r="I1764">
        <f>COUNTIFS(inventory__Data[product_id],inventory__Data[[#This Row],[product_id]],inventory__Data[stock_on_hand],"&lt;=0")</f>
        <v>30</v>
      </c>
    </row>
    <row r="1765" spans="1:9" x14ac:dyDescent="0.3">
      <c r="A1765" s="1">
        <v>46010</v>
      </c>
      <c r="B1765" t="s">
        <v>18</v>
      </c>
      <c r="C1765">
        <v>458</v>
      </c>
      <c r="D1765">
        <v>0.15</v>
      </c>
      <c r="E1765">
        <v>0</v>
      </c>
      <c r="F1765">
        <v>2</v>
      </c>
      <c r="G1765" t="b">
        <v>0</v>
      </c>
      <c r="H1765">
        <f>IF(inventory__Data[[#This Row],[stock_on_hand]]&lt;=0,1,0)</f>
        <v>0</v>
      </c>
      <c r="I1765">
        <f>COUNTIFS(inventory__Data[product_id],inventory__Data[[#This Row],[product_id]],inventory__Data[stock_on_hand],"&lt;=0")</f>
        <v>30</v>
      </c>
    </row>
    <row r="1766" spans="1:9" x14ac:dyDescent="0.3">
      <c r="A1766" s="1">
        <v>46010</v>
      </c>
      <c r="B1766" t="s">
        <v>21</v>
      </c>
      <c r="C1766">
        <v>314</v>
      </c>
      <c r="D1766">
        <v>0.03</v>
      </c>
      <c r="E1766">
        <v>0</v>
      </c>
      <c r="F1766">
        <v>5</v>
      </c>
      <c r="G1766" t="b">
        <v>0</v>
      </c>
      <c r="H1766">
        <f>IF(inventory__Data[[#This Row],[stock_on_hand]]&lt;=0,1,0)</f>
        <v>0</v>
      </c>
      <c r="I1766">
        <f>COUNTIFS(inventory__Data[product_id],inventory__Data[[#This Row],[product_id]],inventory__Data[stock_on_hand],"&lt;=0")</f>
        <v>29</v>
      </c>
    </row>
    <row r="1767" spans="1:9" x14ac:dyDescent="0.3">
      <c r="A1767" s="1">
        <v>46011</v>
      </c>
      <c r="B1767" t="s">
        <v>9</v>
      </c>
      <c r="C1767">
        <v>668</v>
      </c>
      <c r="D1767">
        <v>0.05</v>
      </c>
      <c r="E1767">
        <v>0</v>
      </c>
      <c r="F1767">
        <v>2</v>
      </c>
      <c r="G1767" t="b">
        <v>0</v>
      </c>
      <c r="H1767">
        <f>IF(inventory__Data[[#This Row],[stock_on_hand]]&lt;=0,1,0)</f>
        <v>0</v>
      </c>
      <c r="I1767">
        <f>COUNTIFS(inventory__Data[product_id],inventory__Data[[#This Row],[product_id]],inventory__Data[stock_on_hand],"&lt;=0")</f>
        <v>25</v>
      </c>
    </row>
    <row r="1768" spans="1:9" x14ac:dyDescent="0.3">
      <c r="A1768" s="1">
        <v>46011</v>
      </c>
      <c r="B1768" t="s">
        <v>12</v>
      </c>
      <c r="C1768">
        <v>660</v>
      </c>
      <c r="D1768">
        <v>0.02</v>
      </c>
      <c r="E1768">
        <v>0</v>
      </c>
      <c r="F1768">
        <v>15</v>
      </c>
      <c r="G1768" t="b">
        <v>0</v>
      </c>
      <c r="H1768">
        <f>IF(inventory__Data[[#This Row],[stock_on_hand]]&lt;=0,1,0)</f>
        <v>0</v>
      </c>
      <c r="I1768">
        <f>COUNTIFS(inventory__Data[product_id],inventory__Data[[#This Row],[product_id]],inventory__Data[stock_on_hand],"&lt;=0")</f>
        <v>23</v>
      </c>
    </row>
    <row r="1769" spans="1:9" x14ac:dyDescent="0.3">
      <c r="A1769" s="1">
        <v>46011</v>
      </c>
      <c r="B1769" t="s">
        <v>15</v>
      </c>
      <c r="C1769">
        <v>436</v>
      </c>
      <c r="D1769">
        <v>0.04</v>
      </c>
      <c r="E1769">
        <v>0</v>
      </c>
      <c r="F1769">
        <v>2</v>
      </c>
      <c r="G1769" t="b">
        <v>0</v>
      </c>
      <c r="H1769">
        <f>IF(inventory__Data[[#This Row],[stock_on_hand]]&lt;=0,1,0)</f>
        <v>0</v>
      </c>
      <c r="I1769">
        <f>COUNTIFS(inventory__Data[product_id],inventory__Data[[#This Row],[product_id]],inventory__Data[stock_on_hand],"&lt;=0")</f>
        <v>30</v>
      </c>
    </row>
    <row r="1770" spans="1:9" x14ac:dyDescent="0.3">
      <c r="A1770" s="1">
        <v>46011</v>
      </c>
      <c r="B1770" t="s">
        <v>18</v>
      </c>
      <c r="C1770">
        <v>0</v>
      </c>
      <c r="D1770">
        <v>0.15</v>
      </c>
      <c r="E1770">
        <v>0</v>
      </c>
      <c r="F1770">
        <v>2</v>
      </c>
      <c r="G1770" t="b">
        <v>0</v>
      </c>
      <c r="H1770">
        <f>IF(inventory__Data[[#This Row],[stock_on_hand]]&lt;=0,1,0)</f>
        <v>1</v>
      </c>
      <c r="I1770">
        <f>COUNTIFS(inventory__Data[product_id],inventory__Data[[#This Row],[product_id]],inventory__Data[stock_on_hand],"&lt;=0")</f>
        <v>30</v>
      </c>
    </row>
    <row r="1771" spans="1:9" x14ac:dyDescent="0.3">
      <c r="A1771" s="1">
        <v>46011</v>
      </c>
      <c r="B1771" t="s">
        <v>21</v>
      </c>
      <c r="C1771">
        <v>0</v>
      </c>
      <c r="D1771">
        <v>0.03</v>
      </c>
      <c r="E1771">
        <v>0</v>
      </c>
      <c r="F1771">
        <v>2</v>
      </c>
      <c r="G1771" t="b">
        <v>0</v>
      </c>
      <c r="H1771">
        <f>IF(inventory__Data[[#This Row],[stock_on_hand]]&lt;=0,1,0)</f>
        <v>1</v>
      </c>
      <c r="I1771">
        <f>COUNTIFS(inventory__Data[product_id],inventory__Data[[#This Row],[product_id]],inventory__Data[stock_on_hand],"&lt;=0")</f>
        <v>29</v>
      </c>
    </row>
    <row r="1772" spans="1:9" x14ac:dyDescent="0.3">
      <c r="A1772" s="1">
        <v>46012</v>
      </c>
      <c r="B1772" t="s">
        <v>9</v>
      </c>
      <c r="C1772">
        <v>820</v>
      </c>
      <c r="D1772">
        <v>0.05</v>
      </c>
      <c r="E1772">
        <v>0</v>
      </c>
      <c r="F1772">
        <v>5</v>
      </c>
      <c r="G1772" t="b">
        <v>0</v>
      </c>
      <c r="H1772">
        <f>IF(inventory__Data[[#This Row],[stock_on_hand]]&lt;=0,1,0)</f>
        <v>0</v>
      </c>
      <c r="I1772">
        <f>COUNTIFS(inventory__Data[product_id],inventory__Data[[#This Row],[product_id]],inventory__Data[stock_on_hand],"&lt;=0")</f>
        <v>25</v>
      </c>
    </row>
    <row r="1773" spans="1:9" x14ac:dyDescent="0.3">
      <c r="A1773" s="1">
        <v>46012</v>
      </c>
      <c r="B1773" t="s">
        <v>12</v>
      </c>
      <c r="C1773">
        <v>811</v>
      </c>
      <c r="D1773">
        <v>0.02</v>
      </c>
      <c r="E1773">
        <v>0</v>
      </c>
      <c r="F1773">
        <v>2</v>
      </c>
      <c r="G1773" t="b">
        <v>0</v>
      </c>
      <c r="H1773">
        <f>IF(inventory__Data[[#This Row],[stock_on_hand]]&lt;=0,1,0)</f>
        <v>0</v>
      </c>
      <c r="I1773">
        <f>COUNTIFS(inventory__Data[product_id],inventory__Data[[#This Row],[product_id]],inventory__Data[stock_on_hand],"&lt;=0")</f>
        <v>23</v>
      </c>
    </row>
    <row r="1774" spans="1:9" x14ac:dyDescent="0.3">
      <c r="A1774" s="1">
        <v>46012</v>
      </c>
      <c r="B1774" t="s">
        <v>15</v>
      </c>
      <c r="C1774">
        <v>727</v>
      </c>
      <c r="D1774">
        <v>0.04</v>
      </c>
      <c r="E1774">
        <v>0</v>
      </c>
      <c r="F1774">
        <v>2</v>
      </c>
      <c r="G1774" t="b">
        <v>0</v>
      </c>
      <c r="H1774">
        <f>IF(inventory__Data[[#This Row],[stock_on_hand]]&lt;=0,1,0)</f>
        <v>0</v>
      </c>
      <c r="I1774">
        <f>COUNTIFS(inventory__Data[product_id],inventory__Data[[#This Row],[product_id]],inventory__Data[stock_on_hand],"&lt;=0")</f>
        <v>30</v>
      </c>
    </row>
    <row r="1775" spans="1:9" x14ac:dyDescent="0.3">
      <c r="A1775" s="1">
        <v>46012</v>
      </c>
      <c r="B1775" t="s">
        <v>18</v>
      </c>
      <c r="C1775">
        <v>787</v>
      </c>
      <c r="D1775">
        <v>0.15</v>
      </c>
      <c r="E1775">
        <v>0</v>
      </c>
      <c r="F1775">
        <v>2</v>
      </c>
      <c r="G1775" t="b">
        <v>0</v>
      </c>
      <c r="H1775">
        <f>IF(inventory__Data[[#This Row],[stock_on_hand]]&lt;=0,1,0)</f>
        <v>0</v>
      </c>
      <c r="I1775">
        <f>COUNTIFS(inventory__Data[product_id],inventory__Data[[#This Row],[product_id]],inventory__Data[stock_on_hand],"&lt;=0")</f>
        <v>30</v>
      </c>
    </row>
    <row r="1776" spans="1:9" x14ac:dyDescent="0.3">
      <c r="A1776" s="1">
        <v>46012</v>
      </c>
      <c r="B1776" t="s">
        <v>21</v>
      </c>
      <c r="C1776">
        <v>449</v>
      </c>
      <c r="D1776">
        <v>0.03</v>
      </c>
      <c r="E1776">
        <v>0</v>
      </c>
      <c r="F1776">
        <v>2</v>
      </c>
      <c r="G1776" t="b">
        <v>0</v>
      </c>
      <c r="H1776">
        <f>IF(inventory__Data[[#This Row],[stock_on_hand]]&lt;=0,1,0)</f>
        <v>0</v>
      </c>
      <c r="I1776">
        <f>COUNTIFS(inventory__Data[product_id],inventory__Data[[#This Row],[product_id]],inventory__Data[stock_on_hand],"&lt;=0")</f>
        <v>29</v>
      </c>
    </row>
    <row r="1777" spans="1:9" x14ac:dyDescent="0.3">
      <c r="A1777" s="1">
        <v>46013</v>
      </c>
      <c r="B1777" t="s">
        <v>9</v>
      </c>
      <c r="C1777">
        <v>22</v>
      </c>
      <c r="D1777">
        <v>0.05</v>
      </c>
      <c r="E1777">
        <v>0</v>
      </c>
      <c r="F1777">
        <v>5</v>
      </c>
      <c r="G1777" t="b">
        <v>0</v>
      </c>
      <c r="H1777">
        <f>IF(inventory__Data[[#This Row],[stock_on_hand]]&lt;=0,1,0)</f>
        <v>0</v>
      </c>
      <c r="I1777">
        <f>COUNTIFS(inventory__Data[product_id],inventory__Data[[#This Row],[product_id]],inventory__Data[stock_on_hand],"&lt;=0")</f>
        <v>25</v>
      </c>
    </row>
    <row r="1778" spans="1:9" x14ac:dyDescent="0.3">
      <c r="A1778" s="1">
        <v>46013</v>
      </c>
      <c r="B1778" t="s">
        <v>12</v>
      </c>
      <c r="C1778">
        <v>745</v>
      </c>
      <c r="D1778">
        <v>0.02</v>
      </c>
      <c r="E1778">
        <v>0</v>
      </c>
      <c r="F1778">
        <v>15</v>
      </c>
      <c r="G1778" t="b">
        <v>0</v>
      </c>
      <c r="H1778">
        <f>IF(inventory__Data[[#This Row],[stock_on_hand]]&lt;=0,1,0)</f>
        <v>0</v>
      </c>
      <c r="I1778">
        <f>COUNTIFS(inventory__Data[product_id],inventory__Data[[#This Row],[product_id]],inventory__Data[stock_on_hand],"&lt;=0")</f>
        <v>23</v>
      </c>
    </row>
    <row r="1779" spans="1:9" x14ac:dyDescent="0.3">
      <c r="A1779" s="1">
        <v>46013</v>
      </c>
      <c r="B1779" t="s">
        <v>15</v>
      </c>
      <c r="C1779">
        <v>1</v>
      </c>
      <c r="D1779">
        <v>0.04</v>
      </c>
      <c r="E1779">
        <v>0</v>
      </c>
      <c r="F1779">
        <v>2</v>
      </c>
      <c r="G1779" t="b">
        <v>0</v>
      </c>
      <c r="H1779">
        <f>IF(inventory__Data[[#This Row],[stock_on_hand]]&lt;=0,1,0)</f>
        <v>0</v>
      </c>
      <c r="I1779">
        <f>COUNTIFS(inventory__Data[product_id],inventory__Data[[#This Row],[product_id]],inventory__Data[stock_on_hand],"&lt;=0")</f>
        <v>30</v>
      </c>
    </row>
    <row r="1780" spans="1:9" x14ac:dyDescent="0.3">
      <c r="A1780" s="1">
        <v>46013</v>
      </c>
      <c r="B1780" t="s">
        <v>18</v>
      </c>
      <c r="C1780">
        <v>810</v>
      </c>
      <c r="D1780">
        <v>0.15</v>
      </c>
      <c r="E1780">
        <v>0</v>
      </c>
      <c r="F1780">
        <v>5</v>
      </c>
      <c r="G1780" t="b">
        <v>0</v>
      </c>
      <c r="H1780">
        <f>IF(inventory__Data[[#This Row],[stock_on_hand]]&lt;=0,1,0)</f>
        <v>0</v>
      </c>
      <c r="I1780">
        <f>COUNTIFS(inventory__Data[product_id],inventory__Data[[#This Row],[product_id]],inventory__Data[stock_on_hand],"&lt;=0")</f>
        <v>30</v>
      </c>
    </row>
    <row r="1781" spans="1:9" x14ac:dyDescent="0.3">
      <c r="A1781" s="1">
        <v>46013</v>
      </c>
      <c r="B1781" t="s">
        <v>21</v>
      </c>
      <c r="C1781">
        <v>197</v>
      </c>
      <c r="D1781">
        <v>0.03</v>
      </c>
      <c r="E1781">
        <v>0</v>
      </c>
      <c r="F1781">
        <v>2</v>
      </c>
      <c r="G1781" t="b">
        <v>0</v>
      </c>
      <c r="H1781">
        <f>IF(inventory__Data[[#This Row],[stock_on_hand]]&lt;=0,1,0)</f>
        <v>0</v>
      </c>
      <c r="I1781">
        <f>COUNTIFS(inventory__Data[product_id],inventory__Data[[#This Row],[product_id]],inventory__Data[stock_on_hand],"&lt;=0")</f>
        <v>29</v>
      </c>
    </row>
    <row r="1782" spans="1:9" x14ac:dyDescent="0.3">
      <c r="A1782" s="1">
        <v>46014</v>
      </c>
      <c r="B1782" t="s">
        <v>9</v>
      </c>
      <c r="C1782">
        <v>581</v>
      </c>
      <c r="D1782">
        <v>0.05</v>
      </c>
      <c r="E1782">
        <v>0</v>
      </c>
      <c r="F1782">
        <v>2</v>
      </c>
      <c r="G1782" t="b">
        <v>0</v>
      </c>
      <c r="H1782">
        <f>IF(inventory__Data[[#This Row],[stock_on_hand]]&lt;=0,1,0)</f>
        <v>0</v>
      </c>
      <c r="I1782">
        <f>COUNTIFS(inventory__Data[product_id],inventory__Data[[#This Row],[product_id]],inventory__Data[stock_on_hand],"&lt;=0")</f>
        <v>25</v>
      </c>
    </row>
    <row r="1783" spans="1:9" x14ac:dyDescent="0.3">
      <c r="A1783" s="1">
        <v>46014</v>
      </c>
      <c r="B1783" t="s">
        <v>12</v>
      </c>
      <c r="C1783">
        <v>820</v>
      </c>
      <c r="D1783">
        <v>0.02</v>
      </c>
      <c r="E1783">
        <v>0</v>
      </c>
      <c r="F1783">
        <v>5</v>
      </c>
      <c r="G1783" t="b">
        <v>0</v>
      </c>
      <c r="H1783">
        <f>IF(inventory__Data[[#This Row],[stock_on_hand]]&lt;=0,1,0)</f>
        <v>0</v>
      </c>
      <c r="I1783">
        <f>COUNTIFS(inventory__Data[product_id],inventory__Data[[#This Row],[product_id]],inventory__Data[stock_on_hand],"&lt;=0")</f>
        <v>23</v>
      </c>
    </row>
    <row r="1784" spans="1:9" x14ac:dyDescent="0.3">
      <c r="A1784" s="1">
        <v>46014</v>
      </c>
      <c r="B1784" t="s">
        <v>15</v>
      </c>
      <c r="C1784">
        <v>0</v>
      </c>
      <c r="D1784">
        <v>0.04</v>
      </c>
      <c r="E1784">
        <v>0</v>
      </c>
      <c r="F1784">
        <v>2</v>
      </c>
      <c r="G1784" t="b">
        <v>0</v>
      </c>
      <c r="H1784">
        <f>IF(inventory__Data[[#This Row],[stock_on_hand]]&lt;=0,1,0)</f>
        <v>1</v>
      </c>
      <c r="I1784">
        <f>COUNTIFS(inventory__Data[product_id],inventory__Data[[#This Row],[product_id]],inventory__Data[stock_on_hand],"&lt;=0")</f>
        <v>30</v>
      </c>
    </row>
    <row r="1785" spans="1:9" x14ac:dyDescent="0.3">
      <c r="A1785" s="1">
        <v>46014</v>
      </c>
      <c r="B1785" t="s">
        <v>18</v>
      </c>
      <c r="C1785">
        <v>355</v>
      </c>
      <c r="D1785">
        <v>0.15</v>
      </c>
      <c r="E1785">
        <v>0</v>
      </c>
      <c r="F1785">
        <v>2</v>
      </c>
      <c r="G1785" t="b">
        <v>0</v>
      </c>
      <c r="H1785">
        <f>IF(inventory__Data[[#This Row],[stock_on_hand]]&lt;=0,1,0)</f>
        <v>0</v>
      </c>
      <c r="I1785">
        <f>COUNTIFS(inventory__Data[product_id],inventory__Data[[#This Row],[product_id]],inventory__Data[stock_on_hand],"&lt;=0")</f>
        <v>30</v>
      </c>
    </row>
    <row r="1786" spans="1:9" x14ac:dyDescent="0.3">
      <c r="A1786" s="1">
        <v>46014</v>
      </c>
      <c r="B1786" t="s">
        <v>21</v>
      </c>
      <c r="C1786">
        <v>821</v>
      </c>
      <c r="D1786">
        <v>0.03</v>
      </c>
      <c r="E1786">
        <v>0</v>
      </c>
      <c r="F1786">
        <v>5</v>
      </c>
      <c r="G1786" t="b">
        <v>0</v>
      </c>
      <c r="H1786">
        <f>IF(inventory__Data[[#This Row],[stock_on_hand]]&lt;=0,1,0)</f>
        <v>0</v>
      </c>
      <c r="I1786">
        <f>COUNTIFS(inventory__Data[product_id],inventory__Data[[#This Row],[product_id]],inventory__Data[stock_on_hand],"&lt;=0")</f>
        <v>29</v>
      </c>
    </row>
    <row r="1787" spans="1:9" x14ac:dyDescent="0.3">
      <c r="A1787" s="1">
        <v>46015</v>
      </c>
      <c r="B1787" t="s">
        <v>9</v>
      </c>
      <c r="C1787">
        <v>516</v>
      </c>
      <c r="D1787">
        <v>0.05</v>
      </c>
      <c r="E1787">
        <v>0</v>
      </c>
      <c r="F1787">
        <v>5</v>
      </c>
      <c r="G1787" t="b">
        <v>0</v>
      </c>
      <c r="H1787">
        <f>IF(inventory__Data[[#This Row],[stock_on_hand]]&lt;=0,1,0)</f>
        <v>0</v>
      </c>
      <c r="I1787">
        <f>COUNTIFS(inventory__Data[product_id],inventory__Data[[#This Row],[product_id]],inventory__Data[stock_on_hand],"&lt;=0")</f>
        <v>25</v>
      </c>
    </row>
    <row r="1788" spans="1:9" x14ac:dyDescent="0.3">
      <c r="A1788" s="1">
        <v>46015</v>
      </c>
      <c r="B1788" t="s">
        <v>12</v>
      </c>
      <c r="C1788">
        <v>287</v>
      </c>
      <c r="D1788">
        <v>0.02</v>
      </c>
      <c r="E1788">
        <v>0</v>
      </c>
      <c r="F1788">
        <v>5</v>
      </c>
      <c r="G1788" t="b">
        <v>0</v>
      </c>
      <c r="H1788">
        <f>IF(inventory__Data[[#This Row],[stock_on_hand]]&lt;=0,1,0)</f>
        <v>0</v>
      </c>
      <c r="I1788">
        <f>COUNTIFS(inventory__Data[product_id],inventory__Data[[#This Row],[product_id]],inventory__Data[stock_on_hand],"&lt;=0")</f>
        <v>23</v>
      </c>
    </row>
    <row r="1789" spans="1:9" x14ac:dyDescent="0.3">
      <c r="A1789" s="1">
        <v>46015</v>
      </c>
      <c r="B1789" t="s">
        <v>15</v>
      </c>
      <c r="C1789">
        <v>656</v>
      </c>
      <c r="D1789">
        <v>0.04</v>
      </c>
      <c r="E1789">
        <v>0</v>
      </c>
      <c r="F1789">
        <v>5</v>
      </c>
      <c r="G1789" t="b">
        <v>0</v>
      </c>
      <c r="H1789">
        <f>IF(inventory__Data[[#This Row],[stock_on_hand]]&lt;=0,1,0)</f>
        <v>0</v>
      </c>
      <c r="I1789">
        <f>COUNTIFS(inventory__Data[product_id],inventory__Data[[#This Row],[product_id]],inventory__Data[stock_on_hand],"&lt;=0")</f>
        <v>30</v>
      </c>
    </row>
    <row r="1790" spans="1:9" x14ac:dyDescent="0.3">
      <c r="A1790" s="1">
        <v>46015</v>
      </c>
      <c r="B1790" t="s">
        <v>18</v>
      </c>
      <c r="C1790">
        <v>31</v>
      </c>
      <c r="D1790">
        <v>0.15</v>
      </c>
      <c r="E1790">
        <v>0</v>
      </c>
      <c r="F1790">
        <v>2</v>
      </c>
      <c r="G1790" t="b">
        <v>0</v>
      </c>
      <c r="H1790">
        <f>IF(inventory__Data[[#This Row],[stock_on_hand]]&lt;=0,1,0)</f>
        <v>0</v>
      </c>
      <c r="I1790">
        <f>COUNTIFS(inventory__Data[product_id],inventory__Data[[#This Row],[product_id]],inventory__Data[stock_on_hand],"&lt;=0")</f>
        <v>30</v>
      </c>
    </row>
    <row r="1791" spans="1:9" x14ac:dyDescent="0.3">
      <c r="A1791" s="1">
        <v>46015</v>
      </c>
      <c r="B1791" t="s">
        <v>21</v>
      </c>
      <c r="C1791">
        <v>513</v>
      </c>
      <c r="D1791">
        <v>0.03</v>
      </c>
      <c r="E1791">
        <v>0</v>
      </c>
      <c r="F1791">
        <v>2</v>
      </c>
      <c r="G1791" t="b">
        <v>0</v>
      </c>
      <c r="H1791">
        <f>IF(inventory__Data[[#This Row],[stock_on_hand]]&lt;=0,1,0)</f>
        <v>0</v>
      </c>
      <c r="I1791">
        <f>COUNTIFS(inventory__Data[product_id],inventory__Data[[#This Row],[product_id]],inventory__Data[stock_on_hand],"&lt;=0")</f>
        <v>29</v>
      </c>
    </row>
    <row r="1792" spans="1:9" x14ac:dyDescent="0.3">
      <c r="A1792" s="1">
        <v>46016</v>
      </c>
      <c r="B1792" t="s">
        <v>9</v>
      </c>
      <c r="C1792">
        <v>0</v>
      </c>
      <c r="D1792">
        <v>0.05</v>
      </c>
      <c r="E1792">
        <v>0</v>
      </c>
      <c r="F1792">
        <v>5</v>
      </c>
      <c r="G1792" t="b">
        <v>0</v>
      </c>
      <c r="H1792">
        <f>IF(inventory__Data[[#This Row],[stock_on_hand]]&lt;=0,1,0)</f>
        <v>1</v>
      </c>
      <c r="I1792">
        <f>COUNTIFS(inventory__Data[product_id],inventory__Data[[#This Row],[product_id]],inventory__Data[stock_on_hand],"&lt;=0")</f>
        <v>25</v>
      </c>
    </row>
    <row r="1793" spans="1:9" x14ac:dyDescent="0.3">
      <c r="A1793" s="1">
        <v>46016</v>
      </c>
      <c r="B1793" t="s">
        <v>12</v>
      </c>
      <c r="C1793">
        <v>732</v>
      </c>
      <c r="D1793">
        <v>0.02</v>
      </c>
      <c r="E1793">
        <v>0</v>
      </c>
      <c r="F1793">
        <v>2</v>
      </c>
      <c r="G1793" t="b">
        <v>0</v>
      </c>
      <c r="H1793">
        <f>IF(inventory__Data[[#This Row],[stock_on_hand]]&lt;=0,1,0)</f>
        <v>0</v>
      </c>
      <c r="I1793">
        <f>COUNTIFS(inventory__Data[product_id],inventory__Data[[#This Row],[product_id]],inventory__Data[stock_on_hand],"&lt;=0")</f>
        <v>23</v>
      </c>
    </row>
    <row r="1794" spans="1:9" x14ac:dyDescent="0.3">
      <c r="A1794" s="1">
        <v>46016</v>
      </c>
      <c r="B1794" t="s">
        <v>15</v>
      </c>
      <c r="C1794">
        <v>450</v>
      </c>
      <c r="D1794">
        <v>0.04</v>
      </c>
      <c r="E1794">
        <v>0</v>
      </c>
      <c r="F1794">
        <v>5</v>
      </c>
      <c r="G1794" t="b">
        <v>0</v>
      </c>
      <c r="H1794">
        <f>IF(inventory__Data[[#This Row],[stock_on_hand]]&lt;=0,1,0)</f>
        <v>0</v>
      </c>
      <c r="I1794">
        <f>COUNTIFS(inventory__Data[product_id],inventory__Data[[#This Row],[product_id]],inventory__Data[stock_on_hand],"&lt;=0")</f>
        <v>30</v>
      </c>
    </row>
    <row r="1795" spans="1:9" x14ac:dyDescent="0.3">
      <c r="A1795" s="1">
        <v>46016</v>
      </c>
      <c r="B1795" t="s">
        <v>18</v>
      </c>
      <c r="C1795">
        <v>483</v>
      </c>
      <c r="D1795">
        <v>0.15</v>
      </c>
      <c r="E1795">
        <v>0</v>
      </c>
      <c r="F1795">
        <v>2</v>
      </c>
      <c r="G1795" t="b">
        <v>0</v>
      </c>
      <c r="H1795">
        <f>IF(inventory__Data[[#This Row],[stock_on_hand]]&lt;=0,1,0)</f>
        <v>0</v>
      </c>
      <c r="I1795">
        <f>COUNTIFS(inventory__Data[product_id],inventory__Data[[#This Row],[product_id]],inventory__Data[stock_on_hand],"&lt;=0")</f>
        <v>30</v>
      </c>
    </row>
    <row r="1796" spans="1:9" x14ac:dyDescent="0.3">
      <c r="A1796" s="1">
        <v>46016</v>
      </c>
      <c r="B1796" t="s">
        <v>21</v>
      </c>
      <c r="C1796">
        <v>46</v>
      </c>
      <c r="D1796">
        <v>0.03</v>
      </c>
      <c r="E1796">
        <v>0</v>
      </c>
      <c r="F1796">
        <v>2</v>
      </c>
      <c r="G1796" t="b">
        <v>0</v>
      </c>
      <c r="H1796">
        <f>IF(inventory__Data[[#This Row],[stock_on_hand]]&lt;=0,1,0)</f>
        <v>0</v>
      </c>
      <c r="I1796">
        <f>COUNTIFS(inventory__Data[product_id],inventory__Data[[#This Row],[product_id]],inventory__Data[stock_on_hand],"&lt;=0")</f>
        <v>29</v>
      </c>
    </row>
    <row r="1797" spans="1:9" x14ac:dyDescent="0.3">
      <c r="A1797" s="1">
        <v>46017</v>
      </c>
      <c r="B1797" t="s">
        <v>9</v>
      </c>
      <c r="C1797">
        <v>606</v>
      </c>
      <c r="D1797">
        <v>0.05</v>
      </c>
      <c r="E1797">
        <v>0</v>
      </c>
      <c r="F1797">
        <v>2</v>
      </c>
      <c r="G1797" t="b">
        <v>0</v>
      </c>
      <c r="H1797">
        <f>IF(inventory__Data[[#This Row],[stock_on_hand]]&lt;=0,1,0)</f>
        <v>0</v>
      </c>
      <c r="I1797">
        <f>COUNTIFS(inventory__Data[product_id],inventory__Data[[#This Row],[product_id]],inventory__Data[stock_on_hand],"&lt;=0")</f>
        <v>25</v>
      </c>
    </row>
    <row r="1798" spans="1:9" x14ac:dyDescent="0.3">
      <c r="A1798" s="1">
        <v>46017</v>
      </c>
      <c r="B1798" t="s">
        <v>12</v>
      </c>
      <c r="C1798">
        <v>476</v>
      </c>
      <c r="D1798">
        <v>0.02</v>
      </c>
      <c r="E1798">
        <v>0</v>
      </c>
      <c r="F1798">
        <v>10</v>
      </c>
      <c r="G1798" t="b">
        <v>0</v>
      </c>
      <c r="H1798">
        <f>IF(inventory__Data[[#This Row],[stock_on_hand]]&lt;=0,1,0)</f>
        <v>0</v>
      </c>
      <c r="I1798">
        <f>COUNTIFS(inventory__Data[product_id],inventory__Data[[#This Row],[product_id]],inventory__Data[stock_on_hand],"&lt;=0")</f>
        <v>23</v>
      </c>
    </row>
    <row r="1799" spans="1:9" x14ac:dyDescent="0.3">
      <c r="A1799" s="1">
        <v>46017</v>
      </c>
      <c r="B1799" t="s">
        <v>15</v>
      </c>
      <c r="C1799">
        <v>820</v>
      </c>
      <c r="D1799">
        <v>0.04</v>
      </c>
      <c r="E1799">
        <v>0</v>
      </c>
      <c r="F1799">
        <v>15</v>
      </c>
      <c r="G1799" t="b">
        <v>0</v>
      </c>
      <c r="H1799">
        <f>IF(inventory__Data[[#This Row],[stock_on_hand]]&lt;=0,1,0)</f>
        <v>0</v>
      </c>
      <c r="I1799">
        <f>COUNTIFS(inventory__Data[product_id],inventory__Data[[#This Row],[product_id]],inventory__Data[stock_on_hand],"&lt;=0")</f>
        <v>30</v>
      </c>
    </row>
    <row r="1800" spans="1:9" x14ac:dyDescent="0.3">
      <c r="A1800" s="1">
        <v>46017</v>
      </c>
      <c r="B1800" t="s">
        <v>18</v>
      </c>
      <c r="C1800">
        <v>683</v>
      </c>
      <c r="D1800">
        <v>0.15</v>
      </c>
      <c r="E1800">
        <v>0</v>
      </c>
      <c r="F1800">
        <v>2</v>
      </c>
      <c r="G1800" t="b">
        <v>0</v>
      </c>
      <c r="H1800">
        <f>IF(inventory__Data[[#This Row],[stock_on_hand]]&lt;=0,1,0)</f>
        <v>0</v>
      </c>
      <c r="I1800">
        <f>COUNTIFS(inventory__Data[product_id],inventory__Data[[#This Row],[product_id]],inventory__Data[stock_on_hand],"&lt;=0")</f>
        <v>30</v>
      </c>
    </row>
    <row r="1801" spans="1:9" x14ac:dyDescent="0.3">
      <c r="A1801" s="1">
        <v>46017</v>
      </c>
      <c r="B1801" t="s">
        <v>21</v>
      </c>
      <c r="C1801">
        <v>339</v>
      </c>
      <c r="D1801">
        <v>0.03</v>
      </c>
      <c r="E1801">
        <v>0</v>
      </c>
      <c r="F1801">
        <v>2</v>
      </c>
      <c r="G1801" t="b">
        <v>0</v>
      </c>
      <c r="H1801">
        <f>IF(inventory__Data[[#This Row],[stock_on_hand]]&lt;=0,1,0)</f>
        <v>0</v>
      </c>
      <c r="I1801">
        <f>COUNTIFS(inventory__Data[product_id],inventory__Data[[#This Row],[product_id]],inventory__Data[stock_on_hand],"&lt;=0")</f>
        <v>29</v>
      </c>
    </row>
    <row r="1802" spans="1:9" x14ac:dyDescent="0.3">
      <c r="A1802" s="1">
        <v>46018</v>
      </c>
      <c r="B1802" t="s">
        <v>9</v>
      </c>
      <c r="C1802">
        <v>642</v>
      </c>
      <c r="D1802">
        <v>0.05</v>
      </c>
      <c r="E1802">
        <v>0</v>
      </c>
      <c r="F1802">
        <v>2</v>
      </c>
      <c r="G1802" t="b">
        <v>0</v>
      </c>
      <c r="H1802">
        <f>IF(inventory__Data[[#This Row],[stock_on_hand]]&lt;=0,1,0)</f>
        <v>0</v>
      </c>
      <c r="I1802">
        <f>COUNTIFS(inventory__Data[product_id],inventory__Data[[#This Row],[product_id]],inventory__Data[stock_on_hand],"&lt;=0")</f>
        <v>25</v>
      </c>
    </row>
    <row r="1803" spans="1:9" x14ac:dyDescent="0.3">
      <c r="A1803" s="1">
        <v>46018</v>
      </c>
      <c r="B1803" t="s">
        <v>12</v>
      </c>
      <c r="C1803">
        <v>0</v>
      </c>
      <c r="D1803">
        <v>0.02</v>
      </c>
      <c r="E1803">
        <v>0</v>
      </c>
      <c r="F1803">
        <v>5</v>
      </c>
      <c r="G1803" t="b">
        <v>0</v>
      </c>
      <c r="H1803">
        <f>IF(inventory__Data[[#This Row],[stock_on_hand]]&lt;=0,1,0)</f>
        <v>1</v>
      </c>
      <c r="I1803">
        <f>COUNTIFS(inventory__Data[product_id],inventory__Data[[#This Row],[product_id]],inventory__Data[stock_on_hand],"&lt;=0")</f>
        <v>23</v>
      </c>
    </row>
    <row r="1804" spans="1:9" x14ac:dyDescent="0.3">
      <c r="A1804" s="1">
        <v>46018</v>
      </c>
      <c r="B1804" t="s">
        <v>15</v>
      </c>
      <c r="C1804">
        <v>822</v>
      </c>
      <c r="D1804">
        <v>0.04</v>
      </c>
      <c r="E1804">
        <v>0</v>
      </c>
      <c r="F1804">
        <v>2</v>
      </c>
      <c r="G1804" t="b">
        <v>0</v>
      </c>
      <c r="H1804">
        <f>IF(inventory__Data[[#This Row],[stock_on_hand]]&lt;=0,1,0)</f>
        <v>0</v>
      </c>
      <c r="I1804">
        <f>COUNTIFS(inventory__Data[product_id],inventory__Data[[#This Row],[product_id]],inventory__Data[stock_on_hand],"&lt;=0")</f>
        <v>30</v>
      </c>
    </row>
    <row r="1805" spans="1:9" x14ac:dyDescent="0.3">
      <c r="A1805" s="1">
        <v>46018</v>
      </c>
      <c r="B1805" t="s">
        <v>18</v>
      </c>
      <c r="C1805">
        <v>120</v>
      </c>
      <c r="D1805">
        <v>0.15</v>
      </c>
      <c r="E1805">
        <v>0</v>
      </c>
      <c r="F1805">
        <v>2</v>
      </c>
      <c r="G1805" t="b">
        <v>0</v>
      </c>
      <c r="H1805">
        <f>IF(inventory__Data[[#This Row],[stock_on_hand]]&lt;=0,1,0)</f>
        <v>0</v>
      </c>
      <c r="I1805">
        <f>COUNTIFS(inventory__Data[product_id],inventory__Data[[#This Row],[product_id]],inventory__Data[stock_on_hand],"&lt;=0")</f>
        <v>30</v>
      </c>
    </row>
    <row r="1806" spans="1:9" x14ac:dyDescent="0.3">
      <c r="A1806" s="1">
        <v>46018</v>
      </c>
      <c r="B1806" t="s">
        <v>21</v>
      </c>
      <c r="C1806">
        <v>207</v>
      </c>
      <c r="D1806">
        <v>0.03</v>
      </c>
      <c r="E1806">
        <v>0</v>
      </c>
      <c r="F1806">
        <v>5</v>
      </c>
      <c r="G1806" t="b">
        <v>0</v>
      </c>
      <c r="H1806">
        <f>IF(inventory__Data[[#This Row],[stock_on_hand]]&lt;=0,1,0)</f>
        <v>0</v>
      </c>
      <c r="I1806">
        <f>COUNTIFS(inventory__Data[product_id],inventory__Data[[#This Row],[product_id]],inventory__Data[stock_on_hand],"&lt;=0")</f>
        <v>29</v>
      </c>
    </row>
    <row r="1807" spans="1:9" x14ac:dyDescent="0.3">
      <c r="A1807" s="1">
        <v>46019</v>
      </c>
      <c r="B1807" t="s">
        <v>9</v>
      </c>
      <c r="C1807">
        <v>297</v>
      </c>
      <c r="D1807">
        <v>0.05</v>
      </c>
      <c r="E1807">
        <v>0</v>
      </c>
      <c r="F1807">
        <v>5</v>
      </c>
      <c r="G1807" t="b">
        <v>0</v>
      </c>
      <c r="H1807">
        <f>IF(inventory__Data[[#This Row],[stock_on_hand]]&lt;=0,1,0)</f>
        <v>0</v>
      </c>
      <c r="I1807">
        <f>COUNTIFS(inventory__Data[product_id],inventory__Data[[#This Row],[product_id]],inventory__Data[stock_on_hand],"&lt;=0")</f>
        <v>25</v>
      </c>
    </row>
    <row r="1808" spans="1:9" x14ac:dyDescent="0.3">
      <c r="A1808" s="1">
        <v>46019</v>
      </c>
      <c r="B1808" t="s">
        <v>12</v>
      </c>
      <c r="C1808">
        <v>333</v>
      </c>
      <c r="D1808">
        <v>0.02</v>
      </c>
      <c r="E1808">
        <v>0</v>
      </c>
      <c r="F1808">
        <v>5</v>
      </c>
      <c r="G1808" t="b">
        <v>0</v>
      </c>
      <c r="H1808">
        <f>IF(inventory__Data[[#This Row],[stock_on_hand]]&lt;=0,1,0)</f>
        <v>0</v>
      </c>
      <c r="I1808">
        <f>COUNTIFS(inventory__Data[product_id],inventory__Data[[#This Row],[product_id]],inventory__Data[stock_on_hand],"&lt;=0")</f>
        <v>23</v>
      </c>
    </row>
    <row r="1809" spans="1:9" x14ac:dyDescent="0.3">
      <c r="A1809" s="1">
        <v>46019</v>
      </c>
      <c r="B1809" t="s">
        <v>15</v>
      </c>
      <c r="C1809">
        <v>834</v>
      </c>
      <c r="D1809">
        <v>0.04</v>
      </c>
      <c r="E1809">
        <v>0</v>
      </c>
      <c r="F1809">
        <v>5</v>
      </c>
      <c r="G1809" t="b">
        <v>0</v>
      </c>
      <c r="H1809">
        <f>IF(inventory__Data[[#This Row],[stock_on_hand]]&lt;=0,1,0)</f>
        <v>0</v>
      </c>
      <c r="I1809">
        <f>COUNTIFS(inventory__Data[product_id],inventory__Data[[#This Row],[product_id]],inventory__Data[stock_on_hand],"&lt;=0")</f>
        <v>30</v>
      </c>
    </row>
    <row r="1810" spans="1:9" x14ac:dyDescent="0.3">
      <c r="A1810" s="1">
        <v>46019</v>
      </c>
      <c r="B1810" t="s">
        <v>18</v>
      </c>
      <c r="C1810">
        <v>128</v>
      </c>
      <c r="D1810">
        <v>0.15</v>
      </c>
      <c r="E1810">
        <v>0</v>
      </c>
      <c r="F1810">
        <v>2</v>
      </c>
      <c r="G1810" t="b">
        <v>0</v>
      </c>
      <c r="H1810">
        <f>IF(inventory__Data[[#This Row],[stock_on_hand]]&lt;=0,1,0)</f>
        <v>0</v>
      </c>
      <c r="I1810">
        <f>COUNTIFS(inventory__Data[product_id],inventory__Data[[#This Row],[product_id]],inventory__Data[stock_on_hand],"&lt;=0")</f>
        <v>30</v>
      </c>
    </row>
    <row r="1811" spans="1:9" x14ac:dyDescent="0.3">
      <c r="A1811" s="1">
        <v>46019</v>
      </c>
      <c r="B1811" t="s">
        <v>21</v>
      </c>
      <c r="C1811">
        <v>595</v>
      </c>
      <c r="D1811">
        <v>0.03</v>
      </c>
      <c r="E1811">
        <v>0</v>
      </c>
      <c r="F1811">
        <v>2</v>
      </c>
      <c r="G1811" t="b">
        <v>0</v>
      </c>
      <c r="H1811">
        <f>IF(inventory__Data[[#This Row],[stock_on_hand]]&lt;=0,1,0)</f>
        <v>0</v>
      </c>
      <c r="I1811">
        <f>COUNTIFS(inventory__Data[product_id],inventory__Data[[#This Row],[product_id]],inventory__Data[stock_on_hand],"&lt;=0")</f>
        <v>29</v>
      </c>
    </row>
    <row r="1812" spans="1:9" x14ac:dyDescent="0.3">
      <c r="A1812" s="1">
        <v>46020</v>
      </c>
      <c r="B1812" t="s">
        <v>9</v>
      </c>
      <c r="C1812">
        <v>679</v>
      </c>
      <c r="D1812">
        <v>0.05</v>
      </c>
      <c r="E1812">
        <v>0</v>
      </c>
      <c r="F1812">
        <v>5</v>
      </c>
      <c r="G1812" t="b">
        <v>0</v>
      </c>
      <c r="H1812">
        <f>IF(inventory__Data[[#This Row],[stock_on_hand]]&lt;=0,1,0)</f>
        <v>0</v>
      </c>
      <c r="I1812">
        <f>COUNTIFS(inventory__Data[product_id],inventory__Data[[#This Row],[product_id]],inventory__Data[stock_on_hand],"&lt;=0")</f>
        <v>25</v>
      </c>
    </row>
    <row r="1813" spans="1:9" x14ac:dyDescent="0.3">
      <c r="A1813" s="1">
        <v>46020</v>
      </c>
      <c r="B1813" t="s">
        <v>12</v>
      </c>
      <c r="C1813">
        <v>81</v>
      </c>
      <c r="D1813">
        <v>0.02</v>
      </c>
      <c r="E1813">
        <v>0</v>
      </c>
      <c r="F1813">
        <v>2</v>
      </c>
      <c r="G1813" t="b">
        <v>0</v>
      </c>
      <c r="H1813">
        <f>IF(inventory__Data[[#This Row],[stock_on_hand]]&lt;=0,1,0)</f>
        <v>0</v>
      </c>
      <c r="I1813">
        <f>COUNTIFS(inventory__Data[product_id],inventory__Data[[#This Row],[product_id]],inventory__Data[stock_on_hand],"&lt;=0")</f>
        <v>23</v>
      </c>
    </row>
    <row r="1814" spans="1:9" x14ac:dyDescent="0.3">
      <c r="A1814" s="1">
        <v>46020</v>
      </c>
      <c r="B1814" t="s">
        <v>15</v>
      </c>
      <c r="C1814">
        <v>895</v>
      </c>
      <c r="D1814">
        <v>0.04</v>
      </c>
      <c r="E1814">
        <v>0</v>
      </c>
      <c r="F1814">
        <v>2</v>
      </c>
      <c r="G1814" t="b">
        <v>0</v>
      </c>
      <c r="H1814">
        <f>IF(inventory__Data[[#This Row],[stock_on_hand]]&lt;=0,1,0)</f>
        <v>0</v>
      </c>
      <c r="I1814">
        <f>COUNTIFS(inventory__Data[product_id],inventory__Data[[#This Row],[product_id]],inventory__Data[stock_on_hand],"&lt;=0")</f>
        <v>30</v>
      </c>
    </row>
    <row r="1815" spans="1:9" x14ac:dyDescent="0.3">
      <c r="A1815" s="1">
        <v>46020</v>
      </c>
      <c r="B1815" t="s">
        <v>18</v>
      </c>
      <c r="C1815">
        <v>29</v>
      </c>
      <c r="D1815">
        <v>0.15</v>
      </c>
      <c r="E1815">
        <v>0</v>
      </c>
      <c r="F1815">
        <v>2</v>
      </c>
      <c r="G1815" t="b">
        <v>0</v>
      </c>
      <c r="H1815">
        <f>IF(inventory__Data[[#This Row],[stock_on_hand]]&lt;=0,1,0)</f>
        <v>0</v>
      </c>
      <c r="I1815">
        <f>COUNTIFS(inventory__Data[product_id],inventory__Data[[#This Row],[product_id]],inventory__Data[stock_on_hand],"&lt;=0")</f>
        <v>30</v>
      </c>
    </row>
    <row r="1816" spans="1:9" x14ac:dyDescent="0.3">
      <c r="A1816" s="1">
        <v>46020</v>
      </c>
      <c r="B1816" t="s">
        <v>21</v>
      </c>
      <c r="C1816">
        <v>644</v>
      </c>
      <c r="D1816">
        <v>0.03</v>
      </c>
      <c r="E1816">
        <v>0</v>
      </c>
      <c r="F1816">
        <v>5</v>
      </c>
      <c r="G1816" t="b">
        <v>0</v>
      </c>
      <c r="H1816">
        <f>IF(inventory__Data[[#This Row],[stock_on_hand]]&lt;=0,1,0)</f>
        <v>0</v>
      </c>
      <c r="I1816">
        <f>COUNTIFS(inventory__Data[product_id],inventory__Data[[#This Row],[product_id]],inventory__Data[stock_on_hand],"&lt;=0")</f>
        <v>29</v>
      </c>
    </row>
    <row r="1817" spans="1:9" x14ac:dyDescent="0.3">
      <c r="A1817" s="1">
        <v>46021</v>
      </c>
      <c r="B1817" t="s">
        <v>9</v>
      </c>
      <c r="C1817">
        <v>656</v>
      </c>
      <c r="D1817">
        <v>0.05</v>
      </c>
      <c r="E1817">
        <v>0</v>
      </c>
      <c r="F1817">
        <v>5</v>
      </c>
      <c r="G1817" t="b">
        <v>0</v>
      </c>
      <c r="H1817">
        <f>IF(inventory__Data[[#This Row],[stock_on_hand]]&lt;=0,1,0)</f>
        <v>0</v>
      </c>
      <c r="I1817">
        <f>COUNTIFS(inventory__Data[product_id],inventory__Data[[#This Row],[product_id]],inventory__Data[stock_on_hand],"&lt;=0")</f>
        <v>25</v>
      </c>
    </row>
    <row r="1818" spans="1:9" x14ac:dyDescent="0.3">
      <c r="A1818" s="1">
        <v>46021</v>
      </c>
      <c r="B1818" t="s">
        <v>12</v>
      </c>
      <c r="C1818">
        <v>9</v>
      </c>
      <c r="D1818">
        <v>0.02</v>
      </c>
      <c r="E1818">
        <v>0</v>
      </c>
      <c r="F1818">
        <v>2</v>
      </c>
      <c r="G1818" t="b">
        <v>0</v>
      </c>
      <c r="H1818">
        <f>IF(inventory__Data[[#This Row],[stock_on_hand]]&lt;=0,1,0)</f>
        <v>0</v>
      </c>
      <c r="I1818">
        <f>COUNTIFS(inventory__Data[product_id],inventory__Data[[#This Row],[product_id]],inventory__Data[stock_on_hand],"&lt;=0")</f>
        <v>23</v>
      </c>
    </row>
    <row r="1819" spans="1:9" x14ac:dyDescent="0.3">
      <c r="A1819" s="1">
        <v>46021</v>
      </c>
      <c r="B1819" t="s">
        <v>15</v>
      </c>
      <c r="C1819">
        <v>418</v>
      </c>
      <c r="D1819">
        <v>0.04</v>
      </c>
      <c r="E1819">
        <v>0</v>
      </c>
      <c r="F1819">
        <v>5</v>
      </c>
      <c r="G1819" t="b">
        <v>0</v>
      </c>
      <c r="H1819">
        <f>IF(inventory__Data[[#This Row],[stock_on_hand]]&lt;=0,1,0)</f>
        <v>0</v>
      </c>
      <c r="I1819">
        <f>COUNTIFS(inventory__Data[product_id],inventory__Data[[#This Row],[product_id]],inventory__Data[stock_on_hand],"&lt;=0")</f>
        <v>30</v>
      </c>
    </row>
    <row r="1820" spans="1:9" x14ac:dyDescent="0.3">
      <c r="A1820" s="1">
        <v>46021</v>
      </c>
      <c r="B1820" t="s">
        <v>18</v>
      </c>
      <c r="C1820">
        <v>590</v>
      </c>
      <c r="D1820">
        <v>0.15</v>
      </c>
      <c r="E1820">
        <v>0</v>
      </c>
      <c r="F1820">
        <v>2</v>
      </c>
      <c r="G1820" t="b">
        <v>0</v>
      </c>
      <c r="H1820">
        <f>IF(inventory__Data[[#This Row],[stock_on_hand]]&lt;=0,1,0)</f>
        <v>0</v>
      </c>
      <c r="I1820">
        <f>COUNTIFS(inventory__Data[product_id],inventory__Data[[#This Row],[product_id]],inventory__Data[stock_on_hand],"&lt;=0")</f>
        <v>30</v>
      </c>
    </row>
    <row r="1821" spans="1:9" x14ac:dyDescent="0.3">
      <c r="A1821" s="1">
        <v>46021</v>
      </c>
      <c r="B1821" t="s">
        <v>21</v>
      </c>
      <c r="C1821">
        <v>520</v>
      </c>
      <c r="D1821">
        <v>0.03</v>
      </c>
      <c r="E1821">
        <v>0</v>
      </c>
      <c r="F1821">
        <v>2</v>
      </c>
      <c r="G1821" t="b">
        <v>0</v>
      </c>
      <c r="H1821">
        <f>IF(inventory__Data[[#This Row],[stock_on_hand]]&lt;=0,1,0)</f>
        <v>0</v>
      </c>
      <c r="I1821">
        <f>COUNTIFS(inventory__Data[product_id],inventory__Data[[#This Row],[product_id]],inventory__Data[stock_on_hand],"&lt;=0")</f>
        <v>29</v>
      </c>
    </row>
    <row r="1822" spans="1:9" x14ac:dyDescent="0.3">
      <c r="A1822" s="1">
        <v>46022</v>
      </c>
      <c r="B1822" t="s">
        <v>9</v>
      </c>
      <c r="C1822">
        <v>0</v>
      </c>
      <c r="D1822">
        <v>0.05</v>
      </c>
      <c r="E1822">
        <v>0</v>
      </c>
      <c r="F1822">
        <v>5</v>
      </c>
      <c r="G1822" t="b">
        <v>0</v>
      </c>
      <c r="H1822">
        <f>IF(inventory__Data[[#This Row],[stock_on_hand]]&lt;=0,1,0)</f>
        <v>1</v>
      </c>
      <c r="I1822">
        <f>COUNTIFS(inventory__Data[product_id],inventory__Data[[#This Row],[product_id]],inventory__Data[stock_on_hand],"&lt;=0")</f>
        <v>25</v>
      </c>
    </row>
    <row r="1823" spans="1:9" x14ac:dyDescent="0.3">
      <c r="A1823" s="1">
        <v>46022</v>
      </c>
      <c r="B1823" t="s">
        <v>12</v>
      </c>
      <c r="C1823">
        <v>581</v>
      </c>
      <c r="D1823">
        <v>0.02</v>
      </c>
      <c r="E1823">
        <v>0</v>
      </c>
      <c r="F1823">
        <v>5</v>
      </c>
      <c r="G1823" t="b">
        <v>0</v>
      </c>
      <c r="H1823">
        <f>IF(inventory__Data[[#This Row],[stock_on_hand]]&lt;=0,1,0)</f>
        <v>0</v>
      </c>
      <c r="I1823">
        <f>COUNTIFS(inventory__Data[product_id],inventory__Data[[#This Row],[product_id]],inventory__Data[stock_on_hand],"&lt;=0")</f>
        <v>23</v>
      </c>
    </row>
    <row r="1824" spans="1:9" x14ac:dyDescent="0.3">
      <c r="A1824" s="1">
        <v>46022</v>
      </c>
      <c r="B1824" t="s">
        <v>15</v>
      </c>
      <c r="C1824">
        <v>0</v>
      </c>
      <c r="D1824">
        <v>0.04</v>
      </c>
      <c r="E1824">
        <v>0</v>
      </c>
      <c r="F1824">
        <v>5</v>
      </c>
      <c r="G1824" t="b">
        <v>0</v>
      </c>
      <c r="H1824">
        <f>IF(inventory__Data[[#This Row],[stock_on_hand]]&lt;=0,1,0)</f>
        <v>1</v>
      </c>
      <c r="I1824">
        <f>COUNTIFS(inventory__Data[product_id],inventory__Data[[#This Row],[product_id]],inventory__Data[stock_on_hand],"&lt;=0")</f>
        <v>30</v>
      </c>
    </row>
    <row r="1825" spans="1:9" x14ac:dyDescent="0.3">
      <c r="A1825" s="1">
        <v>46022</v>
      </c>
      <c r="B1825" t="s">
        <v>18</v>
      </c>
      <c r="C1825">
        <v>406</v>
      </c>
      <c r="D1825">
        <v>0.15</v>
      </c>
      <c r="E1825">
        <v>0</v>
      </c>
      <c r="F1825">
        <v>2</v>
      </c>
      <c r="G1825" t="b">
        <v>0</v>
      </c>
      <c r="H1825">
        <f>IF(inventory__Data[[#This Row],[stock_on_hand]]&lt;=0,1,0)</f>
        <v>0</v>
      </c>
      <c r="I1825">
        <f>COUNTIFS(inventory__Data[product_id],inventory__Data[[#This Row],[product_id]],inventory__Data[stock_on_hand],"&lt;=0")</f>
        <v>30</v>
      </c>
    </row>
    <row r="1826" spans="1:9" x14ac:dyDescent="0.3">
      <c r="A1826" s="1">
        <v>46022</v>
      </c>
      <c r="B1826" t="s">
        <v>21</v>
      </c>
      <c r="C1826">
        <v>647</v>
      </c>
      <c r="D1826">
        <v>0.03</v>
      </c>
      <c r="E1826">
        <v>0</v>
      </c>
      <c r="F1826">
        <v>2</v>
      </c>
      <c r="G1826" t="b">
        <v>0</v>
      </c>
      <c r="H1826">
        <f>IF(inventory__Data[[#This Row],[stock_on_hand]]&lt;=0,1,0)</f>
        <v>0</v>
      </c>
      <c r="I1826">
        <f>COUNTIFS(inventory__Data[product_id],inventory__Data[[#This Row],[product_id]],inventory__Data[stock_on_hand],"&lt;=0")</f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9E93E3-3F3B-471F-B924-398A0A4372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Financial_Analysis</vt:lpstr>
      <vt:lpstr>ROI_Calculator</vt:lpstr>
      <vt:lpstr>sales_Data</vt:lpstr>
      <vt:lpstr>inventory_Data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Janghu</dc:creator>
  <cp:lastModifiedBy>Aditi Janghu</cp:lastModifiedBy>
  <dcterms:created xsi:type="dcterms:W3CDTF">2026-06-16T06:17:41Z</dcterms:created>
  <dcterms:modified xsi:type="dcterms:W3CDTF">2026-06-19T07:38:02Z</dcterms:modified>
</cp:coreProperties>
</file>